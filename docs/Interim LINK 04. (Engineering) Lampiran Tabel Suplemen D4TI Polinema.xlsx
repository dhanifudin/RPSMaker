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PM" sheetId="1" r:id="rId5"/>
    <sheet state="visible" name="CPL IABEE" sheetId="2" r:id="rId6"/>
    <sheet state="visible" name="Tabel Suplemen A1" sheetId="3" r:id="rId7"/>
    <sheet state="visible" name="Tabel Suplemen A2" sheetId="4" r:id="rId8"/>
    <sheet state="visible" name="Tabel Suplemen B1" sheetId="5" r:id="rId9"/>
    <sheet state="visible" name="Tabel Suplemen B2" sheetId="6" r:id="rId10"/>
    <sheet state="visible" name="Tabel Suplemen B3" sheetId="7" r:id="rId11"/>
    <sheet state="hidden" name="B1 Computing" sheetId="8" r:id="rId12"/>
    <sheet state="hidden" name="Kurikulum 2021" sheetId="9" r:id="rId13"/>
    <sheet state="visible" name="Tabel Suplemen B4" sheetId="10" r:id="rId14"/>
    <sheet state="visible" name="Tabel Suplemen B5" sheetId="11" r:id="rId15"/>
    <sheet state="visible" name="Tabel Suplemen C1" sheetId="12" r:id="rId16"/>
    <sheet state="visible" name="Tabel Suplemen C2" sheetId="13" r:id="rId17"/>
  </sheets>
  <definedNames>
    <definedName hidden="1" localSheetId="11" name="_xlnm._FilterDatabase">'Tabel Suplemen C1'!$D$1:$D$1173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MK Usulan
Sistem Informasi Geografis (SIG): Menggunakan konsep-konsep ilmu geografi dan teknologi informasi untuk memetakan dan menganalisis data spasial, seperti dalam pemetaan lingkungan, geologi, atau epidemiologi.
Metode Numerik dan Komputasi dalam Ilmu Fisika: Memanfaatkan teknik komputasi untuk memecahkan masalah dalam fisika, seperti simulasi dinamika molekuler, pemodelan cuaca, atau analisis data dari eksperimen fisika.</t>
      </text>
    </comment>
  </commentList>
</comments>
</file>

<file path=xl/sharedStrings.xml><?xml version="1.0" encoding="utf-8"?>
<sst xmlns="http://schemas.openxmlformats.org/spreadsheetml/2006/main" count="7189" uniqueCount="2525">
  <si>
    <t>No</t>
  </si>
  <si>
    <t>Kode PL</t>
  </si>
  <si>
    <t>Profil Lulusan (PL) atau Profil Profresional Mandiri (PPM)</t>
  </si>
  <si>
    <t>Profesi</t>
  </si>
  <si>
    <t>PL01 (S)</t>
  </si>
  <si>
    <t>Menjadi pembelajar sepanjang hayat yang senantiasa beradaptasi dengan tren industri, serta menjunjung tinggi etika profesi serta ketakwaan kepada Tuhan Yang Maha Esa</t>
  </si>
  <si>
    <t>1. Programming And Software Development (Software Engineer, Web Developer, Dll)
2. Information System and Technology Development (System Analyst, Software Architect, Quality Assurance Engineer)
3. IT Project Management (Deputy Manager ICT Project Management, Scrum Master)
4. Mobile computing, networking and Internet of Things (Cloud Computing Developer, Advance Mobile Computing)
5. Data and Artificial Intelligence Professionals (Data Scientist, AI Engineer, Machine Learning Ops, Bussiness Intelligence Analyst, Dll)</t>
  </si>
  <si>
    <t>PL02 (P)</t>
  </si>
  <si>
    <t>Menjadi tenaga ahli yang diakui kemampuannya dalam menganalisis kebutuhan organisasi, serta secara nyata mampu mengintegrasikan tren teknologi dan disiplin ilmu relevan untuk membangun solusi IT yang berdampak positif.</t>
  </si>
  <si>
    <t>PL03 (KU)</t>
  </si>
  <si>
    <t>Menunjukkan rekam jejak karir yang baik dengan mengambil peran kepemimpinan, memfasilitasi kerjasama tim secara efektif, dan menjadi inisiator dalam penyelesaian masalah di tempat kerjanya.</t>
  </si>
  <si>
    <t>PL03 (KK)</t>
  </si>
  <si>
    <t>Dipercaya untuk mengambil peran penting teknis maupun manajerial dalam pelaksanaan proyek informatika berskala profesional di lingkungan kerjanya.</t>
  </si>
  <si>
    <t>(a)</t>
  </si>
  <si>
    <t>An ability to identify and apply required knowledge of mathematics, natural sciences, computing, engineering fundamentals, and discipline-appropriate engineering specialties to defined and applied engineering procedures, processes, systems, or methodologies.</t>
  </si>
  <si>
    <t>(b)</t>
  </si>
  <si>
    <t>An ability to identify, infer, formulate, research and evaluate literature, and analyse broadly-defined engineering problems achieving demonstrable conclusions using analytical tools appropriate to the discipline or area of specialization.</t>
  </si>
  <si>
    <t>(c)</t>
  </si>
  <si>
    <t>An ability to design systems, components or processes to meet identified needs for solving broadly-defined engineering problems appropriate to the discipline with proper consideration for public health and safety, whole life cost, net zero carbon as well as resource, cultural, societal, and environmental considerations.</t>
  </si>
  <si>
    <t>(d)</t>
  </si>
  <si>
    <t>An ability to locate, select, and organize relevant data from codes, databases and literature, design and conduct experiments to provide valid conclusions in the investigation of broadly defined engineering problems.</t>
  </si>
  <si>
    <t>(e)</t>
  </si>
  <si>
    <t>An ability to use and utilize all required resources and technologies and deal with their limitations, including prediction and modelling, to solve broadly-defined engineering problems.</t>
  </si>
  <si>
    <t>(f)</t>
  </si>
  <si>
    <t>an ability to analyze and evaluate impacts to society, the economy, sustainability, health and safety, legal frameworks, and the environment, when solving broadly defined engineering problems.</t>
  </si>
  <si>
    <t>(g)</t>
  </si>
  <si>
    <t>Ability to consistently adhere to professional ethics and engineering technology practice norms including compliance with national and international laws, with respect for diversity and inclusion.</t>
  </si>
  <si>
    <t>(h)</t>
  </si>
  <si>
    <t>An ability to function effectively in carrying out a variety of tasks, as an individual, and as a member or leader working in diverse, inclusive and multi-disciplinary teams with a variety of work settings</t>
  </si>
  <si>
    <t>(i)</t>
  </si>
  <si>
    <t>An ability to apply written, oral and graphic communications effectively and inclusively to a variety of broadly defined communities and environments taking into account cultural, language and learning differences</t>
  </si>
  <si>
    <t>(j)</t>
  </si>
  <si>
    <t>An ability to apply engineering management principles to projects, either as a member or leader in a multidisciplinary team</t>
  </si>
  <si>
    <t>(k)</t>
  </si>
  <si>
    <t>An ability to recognize the demands for, and be able to perform: independent and lifelong learning and critical thinking</t>
  </si>
  <si>
    <t>Menginternalisasi ketakwaan kepada Tuhan Yang Maha Esa, menaati hukum, disiplin, dan menunjukkan profesionalisme melalui etika profesi, pembelajaran sepanjang hayat, serta respons terhadap isu sosial dan teknologi.</t>
  </si>
  <si>
    <t>x</t>
  </si>
  <si>
    <t xml:space="preserve"> </t>
  </si>
  <si>
    <t>Menguasai konsep teoritis bidang pengetahuan mengenai berbagai prinsip rekayasa sistem/perangkat lunak dalam merancang solusi aplikasi multi-platform yang relevan dengan kebutuhan stakeholder.</t>
  </si>
  <si>
    <t>Mampu mengelola tim, melakukan manajemen diri, berkomunikasi secara lisan maupun tertulis dengan baik, serta mampu melakukan presentasi.</t>
  </si>
  <si>
    <t>Mampu menyusun deskripsi saintifik hasil kajian implikasi pengembangan atau implementasi ilmu pengetahuan teknologi dalam bentuk skripsi atau laporan tugas akhir atau artikel ilmiah.</t>
  </si>
  <si>
    <t>Mampu menerapkan solusi teknologi komputasi dan infrastruktur digital dengan mempertimbangkan berbagai teknik/pendekatan yang sesuai dengan kebutuhan.</t>
  </si>
  <si>
    <t>Mampu merancang, mengimplementasikan, menguji, melakukan deployment, memelihara, serta menjamin mutu perangkat lunak yang menjawab permasalahan dan memenuhi kebutuhan stakeholder.</t>
  </si>
  <si>
    <t>Mampu mengembangkan sistem komputasi cerdas, analisis data dengan menerapkan algoritma dan teknik kecerdasan artifisial secara tepat guna</t>
  </si>
  <si>
    <t>Mampu mengelola proyek teknologi informasi secara profesional dengan mengoptimalkan sumber daya yang tersedia.</t>
  </si>
  <si>
    <t>Memiliki pemahaman yang memadai terkait cara kerja sistem komputer dan berbagai teknik/pendekatan berbasis komputasi untuk memecahkan masalah stakeholder.</t>
  </si>
  <si>
    <t>Memiliki kompetensi untuk menganalisis persoalan kompleks untuk mengidentifikasi solusi bidang informatika/ilmu komputer dengan mempertimbangkan wawasan ilmu multidisiplin.</t>
  </si>
  <si>
    <t xml:space="preserve">                                 Butir Kriteria CP IABEE
Capaian Pembelajaran Program
</t>
  </si>
  <si>
    <t>An ability to identify and 
apply required knowledge 
of mathematics, natural 
sciences, computing, 
engineering fundamentals, 
and discipline-appropriate 
engineering specialties to 
defined and applied 
engineering procedures, 
processes, systems, or 
methodologies.</t>
  </si>
  <si>
    <t>Mampu mengelola tim, melakukan manajemen diri, berkomunikasi secara lisan maupun tertulis dengan baik, serta mampu melakukan presentasi."</t>
  </si>
  <si>
    <t>Kode MK</t>
  </si>
  <si>
    <t>Nama MK</t>
  </si>
  <si>
    <t>Sifat Mata Kuliah/Blok: Wajib (W) atau Pilihan (P)</t>
  </si>
  <si>
    <t>Prodi Penyelenggara Sendiri (S) Luar Prodi (LP)</t>
  </si>
  <si>
    <t>Kelompok Bidang (SKS)</t>
  </si>
  <si>
    <t>Matematika &amp; IPA sesuai sub-disiplin</t>
  </si>
  <si>
    <t>Muatan spesifik sub-disiplin</t>
  </si>
  <si>
    <t>Teknologi informasi &amp; komunikasi (ICT)</t>
  </si>
  <si>
    <t>Pendidikan Umum</t>
  </si>
  <si>
    <t>Semester 1</t>
  </si>
  <si>
    <t>RTI251001</t>
  </si>
  <si>
    <t>Pancasila</t>
  </si>
  <si>
    <t>W</t>
  </si>
  <si>
    <t>S</t>
  </si>
  <si>
    <t>RTI251002</t>
  </si>
  <si>
    <t>Konsep Teknologi Informasi</t>
  </si>
  <si>
    <t>RTI251003</t>
  </si>
  <si>
    <t>Critical thinking dan problem solving</t>
  </si>
  <si>
    <t>RTI251004</t>
  </si>
  <si>
    <t>Matematika Dasar</t>
  </si>
  <si>
    <t>RTI251005</t>
  </si>
  <si>
    <t>Bahasa Inggris 1</t>
  </si>
  <si>
    <t>RTI251006</t>
  </si>
  <si>
    <t>Dasar Pemrograman</t>
  </si>
  <si>
    <t>RTI251007</t>
  </si>
  <si>
    <t>Praktikum Dasar Pemrograman</t>
  </si>
  <si>
    <t>RTI251008</t>
  </si>
  <si>
    <t>Keselamatan dan Kesehatan Kerja</t>
  </si>
  <si>
    <t>RTI251009</t>
  </si>
  <si>
    <t>Fisika</t>
  </si>
  <si>
    <t>Semester 2</t>
  </si>
  <si>
    <t>RTI252001</t>
  </si>
  <si>
    <t>Agama</t>
  </si>
  <si>
    <t>RTI252002</t>
  </si>
  <si>
    <t>Aljabar Linier</t>
  </si>
  <si>
    <t>RTI252003</t>
  </si>
  <si>
    <t>Desain Antarmuka</t>
  </si>
  <si>
    <t>RTI252004</t>
  </si>
  <si>
    <t>Sistem Operasi</t>
  </si>
  <si>
    <t>RTI252005</t>
  </si>
  <si>
    <t>Rekayasa Perangkat Lunak</t>
  </si>
  <si>
    <t>RTI252006</t>
  </si>
  <si>
    <t>Basis Data</t>
  </si>
  <si>
    <t>RTI252007</t>
  </si>
  <si>
    <t>Praktikum Basis Data</t>
  </si>
  <si>
    <t>RTI252008</t>
  </si>
  <si>
    <t>Algoritma dan Struktur Data</t>
  </si>
  <si>
    <t>RTI252009</t>
  </si>
  <si>
    <t>Praktikum Algoritma dan Struktur Data</t>
  </si>
  <si>
    <t>Semester 3</t>
  </si>
  <si>
    <t>RTI253001</t>
  </si>
  <si>
    <t>Manajemen Proyek</t>
  </si>
  <si>
    <t>RTI253002</t>
  </si>
  <si>
    <t>Sistem Informasi Manajemen</t>
  </si>
  <si>
    <t>RTI253003</t>
  </si>
  <si>
    <t>Kewarganegaraan</t>
  </si>
  <si>
    <t>RTI253004</t>
  </si>
  <si>
    <t>Desain dan Pemrograman Web</t>
  </si>
  <si>
    <t>RTI253005</t>
  </si>
  <si>
    <t>Basis Data Lanjut</t>
  </si>
  <si>
    <t>RTI253006</t>
  </si>
  <si>
    <t>Metode Numerik</t>
  </si>
  <si>
    <t>RTI253007</t>
  </si>
  <si>
    <t>Pemrograman Berbasis Objek</t>
  </si>
  <si>
    <t>RTI253008</t>
  </si>
  <si>
    <t>Praktikum Pemrograman Berbasis Objek</t>
  </si>
  <si>
    <t>RTI253009</t>
  </si>
  <si>
    <t>Bahasa Inggris 2</t>
  </si>
  <si>
    <t>Semester 4</t>
  </si>
  <si>
    <t>RTI254001</t>
  </si>
  <si>
    <t>Sistem Pendukung Keputusan</t>
  </si>
  <si>
    <t>RTI254002</t>
  </si>
  <si>
    <t>Analisis dan Desain Berorientasi Objek</t>
  </si>
  <si>
    <t>RTI254003</t>
  </si>
  <si>
    <t>Bahasa Indonesia</t>
  </si>
  <si>
    <t>RTI254004</t>
  </si>
  <si>
    <t>Kecerdasan Artifisial</t>
  </si>
  <si>
    <t>RTI254005</t>
  </si>
  <si>
    <t>Jaringan Komputer</t>
  </si>
  <si>
    <t>RTI254006</t>
  </si>
  <si>
    <t>Praktikum Jaringan Komputer</t>
  </si>
  <si>
    <t>RTI254007</t>
  </si>
  <si>
    <t>Pemrograman Web Lanjut</t>
  </si>
  <si>
    <t>RTI254008</t>
  </si>
  <si>
    <t>Statistik Komputasi</t>
  </si>
  <si>
    <t>RTI254009</t>
  </si>
  <si>
    <t>Proyek Sistem Informasi</t>
  </si>
  <si>
    <t>Semester 5</t>
  </si>
  <si>
    <t>RTI255001</t>
  </si>
  <si>
    <t>Kewirausahaan Berbasis Teknologi</t>
  </si>
  <si>
    <t>RTI255002</t>
  </si>
  <si>
    <t>Metodologi Penelitian</t>
  </si>
  <si>
    <t>RTI255003</t>
  </si>
  <si>
    <t>Pemrograman Mobile</t>
  </si>
  <si>
    <t>RTI255004</t>
  </si>
  <si>
    <t>Pembelajaran Mesin</t>
  </si>
  <si>
    <t>RTI255005</t>
  </si>
  <si>
    <t>Business Intelligence</t>
  </si>
  <si>
    <t>RTI255006</t>
  </si>
  <si>
    <t>Penjaminan Mutu Perangkat Lunak</t>
  </si>
  <si>
    <t>RTI255007</t>
  </si>
  <si>
    <t>Pengolahan Citra dan Visi Komputer</t>
  </si>
  <si>
    <t>RTI255008</t>
  </si>
  <si>
    <t>Administrasi dan Keamanan Jaringan</t>
  </si>
  <si>
    <t>Semester 6</t>
  </si>
  <si>
    <t>RTI256001</t>
  </si>
  <si>
    <t>Komunikasi dan Etika Profesi</t>
  </si>
  <si>
    <t>RTI256002</t>
  </si>
  <si>
    <t>Pengembangan Karir</t>
  </si>
  <si>
    <t>RTI256003</t>
  </si>
  <si>
    <t>Pemrograman Berbasis Framework</t>
  </si>
  <si>
    <t>PAKET PILIHAN 1 - Reguler</t>
  </si>
  <si>
    <t>RTI256104</t>
  </si>
  <si>
    <t>Proyek Teknologi Terintegrasi</t>
  </si>
  <si>
    <t>P</t>
  </si>
  <si>
    <t>RTI256105</t>
  </si>
  <si>
    <t>Internet Of Things</t>
  </si>
  <si>
    <t>RTI256106</t>
  </si>
  <si>
    <t>Big Data</t>
  </si>
  <si>
    <t>RTI256107</t>
  </si>
  <si>
    <t>Cloud Computing</t>
  </si>
  <si>
    <t>RTI256108</t>
  </si>
  <si>
    <t>Komputasi Hijau</t>
  </si>
  <si>
    <t>PAKET PILIHAN 2 - Magang / Studi Independen</t>
  </si>
  <si>
    <t>RTI256204</t>
  </si>
  <si>
    <t>LP</t>
  </si>
  <si>
    <t>RTI256205</t>
  </si>
  <si>
    <t>RTI256206</t>
  </si>
  <si>
    <t>RTI256207</t>
  </si>
  <si>
    <t>RTI256208</t>
  </si>
  <si>
    <t>RTI256209</t>
  </si>
  <si>
    <t>Kuliah Kerja Nyata Tematik</t>
  </si>
  <si>
    <t>PAKET PILIHAN 3 - Kewirausahaan</t>
  </si>
  <si>
    <t>RTI256304</t>
  </si>
  <si>
    <t>Proyek Inovasi</t>
  </si>
  <si>
    <t>RTI256305</t>
  </si>
  <si>
    <t>Workshop Teknologi Terapan</t>
  </si>
  <si>
    <t>RTI256306</t>
  </si>
  <si>
    <t>Rekayasa Sistem</t>
  </si>
  <si>
    <t>RTI256307</t>
  </si>
  <si>
    <t>Teknologi Terapan</t>
  </si>
  <si>
    <t>Semester 7</t>
  </si>
  <si>
    <t>RTI257001</t>
  </si>
  <si>
    <t>Magang</t>
  </si>
  <si>
    <t>RTI257201</t>
  </si>
  <si>
    <t>RTI267201</t>
  </si>
  <si>
    <t>Penelitian</t>
  </si>
  <si>
    <t>Semester 8</t>
  </si>
  <si>
    <t>RTI258001</t>
  </si>
  <si>
    <t>Skripsi</t>
  </si>
  <si>
    <t>RTI258002</t>
  </si>
  <si>
    <t>Bahasa Inggris Persiapan Kerja</t>
  </si>
  <si>
    <t>Jumlah SKS (Smt 6 Reguler - Smt 7 Reguler - Smt 8 Reguler)</t>
  </si>
  <si>
    <t>Persentase SKS terhadap SKS keseluruhan kurikulum</t>
  </si>
  <si>
    <t>Reguler</t>
  </si>
  <si>
    <t>Ketentuan IABEE</t>
  </si>
  <si>
    <t>Min. 65%</t>
  </si>
  <si>
    <t>Max. 25%</t>
  </si>
  <si>
    <t>Paket 2</t>
  </si>
  <si>
    <t>Paket 1</t>
  </si>
  <si>
    <t>Jumlah SKS (Smt 6 Reguler - Smt 7 Paket 2 - Smt 8 Reguler)</t>
  </si>
  <si>
    <t>Paket 3</t>
  </si>
  <si>
    <t>Jumlah SKS (Smt 6 Paket 2 - Smt 7 Paket 1 - Smt 8 Reguler)</t>
  </si>
  <si>
    <t>Jumlah SKS (Smt 6 Paket 2 - Smt 7 Paket 2 - Smt 8 Reguler)</t>
  </si>
  <si>
    <t>Jumlah SKS (Smt 6 Paket 3 - Smt 7 Paket 1 - Smt 8 Reguler)</t>
  </si>
  <si>
    <t>Jumlah SKS (Smt 6 Paket 3 - Smt 7 Paket 2 - Smt 8 Reguler)</t>
  </si>
  <si>
    <t>Jumlah SKS (Smt 6 Magang/MSIB - Smt 7 Kewirausahaan - Smt 8 Reguler)</t>
  </si>
  <si>
    <t>Jumlah SKS (Smt 6 Kewirausahaan - Smt 7 Reguler - Smt 8 Reguler)</t>
  </si>
  <si>
    <t>Jumlah SKS (Smt 6 Kewirausahaan - Smt 7 Reguler - Smt 8 Magang/MSIB</t>
  </si>
  <si>
    <t>Jumlah SKS (Smt 6 Kewirausahaan - Smt 7 Magang/MSIB - Smt 8 Reguler)</t>
  </si>
  <si>
    <t>Capaian Pembelajaran Program</t>
  </si>
  <si>
    <t>Nama atau Kode Mata Kuliah / Aktivitas Akademik</t>
  </si>
  <si>
    <t>Tahun ke-1</t>
  </si>
  <si>
    <t>Tahun ke-2</t>
  </si>
  <si>
    <t>Tahun ke-3</t>
  </si>
  <si>
    <t>Tahun ke-4</t>
  </si>
  <si>
    <t>MBKM</t>
  </si>
  <si>
    <t xml:space="preserve">Pancasila </t>
  </si>
  <si>
    <t xml:space="preserve">Agama </t>
  </si>
  <si>
    <t>Komunikasi Dan Etika Profesi</t>
  </si>
  <si>
    <t xml:space="preserve">Konsep Teknologi Informasi </t>
  </si>
  <si>
    <t>Analisis Dan Desain Berorientasi Objek</t>
  </si>
  <si>
    <t>Desain &amp; Pemrograman Web</t>
  </si>
  <si>
    <t xml:space="preserve">Inovasi dan Pemikiran desain </t>
  </si>
  <si>
    <t>Algoritma Dan Struktur Data</t>
  </si>
  <si>
    <t xml:space="preserve">Pemecahan Masalah Kompleks </t>
  </si>
  <si>
    <t>Mampu mengelola tim, manajemen diri, berkomunikasi secara lisan maupun tertulis dengan baik dan mampu melakukan presentasi.</t>
  </si>
  <si>
    <t xml:space="preserve">Bahasa Inggris 1 </t>
  </si>
  <si>
    <t>Strategi Pemasaran (kewirausahaan)</t>
  </si>
  <si>
    <t>Validasi Ide Bisnis (Kewirausahaan)</t>
  </si>
  <si>
    <t>Komunikasi Bisnis (Kewirausahaan)</t>
  </si>
  <si>
    <t>Komunikasi dan etika profesi (Magang / SI)</t>
  </si>
  <si>
    <t>Mampu menyusun deskripsi saintifik hasil kajian implikasi pengembangan atau implementasi ilmu pengetahuan teknologi dalam bentuk skripsi atau laporan tugas akhir atau artikel
ilmiah</t>
  </si>
  <si>
    <t>Mampu merancang, mengimplementasikan,  menguji, melakukan deployment, dan memelihara, serta menjamin mutu perangkat lunak yang menjawab permasalahan dan memenuhi kebutuhan stakeholder.</t>
  </si>
  <si>
    <t>Emerging Technology (Magang / SI)</t>
  </si>
  <si>
    <t>Tren Teknologi (Magang/SI)</t>
  </si>
  <si>
    <t>Mampu mengembangkan sistem komputasi cerdas, analisis data dengan menerapkan algoritma dan teknik kecerdasan artifisial secara tepat guna.</t>
  </si>
  <si>
    <t>Rekayasa Sistem (Magang / SI)</t>
  </si>
  <si>
    <t xml:space="preserve">Workshop Tren Teknologi (Magang/SI)
</t>
  </si>
  <si>
    <t>Praktikum Algoritma Dan Struktur Data</t>
  </si>
  <si>
    <t>Analisis Proses Bisnis (Kewirausahaan)</t>
  </si>
  <si>
    <t>Kelayakan Produk Minimal (Kewirausahaan)</t>
  </si>
  <si>
    <t>Pengolahan Citra Dan Visi Komputer</t>
  </si>
  <si>
    <t>Purwarupa Produk (Kewirausahaan)</t>
  </si>
  <si>
    <t>Penjaminan Mutu Perangkat Lunak (Magang / SI)</t>
  </si>
  <si>
    <t xml:space="preserve">Pengujian Perangkat Lunak </t>
  </si>
  <si>
    <t>Proyek 1 (xx)</t>
  </si>
  <si>
    <t>Proyek 2 (xx)</t>
  </si>
  <si>
    <t>Metodologi Penelitian (xx1)</t>
  </si>
  <si>
    <t>Proposal Skripsi (xx2)</t>
  </si>
  <si>
    <t>Skripsi (xx3)</t>
  </si>
  <si>
    <t>Memiliki pemahaman yang memadai terkait cara kerja sistem komputer dan berbagai teknik/pendekatan berbasis komputasi untuk memecahkan masalah  stakeholder.</t>
  </si>
  <si>
    <t xml:space="preserve">Proyek 2 </t>
  </si>
  <si>
    <t>Proyek Inovasi (Magang / SI)</t>
  </si>
  <si>
    <t>Proyek Kolaboratif (Magang/SI)</t>
  </si>
  <si>
    <t>Minat Keahlian</t>
  </si>
  <si>
    <t xml:space="preserve">Manajemen Proyek </t>
  </si>
  <si>
    <t xml:space="preserve">Sistem Informasi Manajemen </t>
  </si>
  <si>
    <t xml:space="preserve">
Proyek Kewirausahaan (Kewirausahaan)</t>
  </si>
  <si>
    <t>Proyek Inovasi Bisnis (Kewirausahaan)</t>
  </si>
  <si>
    <t>Nama</t>
  </si>
  <si>
    <t>Pendidikan Terakhir</t>
  </si>
  <si>
    <t>Jabatan Akademik</t>
  </si>
  <si>
    <t>Sertifikasi Profesi (dosen dan yang lain)</t>
  </si>
  <si>
    <t>Pengalaman Kerja 
(dalam tahun)</t>
  </si>
  <si>
    <t>Tingkat Kegiatan 
(R=rendah, S=sedang, T=tinggi)</t>
  </si>
  <si>
    <t>Industri</t>
  </si>
  <si>
    <t>Mengajar</t>
  </si>
  <si>
    <t>Institusi ini</t>
  </si>
  <si>
    <t>Organisasi profesi</t>
  </si>
  <si>
    <t>Konsultasi Industri</t>
  </si>
  <si>
    <t>Pengembangan profesi</t>
  </si>
  <si>
    <t>Ade Ismail</t>
  </si>
  <si>
    <t>S2</t>
  </si>
  <si>
    <t>LEKTOR</t>
  </si>
  <si>
    <t>ada</t>
  </si>
  <si>
    <t>R</t>
  </si>
  <si>
    <t>T</t>
  </si>
  <si>
    <t>Adevian Fairuz Pratama</t>
  </si>
  <si>
    <t>ASISTEN AHLI</t>
  </si>
  <si>
    <t>-</t>
  </si>
  <si>
    <t>Agung Nugroho Pramudhita</t>
  </si>
  <si>
    <t>Ahmadi Yuli Ananta</t>
  </si>
  <si>
    <t>Amalia Agung Septarina</t>
  </si>
  <si>
    <t>Annisa Puspa Kirana</t>
  </si>
  <si>
    <t>Annisa Taufika Firdausi</t>
  </si>
  <si>
    <t>Anugrah Nur Rahmanto</t>
  </si>
  <si>
    <t>Ariadi Retno Tri Hayati Ririd</t>
  </si>
  <si>
    <t>Arie Rachmad Syulistyo</t>
  </si>
  <si>
    <t>Arief Prasetyo</t>
  </si>
  <si>
    <t>Astrifidha Rahma Amalia</t>
  </si>
  <si>
    <t>Atiqah Nurul Asri</t>
  </si>
  <si>
    <t>Bagas Satya Dian Nugraha</t>
  </si>
  <si>
    <t>Banni Satria Andoko</t>
  </si>
  <si>
    <t>S3</t>
  </si>
  <si>
    <t>LEKTOR KEPALA</t>
  </si>
  <si>
    <t>Budi Harijanto</t>
  </si>
  <si>
    <t>Cahya Rahmad</t>
  </si>
  <si>
    <t>GURU BESAR</t>
  </si>
  <si>
    <t>Candra Bella Vista</t>
  </si>
  <si>
    <t>Deasy Sandhya Elya Ikawati</t>
  </si>
  <si>
    <t>Deddy Kusbianto Purwoko Aji</t>
  </si>
  <si>
    <t>Dhebys Suryani Hormansyah</t>
  </si>
  <si>
    <t>Dian Hanifudin Subhi</t>
  </si>
  <si>
    <t>Dian Wahyuningsih</t>
  </si>
  <si>
    <t>Dika Rizky Yunianto</t>
  </si>
  <si>
    <t>Dimas Wahyu Wibowo</t>
  </si>
  <si>
    <t>Dinny Wahyu Widarti</t>
  </si>
  <si>
    <t>Eka Larasati Amalia</t>
  </si>
  <si>
    <t>Elok Nur Hamdana</t>
  </si>
  <si>
    <t>Ely Setyo Astuti</t>
  </si>
  <si>
    <t>Endah Septa Sintiya</t>
  </si>
  <si>
    <t>Erfan Rohadi</t>
  </si>
  <si>
    <t>Faiz Ushbah Mubarok</t>
  </si>
  <si>
    <t>Farid Angga Pribadi</t>
  </si>
  <si>
    <t>Farida Ulfa</t>
  </si>
  <si>
    <t>Gunawan Budiprasetyo</t>
  </si>
  <si>
    <t>Habibie Ed Dien</t>
  </si>
  <si>
    <t>Hendra Pradibta</t>
  </si>
  <si>
    <t>Ika Kusumaning Putri</t>
  </si>
  <si>
    <t>Imam Fahrur Rozi</t>
  </si>
  <si>
    <t>Indra Dharma Wijaya</t>
  </si>
  <si>
    <t>Irsyad Arif Mashudi</t>
  </si>
  <si>
    <t>Kadek Suarjuna Batubulan</t>
  </si>
  <si>
    <t>Kingkin Puput Kinanti</t>
  </si>
  <si>
    <t>Luqman Affandi</t>
  </si>
  <si>
    <t>M. Hasyim Ratsanjani</t>
  </si>
  <si>
    <t>Mahmud Yunus</t>
  </si>
  <si>
    <t>Meyti Eka Apriyani</t>
  </si>
  <si>
    <t>Milyun Ni'ma Shoumi</t>
  </si>
  <si>
    <t>Moch. Zawaruddin Abdullah</t>
  </si>
  <si>
    <t>Muhammad Afif Hendrawan</t>
  </si>
  <si>
    <t>Muhammad Shulhan Khairy</t>
  </si>
  <si>
    <t>Muhammad Unggul Pamenang</t>
  </si>
  <si>
    <t>Mungki Astiningrum</t>
  </si>
  <si>
    <t>Mustika Mentari</t>
  </si>
  <si>
    <t>Noprianto</t>
  </si>
  <si>
    <t>Novta Dany'el Irawan</t>
  </si>
  <si>
    <t>Pramana Yoga Saputra</t>
  </si>
  <si>
    <t>Priska Choirina</t>
  </si>
  <si>
    <t>Putra Prima Arhandi</t>
  </si>
  <si>
    <t>Rakhmat Arianto</t>
  </si>
  <si>
    <t>Renaldi Primaswara Prasetya</t>
  </si>
  <si>
    <t>Retno Damayanti</t>
  </si>
  <si>
    <t>Ridwan Rismanto</t>
  </si>
  <si>
    <t>Rizdania</t>
  </si>
  <si>
    <t>Robby Anggriawan</t>
  </si>
  <si>
    <t>Rokhimatul Wakhidah</t>
  </si>
  <si>
    <t>Rosa Andrie Asmara</t>
  </si>
  <si>
    <t>Rudy Ariyanto</t>
  </si>
  <si>
    <t>Satrio Binusa Suryadi</t>
  </si>
  <si>
    <t>Septian Enggar Sukmana</t>
  </si>
  <si>
    <t>Sofyan Noor Arief</t>
  </si>
  <si>
    <t>Titis Octary Satrio</t>
  </si>
  <si>
    <t>TENAGA PENGAJAR</t>
  </si>
  <si>
    <t>Triana Fatmawati</t>
  </si>
  <si>
    <t>Ulla Delfana Rosiani</t>
  </si>
  <si>
    <t>Usman Nurhasan</t>
  </si>
  <si>
    <t>Vipkas Al Hadid Firdaus</t>
  </si>
  <si>
    <t>Vit Zuraida</t>
  </si>
  <si>
    <t>Vivi Nur Wijayaningrum</t>
  </si>
  <si>
    <t>Vivin Ayu Lestari</t>
  </si>
  <si>
    <t>Widaningsih</t>
  </si>
  <si>
    <t>Wilda Imama Sabilla</t>
  </si>
  <si>
    <t>Yan Watequlis Syaifudin</t>
  </si>
  <si>
    <t>Yoppy Yunhasnawa</t>
  </si>
  <si>
    <t>Yuri Ariyanto</t>
  </si>
  <si>
    <t>Yusriel Ardian</t>
  </si>
  <si>
    <t>Matematika sesuai disiplin ilmu computing</t>
  </si>
  <si>
    <t>Topik dasar dan lanjut dalam bidang computing</t>
  </si>
  <si>
    <t>Pendidikan umum (moral, etika, sosial budaya, lingkungan, dan manajemen)</t>
  </si>
  <si>
    <t>RTI211001</t>
  </si>
  <si>
    <t>RTI211002</t>
  </si>
  <si>
    <t>RTI211003</t>
  </si>
  <si>
    <t>RTI211004</t>
  </si>
  <si>
    <t>Matematika 1</t>
  </si>
  <si>
    <t>RTI211005</t>
  </si>
  <si>
    <t>RTI211006</t>
  </si>
  <si>
    <t>RTI211007</t>
  </si>
  <si>
    <t>RTI211008</t>
  </si>
  <si>
    <t>Keselamatan Dan Kesehatan Kerja</t>
  </si>
  <si>
    <t>RTI212001</t>
  </si>
  <si>
    <t>RTI212002</t>
  </si>
  <si>
    <t>Matematika 2</t>
  </si>
  <si>
    <t>RTI212003</t>
  </si>
  <si>
    <t>RTI212004</t>
  </si>
  <si>
    <t>RTI212005</t>
  </si>
  <si>
    <t>RTI212006</t>
  </si>
  <si>
    <t>RTI212007</t>
  </si>
  <si>
    <t>RTI212008</t>
  </si>
  <si>
    <t>RTI212009</t>
  </si>
  <si>
    <t>RTI212010</t>
  </si>
  <si>
    <t>Ilmu Komunikasi Dan Organisasi</t>
  </si>
  <si>
    <t>RTI213001</t>
  </si>
  <si>
    <t>RTI213002</t>
  </si>
  <si>
    <t>Sistem Manajemen Kualitas</t>
  </si>
  <si>
    <t>RTI213003</t>
  </si>
  <si>
    <t>Kecerdasan Buatan</t>
  </si>
  <si>
    <t>RTI213004</t>
  </si>
  <si>
    <t>RTI213005</t>
  </si>
  <si>
    <t>RTI213006</t>
  </si>
  <si>
    <t>Matematika 3</t>
  </si>
  <si>
    <t>RTI213007</t>
  </si>
  <si>
    <t>RTI213008</t>
  </si>
  <si>
    <t>RTI214001</t>
  </si>
  <si>
    <t>RTI214002</t>
  </si>
  <si>
    <t>RTI214003</t>
  </si>
  <si>
    <t>RTI214004</t>
  </si>
  <si>
    <t>Proyek 1</t>
  </si>
  <si>
    <t>RTI214005</t>
  </si>
  <si>
    <t>Business intelligence</t>
  </si>
  <si>
    <t>RTI214006</t>
  </si>
  <si>
    <t>RTI214007</t>
  </si>
  <si>
    <t>RTI214008</t>
  </si>
  <si>
    <t>RTI214009</t>
  </si>
  <si>
    <t>RTI215001</t>
  </si>
  <si>
    <t>RTI215002</t>
  </si>
  <si>
    <t>RTI215003</t>
  </si>
  <si>
    <t>RTI215004</t>
  </si>
  <si>
    <t>RTI215005</t>
  </si>
  <si>
    <t>RTI215006</t>
  </si>
  <si>
    <t>RTI215007</t>
  </si>
  <si>
    <t>RTI215008</t>
  </si>
  <si>
    <t>RTI216001</t>
  </si>
  <si>
    <t>RTI216002</t>
  </si>
  <si>
    <t>RTI216003</t>
  </si>
  <si>
    <t>RTI216104</t>
  </si>
  <si>
    <t>RTI216105</t>
  </si>
  <si>
    <t>RTI216106</t>
  </si>
  <si>
    <t>RTI216107</t>
  </si>
  <si>
    <t>RTI216204</t>
  </si>
  <si>
    <t>RTI216205</t>
  </si>
  <si>
    <t>RTI216206</t>
  </si>
  <si>
    <t>RTI216207</t>
  </si>
  <si>
    <t>RTI216304</t>
  </si>
  <si>
    <t>Proyek Kewirausahaan</t>
  </si>
  <si>
    <t>RTI216305</t>
  </si>
  <si>
    <t>Validasi Ide Bisnis</t>
  </si>
  <si>
    <t>RTI216306</t>
  </si>
  <si>
    <t>Analisis Proses Bisnis</t>
  </si>
  <si>
    <t>RTI216307</t>
  </si>
  <si>
    <t>Purwarupa Produk</t>
  </si>
  <si>
    <t>RTI217001</t>
  </si>
  <si>
    <t>RTI217102</t>
  </si>
  <si>
    <t>RTI217103</t>
  </si>
  <si>
    <t>Perancangan Produk Kreatif</t>
  </si>
  <si>
    <t>RTI217104</t>
  </si>
  <si>
    <t>Kepemimpinan Bidang IT</t>
  </si>
  <si>
    <t>RTI217203</t>
  </si>
  <si>
    <t>Proyek Kolaboratif</t>
  </si>
  <si>
    <t>RTI217204</t>
  </si>
  <si>
    <t>Tren Teknologi</t>
  </si>
  <si>
    <t>RTI217205</t>
  </si>
  <si>
    <t>Workshop Tren Teknologi</t>
  </si>
  <si>
    <t>RTI217303</t>
  </si>
  <si>
    <t>Proyek Inovasi Bisnis</t>
  </si>
  <si>
    <t>RTI217304</t>
  </si>
  <si>
    <t>Kelayakan Produk Minimal</t>
  </si>
  <si>
    <t>RTI217305</t>
  </si>
  <si>
    <t>Strategi Pemasaran</t>
  </si>
  <si>
    <t>RTI218001</t>
  </si>
  <si>
    <t>RTI218002</t>
  </si>
  <si>
    <t>RTI218201</t>
  </si>
  <si>
    <t>Inovasi dan Pemikiran desain</t>
  </si>
  <si>
    <t>RTI218202</t>
  </si>
  <si>
    <t>Pemecahan Masalah Kompleks</t>
  </si>
  <si>
    <t>Jumlah SKS</t>
  </si>
  <si>
    <t>Min. 50%</t>
  </si>
  <si>
    <t>Max. 30%</t>
  </si>
  <si>
    <t>Nb: harus ada MK Natural Science IPA  (fisika 2 sks teori, 1 sks praktikum)</t>
  </si>
  <si>
    <t>Untuk smt akhir bisa ditambahkan matrikulasi</t>
  </si>
  <si>
    <t>Mengadakan rapat evaluasi kurikulum:</t>
  </si>
  <si>
    <t>1. Mahasiswa smt 6 dan 8 mengikuti matrikulasi MK Fisika</t>
  </si>
  <si>
    <t>2. Merekontruksi kurikulum dengan menambahkan MK Fisika di smt awal mis smt 3</t>
  </si>
  <si>
    <t>KURIKULUM TAHUN 2021</t>
  </si>
  <si>
    <t>PROGRAM STUDI DIV TEKNIK INFORMATIKA</t>
  </si>
  <si>
    <t>JURUSAN TEKNOLOGI INFORMASI</t>
  </si>
  <si>
    <t>SEMESTER</t>
  </si>
  <si>
    <t>KODE MK</t>
  </si>
  <si>
    <t>MATA KULIAH</t>
  </si>
  <si>
    <t>KELOMPOK MK</t>
  </si>
  <si>
    <t>BOBOT SKS</t>
  </si>
  <si>
    <t>SKS</t>
  </si>
  <si>
    <t>JAM / MINGGU</t>
  </si>
  <si>
    <t>JML JAM</t>
  </si>
  <si>
    <t>TEORI</t>
  </si>
  <si>
    <t>PRAKTEK</t>
  </si>
  <si>
    <t>WN</t>
  </si>
  <si>
    <t>WP</t>
  </si>
  <si>
    <t>Teknologi Informasi</t>
  </si>
  <si>
    <t>nama diubah</t>
  </si>
  <si>
    <t>WP-PT</t>
  </si>
  <si>
    <t>TOTAL JAM / SKS PER MINGGU</t>
  </si>
  <si>
    <t>RTI215009</t>
  </si>
  <si>
    <t>KETERANGAN</t>
  </si>
  <si>
    <t>MK Wajib</t>
  </si>
  <si>
    <t>Konversi untuk Paket 2 dan Paket 1</t>
  </si>
  <si>
    <t>MK Pilihan Reguler</t>
  </si>
  <si>
    <t>MK Pilihan Magang / Studi Independen</t>
  </si>
  <si>
    <t>MK Pilihan</t>
  </si>
  <si>
    <t>TOTAL JAM / SKS WAJIB PER MINGGU</t>
  </si>
  <si>
    <t>MK Pilihan Kewirausahaan</t>
  </si>
  <si>
    <t>PAKET PILIHAN 1 -  Reguler</t>
  </si>
  <si>
    <t>RTI218102</t>
  </si>
  <si>
    <t>PAKET PILIHAN 2 - Magang / Studi Independen / Kewirausahaan</t>
  </si>
  <si>
    <t>MK Pilihan Magang / Studi Independen / Kewirausahaan</t>
  </si>
  <si>
    <t>TOTAL JAM / SKS PER MINGGU KESELURUHAN</t>
  </si>
  <si>
    <t>JML SKS</t>
  </si>
  <si>
    <t>PROSENTASE JAM / SKS PER MINGGU KESELURUHAN</t>
  </si>
  <si>
    <t>PSKS</t>
  </si>
  <si>
    <t>PJAM/MINGGU</t>
  </si>
  <si>
    <t>Tabel Suplemen B4. Daftar Kegiatan Dosen yang Terlibat di dalam Pembelajaran Mahasiswa dalam rangka Pemenuhan Capaian Pembelajaran Program</t>
  </si>
  <si>
    <t>IMAM FAHRUR ROZI</t>
  </si>
  <si>
    <t>Supplementary Table B4. List of Faculty involved in Student Learning to achieve Program Learning Outcomes</t>
  </si>
  <si>
    <t>Lengkapi tabel kegiatan dosen 1 tahun akademik terakhir, termasuk dosen tetap dan dosen tidak tetap</t>
  </si>
  <si>
    <t>Nama Dosen</t>
  </si>
  <si>
    <t>Matakuliah yang Diampu (semester ganjil dan genap)</t>
  </si>
  <si>
    <t>Distribusi beban kegiatan (dalam SKS)*</t>
  </si>
  <si>
    <t>% waktu untuk Program Studi</t>
  </si>
  <si>
    <t>Pembelajaran</t>
  </si>
  <si>
    <t>Penelitian dan Pengabdian Masyarakat</t>
  </si>
  <si>
    <t>Pengelolaan Institusi</t>
  </si>
  <si>
    <t>Di luar Program Studi</t>
  </si>
  <si>
    <t>Jumlah SKS total di Prodi</t>
  </si>
  <si>
    <t>%</t>
  </si>
  <si>
    <t>Ade Ismail, S.Kom., M.TI.</t>
  </si>
  <si>
    <t>Jumlah</t>
  </si>
  <si>
    <t>Ganjil</t>
  </si>
  <si>
    <t>Genap</t>
  </si>
  <si>
    <t>Adevian Fairuz Pratama, S.S.T, M.Eng.</t>
  </si>
  <si>
    <t>Agung Nugroho Pramudhita, S.T., M.T.</t>
  </si>
  <si>
    <t>Internet of Things</t>
  </si>
  <si>
    <t>Ahmadi Yuli Ananta, S.T, M.M.</t>
  </si>
  <si>
    <t>Anita Kurnia Rachman, S.Pd., M.Pd.</t>
  </si>
  <si>
    <t>Anugrah Nur Rahmanto, S.Sn., M.Ds.</t>
  </si>
  <si>
    <t>Ariadi Retno Tri Hayati Ririd, S.Kom., M.Kom.</t>
  </si>
  <si>
    <t>Ariyanti, SH., MH.LL.M.</t>
  </si>
  <si>
    <t>Astrifidha Rahma Amalia, S.Pd., M.Pd.</t>
  </si>
  <si>
    <t>Atiqah Nurul Asri, S.Pd., M.Pd.</t>
  </si>
  <si>
    <t>Bagas Satya Dian Nugraha, S.T., M.T.</t>
  </si>
  <si>
    <t>Critical Thinking dan Problem Solving</t>
  </si>
  <si>
    <t>Budi Harijanto, S.T., M.MKom.</t>
  </si>
  <si>
    <t>Candra Bella Vista, S.Kom., M.T.</t>
  </si>
  <si>
    <t>Deasy Sandhya Elya Ikawati, S.Si., M.Si.</t>
  </si>
  <si>
    <t>Dhebys Suryani Hormansyah, S.Kom., M.T.</t>
  </si>
  <si>
    <t>Dian Hanifudin Subhi, S.Kom., M.Kom.</t>
  </si>
  <si>
    <t>Dian Wahyuningsih, S.Kom, M.MSI</t>
  </si>
  <si>
    <t>Dika Rizky Yunianto, S.Kom., M.Kom.</t>
  </si>
  <si>
    <t>Dimas Wahyu Wibowo, S.T., M.T.</t>
  </si>
  <si>
    <t>Dinny Wahyu Widarti, S.Kom, M.MSI</t>
  </si>
  <si>
    <t>Dr. Ely Setyo Astuti, S.T., M.T.</t>
  </si>
  <si>
    <t>Dr. Eng. Banni Satria Andoko, S.Kom., M.MSI.</t>
  </si>
  <si>
    <t>Dr. Rakhmat Arianto, S.ST., M.Kom.</t>
  </si>
  <si>
    <t>Dr. Ulla Delfana Rosiani, S.T., M.T.</t>
  </si>
  <si>
    <t>Dr. Widaningsih, S.H., M.H.</t>
  </si>
  <si>
    <t>Eka Larasati Amalia, S.ST., M.T.</t>
  </si>
  <si>
    <t>Elok Nur Hamdana, S.T, M.T.</t>
  </si>
  <si>
    <t>Endah Septa Sintiya, S.Pd., M.Kom.</t>
  </si>
  <si>
    <t>Erfan Rohadi, S.T., M.Eng., Ph.D.</t>
  </si>
  <si>
    <t>Farid Angga Pribadi, S.Kom., M.Kom.</t>
  </si>
  <si>
    <t>Farida Ulfa, S.Pd., M.Pd.</t>
  </si>
  <si>
    <t>Habibie Ed Dien, S.Kom., M.T.</t>
  </si>
  <si>
    <t>Hendra Pradibta, S.E., M.Sc.</t>
  </si>
  <si>
    <t>Ikhsan Setiawan, S.Pd.I., M.Pd.</t>
  </si>
  <si>
    <t>Imam Fahrur Rozi, S.T., M.T.</t>
  </si>
  <si>
    <t>Indra Dharma Wijaya, S.T., M.MT.</t>
  </si>
  <si>
    <t>Ir. Deddy Kusbianto Purwoko Aji, M.MKom.</t>
  </si>
  <si>
    <t>Ir. Rudy Ariyanto, S.T., M.Cs.</t>
  </si>
  <si>
    <t>Ir. Yan Watequlis Syaifudin, S.T., M.MT., Ph.D.</t>
  </si>
  <si>
    <t>Irsyad Arif Mashudi, S.Kom., M.Kom.</t>
  </si>
  <si>
    <t>Kingkin Puput Kinanti, S.Pd, M.A.</t>
  </si>
  <si>
    <t>M. Hasyim Ratsanjani, S.Kom., M.Kom.</t>
  </si>
  <si>
    <t>Mahmud Yunus, S.Kom, M. Pd., M.T.</t>
  </si>
  <si>
    <t>Mamluatul Hani'ah, S.Kom., M.Kom.</t>
  </si>
  <si>
    <t>Meyti Eka Apriyani, S.T., M.T.</t>
  </si>
  <si>
    <t>Moch. Zawaruddin Abdullah, S.ST., M.Kom.</t>
  </si>
  <si>
    <t>Muhammad Afif Hendrawan, S.Kom., M.T.</t>
  </si>
  <si>
    <t>Muhammad Unggul Pamenang, S.ST., M.T.</t>
  </si>
  <si>
    <t>Mungki Astiningrum, S.T., M.Kom.</t>
  </si>
  <si>
    <t>Novta Dany'el Irawan, S.Pd., M.T.</t>
  </si>
  <si>
    <t>Pramana Yoga Saputra, S.Kom., M.MT.</t>
  </si>
  <si>
    <t>Priska Choirina, S.S.T., M.Tr.T.</t>
  </si>
  <si>
    <t>Prof. Dr. Eng. Cahya Rahmad, S.T., M.Kom.</t>
  </si>
  <si>
    <t>Prof. Dr. Eng. Rosa Andrie Asmara, S.T., M.T.</t>
  </si>
  <si>
    <t>Renaldi Primaswara Prasetya, S.Kom, M.Kom</t>
  </si>
  <si>
    <t>Retno Damayanti, S.Pd., M.T.</t>
  </si>
  <si>
    <t>Ridwan Rismanto, S.ST., M.Kom.</t>
  </si>
  <si>
    <t>Rizki Putri Ramadhani, S.S., M.Pd.</t>
  </si>
  <si>
    <t>Rokhimatul Wakhidah, S.Pd., M.T.</t>
  </si>
  <si>
    <t>Satrio Binusa Suryadi, S.S., M.Pd.</t>
  </si>
  <si>
    <t>Sofyan Noor Arief, S.ST., M.Kom.</t>
  </si>
  <si>
    <t>Triana Fatmawati,S.T., M.T.</t>
  </si>
  <si>
    <t>Usman Nurhasan, S.Kom., M.T.</t>
  </si>
  <si>
    <t>Vipkas Al Hadid Firdaus, S.T., M.T.</t>
  </si>
  <si>
    <t>Vit Zuraida, S.Kom., M.Kom.</t>
  </si>
  <si>
    <t>Vivi Nur Wijayaningrum, S.Kom., M.Kom.</t>
  </si>
  <si>
    <t>Wilda Imama Sabilla, S.Kom., M.Kom.</t>
  </si>
  <si>
    <t>Yoppy Yunhasnawa, S.ST., M.Sc.</t>
  </si>
  <si>
    <t>Yuri Ariyanto, S.Kom., M.Kom.</t>
  </si>
  <si>
    <t>Yusriel Ardian, S.Kom, M.Kom.</t>
  </si>
  <si>
    <t>*  dinyatakan ekuivalen dengan SKS matakuliah</t>
  </si>
  <si>
    <t>Penelitian termasuk kegiatan pembimbingan Tugas Akhir</t>
  </si>
  <si>
    <t>Pengelolaan institusi termasuk kegiatan perwalian, pengelolaan kegiatan kemahasiswaan, koordinator laboratorium, kerja-praktek, kaprodi</t>
  </si>
  <si>
    <t>Di luar program studi termasuk mengajar dan membimbing mahasiswa pascasarjana atau menjadi pejabat sturktural di luar program studi</t>
  </si>
  <si>
    <t>Persentase distribusi dihitung untuk setiap semester.</t>
  </si>
  <si>
    <t>Tabel Suplemen B5. CV Singkat Dosen yang Terlibat di dalam Pembelajaran Mahasiswa dalam rangka Pemenuhan Capaian Pembelajaran Progam</t>
  </si>
  <si>
    <t>Supplementary Table B5. Short CV of Faculty Members involved in Student Learning to achieve Program Learning Outcomes</t>
  </si>
  <si>
    <t>PROFIL DOSEN : Latar Belakang Pendidikan: jenjang, bidang studi, tempat studi, tahun kelulusan</t>
  </si>
  <si>
    <t>Pengalaman akademik – jabatan akademik dan jabatan struktural</t>
  </si>
  <si>
    <t>Pengalaman non akademik</t>
  </si>
  <si>
    <t>Sertifikasi profesi keinsinyuran</t>
  </si>
  <si>
    <t>Keanggotaan organisasi profesi</t>
  </si>
  <si>
    <t>Penghargaan yang diperoleh</t>
  </si>
  <si>
    <t>Jasa layanan yang pernah diberikan kepada masyarakat</t>
  </si>
  <si>
    <t>Judul Publikasi Ilmiah</t>
  </si>
  <si>
    <t>Pengembangan Keprofesian</t>
  </si>
  <si>
    <t>Jenjang</t>
  </si>
  <si>
    <t xml:space="preserve">Bidang Studi </t>
  </si>
  <si>
    <t>Tempat Studi</t>
  </si>
  <si>
    <t>Tahun Kelulusan</t>
  </si>
  <si>
    <t>UNIVERSITAS BINA NUSANTARA</t>
  </si>
  <si>
    <t>TEKNIK INFORMATIKA</t>
  </si>
  <si>
    <t>POLITEKNIK NEGERI MALANG</t>
  </si>
  <si>
    <t>TEKNIK ELEKTRO</t>
  </si>
  <si>
    <t>UNIVERSITAS BRAWIJAYA</t>
  </si>
  <si>
    <t>MAGISTER MANAJEMEN</t>
  </si>
  <si>
    <t>UNIVERSITAS GAJAYANA</t>
  </si>
  <si>
    <t>Amalia Agung Septarina, S.S.T, M.Tr.T.</t>
  </si>
  <si>
    <t>TERAPAN TEKNIK ELEKTRO</t>
  </si>
  <si>
    <t>Annisa Puspa Kirana, S.Kom., M.Kom.</t>
  </si>
  <si>
    <t>ILMU KOMPUTER</t>
  </si>
  <si>
    <t>INSTITUT PERTANIAN BOGOR</t>
  </si>
  <si>
    <t>Annisa Taufika Firdausi, S.T., M.T.</t>
  </si>
  <si>
    <t>UNIVERSITAS TRISAKTI</t>
  </si>
  <si>
    <t>ITS SURABAYA</t>
  </si>
  <si>
    <t>Arie Rachmad Syulistyo, S.Kom., M.Kom.</t>
  </si>
  <si>
    <t>UNIVERSITAS INDONESIA</t>
  </si>
  <si>
    <t>Arief Prasetyo, S.Kom., M.Kom.</t>
  </si>
  <si>
    <t>Teknik Informatika</t>
  </si>
  <si>
    <t>INSTITUT TEKNOLOGI SEPULUH NOPEMBER</t>
  </si>
  <si>
    <t>PAI (PENDIDIKAN AGAMA ISLAM)</t>
  </si>
  <si>
    <t>UIN MAULANA MALIK IBRAHIM</t>
  </si>
  <si>
    <t>BAHASA INGGRIS</t>
  </si>
  <si>
    <t>UNIVERSITAS NEGERI MALANG</t>
  </si>
  <si>
    <t>INFORMATION ENGINEERING</t>
  </si>
  <si>
    <t>HIROSHIMA UNIVERSITY 1-3-2 KAGAMIYAMA</t>
  </si>
  <si>
    <t>MANAJEMEN INFORMATIKA</t>
  </si>
  <si>
    <t>UNIVERSITAS TEKNOLOGI SURABAYA</t>
  </si>
  <si>
    <t>INFORMATION SCIENCE</t>
  </si>
  <si>
    <t>SAGA UNIVERSITY</t>
  </si>
  <si>
    <t>INFORMATIKA</t>
  </si>
  <si>
    <t>INSTITUT TEKNOLOGI BANDUNG</t>
  </si>
  <si>
    <t>MATEMATIKA</t>
  </si>
  <si>
    <t>Teknik Elektro</t>
  </si>
  <si>
    <t>MANAJEMEN SISTEM INFORMASI</t>
  </si>
  <si>
    <t>UNIVERSITAS GUNADARMA</t>
  </si>
  <si>
    <t>TEKNIK MESIN</t>
  </si>
  <si>
    <t>SISTEM INFORMASI</t>
  </si>
  <si>
    <t>COMPUTER SCIENCE</t>
  </si>
  <si>
    <t>Universitas Nagasaki</t>
  </si>
  <si>
    <t>Faiz Ushbah Mubarok, S.Pd., M.Pd.</t>
  </si>
  <si>
    <t>PENDIDIKAN BAHASA INGGRIS</t>
  </si>
  <si>
    <t>Gunawan Budiprasetyo, S.T., M.MT., Ph.D.</t>
  </si>
  <si>
    <t>UNIVERSITY OF SOUTHAMPTON</t>
  </si>
  <si>
    <t>UNIVERSITY OF NEWCASTLE UPON TYNE</t>
  </si>
  <si>
    <t>Ika Kusumaning Putri, S.Kom., M.T.</t>
  </si>
  <si>
    <t>SISKOM DAN INFORMATIKA</t>
  </si>
  <si>
    <t>Dr. Indra Dharma Wijaya, S.T., M.MT.</t>
  </si>
  <si>
    <t>ILMU ADMINISTRASI</t>
  </si>
  <si>
    <t>Kadek Suarjuna Batubulan, S.Kom., M.T.</t>
  </si>
  <si>
    <t>SISTEM KOMUNIKASI &amp; INFORMATIK</t>
  </si>
  <si>
    <t>Luqman Affandi, S.Kom., M.M.SI.</t>
  </si>
  <si>
    <t>Manajemen Sistem Informasi</t>
  </si>
  <si>
    <t>Universitas Gunadarma</t>
  </si>
  <si>
    <t>PENDIDIKAN LUAR SEKOLAH</t>
  </si>
  <si>
    <t>TELEKOMUNIKASI</t>
  </si>
  <si>
    <t>INSTITUT TEKNOLOGI TELKOM</t>
  </si>
  <si>
    <t>Milyun Ni'ma Shoumi, S.Kom., M.Kom.</t>
  </si>
  <si>
    <t>Muhammad Shulhan Khairy, S.Kom., M.Kom.</t>
  </si>
  <si>
    <t>TEKNIK INFORMATIKA &amp; KOMPUTER</t>
  </si>
  <si>
    <t>POLITEKNIK ELEKTRONIKA NEGERI SURABAYA</t>
  </si>
  <si>
    <t>Mustika Mentari, S.Kom., M.Kom.</t>
  </si>
  <si>
    <t>Noprianto, S.Kom., M.Eng.</t>
  </si>
  <si>
    <t>UNIVERSITAS GADJAH MADA</t>
  </si>
  <si>
    <t>PENDIDIKAN TEKNIK INFORMATIKA</t>
  </si>
  <si>
    <t>MANAJEMEN TEKNOLOGI INFORMASI</t>
  </si>
  <si>
    <t>INSTITUT TEKNOLOGI SEPULUH NOVENBER</t>
  </si>
  <si>
    <t>Putra Prima Arhandi, S.T., M.Kom.</t>
  </si>
  <si>
    <t>Institut Teknologi Sepuluh Nopember</t>
  </si>
  <si>
    <t>Ridwan Rismanto, S.ST., M.Kom., Ph.D.</t>
  </si>
  <si>
    <t>INFORMATICS AND DATA SCIENCE</t>
  </si>
  <si>
    <t>HIROSHIMA UNIVERSITY</t>
  </si>
  <si>
    <t>Rizdania, S.T., M.Kom.</t>
  </si>
  <si>
    <t>PENDIDIKAN BAHASA INDONESIA</t>
  </si>
  <si>
    <t>Robby Anggriawan, S.E, M.E.</t>
  </si>
  <si>
    <t>EKONOMI PEMBANGUNAN</t>
  </si>
  <si>
    <t>SCIENCE &amp; ADVANCED TECHNOLOGY</t>
  </si>
  <si>
    <t>PROGRAM PROFESI INSINYUR</t>
  </si>
  <si>
    <t>UNIVERSITAS JEMBER</t>
  </si>
  <si>
    <t>Septian Enggar Sukmana, S.Pd., M.T.</t>
  </si>
  <si>
    <t>Titis Octary Satrio, S.ST., M.MT.</t>
  </si>
  <si>
    <t>INSTITUT TEKNOLOGI SEPULUH NOPEMBER (ITS)</t>
  </si>
  <si>
    <t>Triana Fatmawati, S.T., M.T.</t>
  </si>
  <si>
    <t>TEKNIK DAN MANAJEMEN INDUSTRI</t>
  </si>
  <si>
    <t>Vivin Ayu Lestari, S.Pd., M.Kom.</t>
  </si>
  <si>
    <t>ILMU HUKUM</t>
  </si>
  <si>
    <t>Prof. Ir. Yan Watequlis Syaifudin, S.T., M.MT., Ph.D.</t>
  </si>
  <si>
    <t>INDUSTRIAL INNOVATION SCIENCES</t>
  </si>
  <si>
    <t>OKAYAMA UNIVERSITY</t>
  </si>
  <si>
    <t>CHANG GUNG UNIVERSITY</t>
  </si>
  <si>
    <t>Dr. Yuri Ariyanto, S.Kom., M.Kom.</t>
  </si>
  <si>
    <t>TEKNIK ELEKTRO DAN INFORMATIKA</t>
  </si>
  <si>
    <t>SEKOLAH TINGGI INFORMATIKA DAN KOMPUTER INDONESIA</t>
  </si>
  <si>
    <t>Data Dukung</t>
  </si>
  <si>
    <t>Pengalaman akademik – jabatan akademik (sebutkan tahun pengangkatan), jabatan struktural yang pernah dipegang (koordinator lab, ketua program studi, dll, serta tahun menjabat)</t>
  </si>
  <si>
    <t>Jabatan Struktural</t>
  </si>
  <si>
    <t>Nama Jabatan</t>
  </si>
  <si>
    <t>Tahun Pengangkatan</t>
  </si>
  <si>
    <t>Tahun</t>
  </si>
  <si>
    <t>Dosen Pembina Akademik TI</t>
  </si>
  <si>
    <t>2023-2024</t>
  </si>
  <si>
    <t>Adevian Fairuz Pratama, S.ST., M.Eng,</t>
  </si>
  <si>
    <t>Kepala Laboratorium Leaming Technology S2</t>
  </si>
  <si>
    <t>Ahmadi Yuli Ananta, ST., M.M.</t>
  </si>
  <si>
    <t>ANGGOTA SENAT</t>
  </si>
  <si>
    <t>2023-2026</t>
  </si>
  <si>
    <t>Kepala Laboratorium Komputasi dan Jaringan</t>
  </si>
  <si>
    <t>Annisa Taufika Firdausi, ST., MT.</t>
  </si>
  <si>
    <t>Anugrah Nur Rahmanto, S.Sn., M.Ds</t>
  </si>
  <si>
    <t>Ariadi Retno Ririd, S.Kom., M.Kom.</t>
  </si>
  <si>
    <t>Astrifidha Rahma Amalia,S.Pd., M.Pd.</t>
  </si>
  <si>
    <t>KEPALA UPA BAHASA TI</t>
  </si>
  <si>
    <t>2023-2027</t>
  </si>
  <si>
    <t>Dr.Eng. Banni Satrio Andoko, S.Kom., M.MSI.</t>
  </si>
  <si>
    <t>KOORDINATOR PROGRAM STUDI S2 TERAPAN REKAYASA TEKNOLOGI INFORMASI</t>
  </si>
  <si>
    <t>Budi Harijanto, ST., M.MKom.</t>
  </si>
  <si>
    <t>Prof. Dr.Eng. Cahya Rahmad, S.T., M.Kom.</t>
  </si>
  <si>
    <t>Kepala Laboratorium Visi S2</t>
  </si>
  <si>
    <t>Kepala Laboratorium Riset</t>
  </si>
  <si>
    <t>Kepala Laboratorium Intelligent Vision and Smart System</t>
  </si>
  <si>
    <t>Candrasena Setiadi, S.ST., M.T</t>
  </si>
  <si>
    <t>Ir. Deddy Kusbianto P.A., M.Kom.</t>
  </si>
  <si>
    <t>Dhebys Suryani, S.Kom., M.T.</t>
  </si>
  <si>
    <t>Dimas Wahyu Wibowo, ST., MT.</t>
  </si>
  <si>
    <t>Kepala Laboratorium Pemrograman Database PPLS</t>
  </si>
  <si>
    <t>Kepala Laboratorium Mobile and Multimedia Technologies</t>
  </si>
  <si>
    <t>Dodit Suprianto SKom. MT.</t>
  </si>
  <si>
    <t>Dwi Puspitasari, S.Kom., M.Kom.</t>
  </si>
  <si>
    <t>Kepala Laboratorium Rekayasa Perangkat Lunak</t>
  </si>
  <si>
    <t>Kepala Laboratorium Data Technologies</t>
  </si>
  <si>
    <t>Eka Larasati Amalia, S.ST., MT.</t>
  </si>
  <si>
    <t>Kepala Laboratorium Pengembangan Inkubator Bisnis Berbasis Teknologi</t>
  </si>
  <si>
    <t>Ekojono, ST., M.Kom.</t>
  </si>
  <si>
    <t>Elok Nur Hamdana, S.T., M.T</t>
  </si>
  <si>
    <t>Kepala Laboratorium Sistem Informasi</t>
  </si>
  <si>
    <t>Dr. Ely Setyo Astuti, ST., MT.</t>
  </si>
  <si>
    <t>KOORDINATOR PROGRAM STUDI D-IV TEKNIK INFORMATIKA</t>
  </si>
  <si>
    <t>Endah Septa Sintiya. SPd., MKom.</t>
  </si>
  <si>
    <t>Erfan Rohadi, ST., M.Eng., Ph.D.</t>
  </si>
  <si>
    <t>Kepala Laboratorium Project</t>
  </si>
  <si>
    <t>Kepala Laboratorium Network and Cyber Security</t>
  </si>
  <si>
    <t>Farid Angga Pribadi, S.Kom.,M.Kom</t>
  </si>
  <si>
    <t>Gunawan Budi Prasetyo, ST., MMT., Ph.D.</t>
  </si>
  <si>
    <t>KOORDINATOR PROGRAM STUDI D-III TEKNOLOGI INFORMASI PSDKU LUMAJANG</t>
  </si>
  <si>
    <t>KOORDINATOR PENGELOLA PSDKU LUMAJANG</t>
  </si>
  <si>
    <t>Hendra Pradibta, SE., M.Sc.</t>
  </si>
  <si>
    <t>KOORDINATOR PROGRAM STUDI D-IV SISTEM INFORMASI BISNIS</t>
  </si>
  <si>
    <t>Henny Purwaningsih, Dra., M.Pd</t>
  </si>
  <si>
    <t>Imam Fahrur Rozi, ST., MT.</t>
  </si>
  <si>
    <t>Kepala Laboratorium Software Engineering</t>
  </si>
  <si>
    <t>Irsyad Arif Mashudi, S.Kom M.Kom</t>
  </si>
  <si>
    <t>Kadek Suarjuna Batubulan, S.Kom, MT</t>
  </si>
  <si>
    <t>Koordinator MBKM TI</t>
  </si>
  <si>
    <t>M. Hasyim Ratsanjani SKom., MKom.</t>
  </si>
  <si>
    <t>Mamluatul Hani'ah, S.Kom., M.Kom</t>
  </si>
  <si>
    <t>Kepala Laboratorium Visi Komputer</t>
  </si>
  <si>
    <t>Moch. Zawaruddin Abdullah, S.ST., M.Kom</t>
  </si>
  <si>
    <t>Muhammad Afif Hendrawan., S.Kom., M.T.</t>
  </si>
  <si>
    <t>DOSEN PEMBINA KEMAHASISWAAN JURUSAN TEKNOLOGI INFORMASI</t>
  </si>
  <si>
    <t>Muhammad Shulhan Khairy, S.Kom, M.Kom</t>
  </si>
  <si>
    <t>Muhammad Unggul Pamenang, S.St., M.T.</t>
  </si>
  <si>
    <t>Mungki Astiningrum, ST., M.Kom.</t>
  </si>
  <si>
    <t>SEKRETARIS JURUSAN TEKNOLOGI INFORMASI</t>
  </si>
  <si>
    <t>Noprianto SKom., MEng.</t>
  </si>
  <si>
    <t>Pramana Yoga Saputra, S.Kom., MMT.</t>
  </si>
  <si>
    <t>KOORDINATOR PROGRAM STUDI D-II PENGEMBANGAN PERANGKAT (PIRANTI) LUNAK SITUS</t>
  </si>
  <si>
    <t>Putra Prima A., ST., M.Kom.</t>
  </si>
  <si>
    <t>Rakhmat Arianto, S.ST., M.Kom., Dr.</t>
  </si>
  <si>
    <t>Kepala Laboratorium Business Analistycs</t>
  </si>
  <si>
    <t>Robby Anggriawan SE., ME.</t>
  </si>
  <si>
    <t>Rosa Andrie Asmara, ST., MT., Dr. Eng.</t>
  </si>
  <si>
    <t>KETUA JURUSAN TEKNOLOGI INFORMASI</t>
  </si>
  <si>
    <t>Dosen Pembina Akademik</t>
  </si>
  <si>
    <t>Rudy Ariyanto, ST., M.Cs.</t>
  </si>
  <si>
    <t>Kepala Laboratorium Information Systems</t>
  </si>
  <si>
    <t>Satrio Binusa S, SS, M.Pd</t>
  </si>
  <si>
    <t>Septian Enggar Sukmana, S.Pd., M.T</t>
  </si>
  <si>
    <t>Ulla Delfana Rosiani, ST., MT., Dr.</t>
  </si>
  <si>
    <t>Kepala Laboratorium Web Technology S2</t>
  </si>
  <si>
    <t>Usman Nurhasan, S.Kom., MT.</t>
  </si>
  <si>
    <t>Kepala Laboratorium Data Science</t>
  </si>
  <si>
    <t>Vipkas Al Hadid Firdaus, ST,. MT</t>
  </si>
  <si>
    <t>Kepala Laboratorium Sistem Cerdas</t>
  </si>
  <si>
    <t>Vivi Nur Wijayaningrum, S.Kom, M.Kom</t>
  </si>
  <si>
    <t>Widaningsih Condrowardhani, SH, MH.</t>
  </si>
  <si>
    <t>Yan Watequlis Syaifudin, ST., MMT., PhD.</t>
  </si>
  <si>
    <t>Kepala Laboratorium Mobile</t>
  </si>
  <si>
    <t>Pengalaman non akademik jika ada (nama jabatan, nama organisasi/perusahaan, waktu menjabat)</t>
  </si>
  <si>
    <t>Organisasi / Perusahaan</t>
  </si>
  <si>
    <t>Waktu Menjabat</t>
  </si>
  <si>
    <t>Quality Assurrance Manager</t>
  </si>
  <si>
    <t>PT SEVIMA</t>
  </si>
  <si>
    <t>2022- April 2024</t>
  </si>
  <si>
    <t>Technical Engineer</t>
  </si>
  <si>
    <t>Appnitro Software</t>
  </si>
  <si>
    <t>2014-sekarang</t>
  </si>
  <si>
    <t>Tenaga Ahli dan Special Technician</t>
  </si>
  <si>
    <t>Dinas Pekerjaan Umum, Penataan Ruang, Perumahan dan Kawasan Permukiman Kota Malang</t>
  </si>
  <si>
    <t>1 Oktober 2021 - 31 Desember 2021</t>
  </si>
  <si>
    <t xml:space="preserve"> System Administrator</t>
  </si>
  <si>
    <t>PT. Nusantara Baskara Raya</t>
  </si>
  <si>
    <t>Fasilitator/Instruktur</t>
  </si>
  <si>
    <t>Dicoding Indonesia &amp; Indosat Ooreedoo Hutchison</t>
  </si>
  <si>
    <t>Dicoding Indonesia &amp; PT Bank DBS Indonesia</t>
  </si>
  <si>
    <t>Data Engineer</t>
  </si>
  <si>
    <t>Desember 2022 - Maret 2023</t>
  </si>
  <si>
    <t>Chief Technology Officer</t>
  </si>
  <si>
    <t>PT. Digital Solusi Grup</t>
  </si>
  <si>
    <t>2023 - sekarang</t>
  </si>
  <si>
    <t>PT. Quantum Grid Indonesia</t>
  </si>
  <si>
    <t>Sertifikasi profesi yang dimiliki (keinsinyuran, atau keprofesian yang lain)</t>
  </si>
  <si>
    <t>Sertifikasi Profesi</t>
  </si>
  <si>
    <t>Keinsinyuran</t>
  </si>
  <si>
    <t>Yan Watequlis ST., MMT., Ph.D</t>
  </si>
  <si>
    <t>Keanggotaan pada organisasi profesi (tahun berapa sampai kapan) serta jabatan pada organisasi profesi (jika di luar anggota)</t>
  </si>
  <si>
    <t>Organisasi Profesi</t>
  </si>
  <si>
    <t>Tingkat</t>
  </si>
  <si>
    <t>Jabatan</t>
  </si>
  <si>
    <t>Ade Ismail, S.Kom., M.TI</t>
  </si>
  <si>
    <t>Adevian Fairuz Pratama, S.ST., M.Eng.</t>
  </si>
  <si>
    <t>Perkumpulan Komunitas Industri dan Vokasi indonesia</t>
  </si>
  <si>
    <t>Nasional</t>
  </si>
  <si>
    <t>Annisa Puspa Kirana, S.Kom, M.Kom</t>
  </si>
  <si>
    <t>International Association of Engineer (IAENG)</t>
  </si>
  <si>
    <t>Internasional</t>
  </si>
  <si>
    <t>Dr. Eng. Banni Satria Andoko, S.Kom., M.Si.</t>
  </si>
  <si>
    <t>Budi Harijanto, S.T., M.Mkom</t>
  </si>
  <si>
    <t>Association For Information System Indonesia (AISINDO)</t>
  </si>
  <si>
    <t>Kamar Dagang dan Industri Jawa Timur</t>
  </si>
  <si>
    <t>2019-2024</t>
  </si>
  <si>
    <t>Anggota AISINDO</t>
  </si>
  <si>
    <t>Indonesian Society of Applied Science</t>
  </si>
  <si>
    <t>Eka Larasati Amalia, S.ST., M.T</t>
  </si>
  <si>
    <t>Perhimpunan Ergonomi Indonesia</t>
  </si>
  <si>
    <t>2021-2024</t>
  </si>
  <si>
    <t>Ekojono, S.T., M.Kom.</t>
  </si>
  <si>
    <t>IEEE</t>
  </si>
  <si>
    <t>Elok Nur Hamdana, S.T.,M.T.</t>
  </si>
  <si>
    <t>Ely Setyo Astuti, ST., MT.</t>
  </si>
  <si>
    <t>APTIKOM</t>
  </si>
  <si>
    <t>Akademisi Profesi Dosen Vokasi Indonesia</t>
  </si>
  <si>
    <t>International Association Of Engineer</t>
  </si>
  <si>
    <t>Erfan Rohadi, S.T., M.Eng., Ph.D</t>
  </si>
  <si>
    <t>The Institute of Electrical and Electronics Engineers (IEEE)</t>
  </si>
  <si>
    <t>Akademisi Profesi Dosen Vokasi Indonesia (APDOVI)</t>
  </si>
  <si>
    <t>Persatuan Insinyur Indonesia</t>
  </si>
  <si>
    <t>2021-Sekarang</t>
  </si>
  <si>
    <t>Muhammad Shulhan Khairy, S.Kom., M.Kom</t>
  </si>
  <si>
    <t>ASIOTI</t>
  </si>
  <si>
    <t>Association for Computing Machinery</t>
  </si>
  <si>
    <t>International Association of Engineers (IAENG)</t>
  </si>
  <si>
    <t>Rudy Ariyanto, S.T., M.Cs</t>
  </si>
  <si>
    <t>IAENG</t>
  </si>
  <si>
    <t>ISAS</t>
  </si>
  <si>
    <t>Usman Nurhasan, S.Kom.,M.T.</t>
  </si>
  <si>
    <t>Asosiasi Forensik Digital Indonesia</t>
  </si>
  <si>
    <t>Vivi Nur Wijayaningrum, S.Kom., M.Kom</t>
  </si>
  <si>
    <t>Perkivi (Perkumpulan Komunitas Industri dan Vokasi Indonesia)</t>
  </si>
  <si>
    <t>International Association of Engineers</t>
  </si>
  <si>
    <t>Asosiasi Akademisi Ekonomi Kreatif (AACE)</t>
  </si>
  <si>
    <t>2022-sekarang</t>
  </si>
  <si>
    <t>Ketua Umum</t>
  </si>
  <si>
    <t>Penghargaan yang diperoleh (nama serta tahun untuk 3 tahun terakhir)</t>
  </si>
  <si>
    <t>Penghargaan</t>
  </si>
  <si>
    <t>Certificate of Award for the Invention of Investigating Log of Viat-map Application to Understanding Student Thinking</t>
  </si>
  <si>
    <t>Dosen Pembimbing Finalis KMIPN</t>
  </si>
  <si>
    <t>Best Overall Paper Award ICCE 2023</t>
  </si>
  <si>
    <t>Technical Program Committee IEEE International Conference on COMNETSAT</t>
  </si>
  <si>
    <t>Best Presenter Pada The 2022 IEEE 8th Information Technology International Seminar (ITIS)</t>
  </si>
  <si>
    <t>Pembimbing Finalis GEMASTIK 2021 Kategori Pengembangan Aplikasi Permainan</t>
  </si>
  <si>
    <t>Pembimbing GEMASTIK 2021 Kategori Karya Tulis Ilmiah TIK</t>
  </si>
  <si>
    <t>Dosen Pembimbing Juara 3 KMIPN Kategori E-Government</t>
  </si>
  <si>
    <t>Dosen Pembimbing Juara 2 KMIPN Kategori Cipta Inovasi</t>
  </si>
  <si>
    <t>Dosen Pembimbing Juara Harapan GEMASTIK Kategori Game Dev</t>
  </si>
  <si>
    <t>Dosen Pembimbing Program DPP MSIB</t>
  </si>
  <si>
    <t>Dr. Ulla Delfana Rosiani, S.T., M.T</t>
  </si>
  <si>
    <t>Dosen Pendamping Lomba Asean Innovative Science Enviromental and Enterpreneur Fair (AISEEF) Memperoleh: 1. Silver Medal 2. Penghargaan khusus Macedonian</t>
  </si>
  <si>
    <t>Dosen Pembimbing di PKM Penerapan Iptek (PKM-PI) pada Pekan Ilmiah Mahasiswa Nasional (PIMNAS) ke-35 Tahun 2022</t>
  </si>
  <si>
    <t>Dosen Pendamping Program Kreativitas Mahasiswa (PKM) Tahun 2022 Bidang PKM-KC judul Pemanfaatan Pengenalan Suara dan Pengolahan Citra pada Aplikasi Mobile untuk Membantu Tunanetra dalam Mengenali Objek</t>
  </si>
  <si>
    <t>Dosen Pendamping Program Kreativitas Mahasiswa (PKM) Tahun 2022 Bidang PKM-PI judul Penerapan E-Learning sebagai Portal Pembelajaran pada Bimbingan Belajar Privat Juara di Kecamatan Singosari Kabupaten Malang</t>
  </si>
  <si>
    <t>Dosen Pendamping Program Kreativitas Mahasiswa (PKM) Tahun 2022 Bidang PKM-PI judul Sistem Alokasi Air Berbasis Sistem Informasi Geografis di Perusahaan Umum Jasa Tirta 1 Kota Malang</t>
  </si>
  <si>
    <t>Dosen Pembimbing Olimpiade Vokasi Indonesia 2022 Kategori Desain Website judul Profile DINTA</t>
  </si>
  <si>
    <t>Dosen Pembimbing Olimpiade Vokasi Indonesia 2022 Kategori Desain Website judul Sistem Informasi Pondok Pesantren Nurul Huda</t>
  </si>
  <si>
    <t>Dosen Pembimbing Olimpiade Vokasi Indonesia 2022 Kategori Desain Website judul Magangku</t>
  </si>
  <si>
    <t>Dosen Pembimbing Kompetisi Mahasiswa Bidang Informatika Politeknik Nasional IV Kategori E-Government</t>
  </si>
  <si>
    <t>Dosen Pendamping Program Kreativitas Mahasiswa (PKM) Tahun 2022 Bidang PKM-KC judul Aplikasi Mobile Pendeteksi Jarak Menggunakan Global Positioning System untuk Membantu Penerapan Physical Distancing</t>
  </si>
  <si>
    <t>Juara 3 Lomba Penulisan dan Penerbitan Buku Ilmiah dari Hasil Penelitian</t>
  </si>
  <si>
    <t>Dosen Pembimbing Pagelaran Mahasiswa Nasional Bidang Teknologi Informasi dan Komunikasi (GEMASTIK) Tahun 2021 Divisi Pengembangan Bisnis TIK</t>
  </si>
  <si>
    <t>Forum on Information Technology Encouragement Award &amp; 2nd Prize Excellent Paper Award</t>
  </si>
  <si>
    <t>The Best Presenter in The Fourth International Conference on Vocational Education and Electrical Engineering (ICVEE)</t>
  </si>
  <si>
    <t>Certificate of Commendation 2021 Dean's Scietific Award</t>
  </si>
  <si>
    <t>2nd Prize IEEE Lifetech 2021 Excellent Paper Award for Oral Presentation</t>
  </si>
  <si>
    <t>Jasa layanan yang pernah diberikan kepada masyarakat, seperti memberi pelatihan, penyuluhan, dsb (nama dan tahun untuk 3 tahun terakhir)</t>
  </si>
  <si>
    <t>Nama DTPR</t>
  </si>
  <si>
    <t xml:space="preserve">Tahun </t>
  </si>
  <si>
    <t xml:space="preserve">Judul </t>
  </si>
  <si>
    <t>Skema</t>
  </si>
  <si>
    <t>Pelatihan Penggunaan Aplikasi Penyimpanan Arsip Digital Pribadi dan Keluarga Pelatihan Penggunaan Aplikasi Penyimpanan Arsip Digital Pribadi dan Keluarga</t>
  </si>
  <si>
    <t>PEMBUATAN SARANA PAPAN NAMA DAN PETUNJUK ARAH MENUJU KERAJINAN ANYAMAN BAMBU DI DESA DUWET KECAMATAN TUMPANG KABUPATEN MALANG</t>
  </si>
  <si>
    <t>Reguler Kompetisi</t>
  </si>
  <si>
    <t>SISTEM MANAJEMEN INFORMASI PRODUK ANYAMAN BAMBU DI DESA DUWET KECAMATAN TUMPANG KABUPATEN MALANG  SISTEM MANAJEMEN INFORMASI PRODUK ANYAMAN BAMBU DI DESA DUWET KECAMATAN TUMPANG KABUPATEN MALANG  </t>
  </si>
  <si>
    <t>Pembuatan Galeri Produk Anyaman Bambu di Desa Duwet Kecamatan Tumpang Kabupaten MalangPembuatan Galeri Produk Anyaman Bambu di Desa Duwet Kecamatan Tumpang Kabupaten Malang</t>
  </si>
  <si>
    <t>PENDAMPINGAN PERANCANGAN DAN PEMBUATAN NEON BOX PAPAN REKLAME DISPLAY PRODUK ANYAMAN BAMBU DI DESA DUWET KECAMATAN TUMPANG KABUPATEN MALANG  PENDAMPINGAN PERANCANGAN DAN PEMBUATAN NEON BOX PAPAN REKLAME DISPLAY PRODUK ANYAMAN BAMBU DI DESA DUWET KECAMATAN TUMPANG KABUPATEN MALANG  </t>
  </si>
  <si>
    <t>Kemitraan Masyarakat</t>
  </si>
  <si>
    <t>Pengabdian Kepada Masyarakat Dipa Swadana Kemitraan Masyarakat (Kemitraan Masyarakat)</t>
  </si>
  <si>
    <t>PENDAMPINGAN PACKAGING DAN BRANDING PADA UMKM PRODUK KHAS DI DESA WRINGINSONGO TUMPANG KABUPATEN MALANG</t>
  </si>
  <si>
    <t>SISTEM INFORMASI STRATEGI PEMULIHAN EKONOMI WISATA DALAM MENINGKATKAN PENDAPATAN DESA WRINGINSONGO DI ERA NEW NORMAL PASCA COVID-19</t>
  </si>
  <si>
    <t>PERANCANGAN KATALOG DIGITAL PRODUK UMKM DESA WRINGINSONGO</t>
  </si>
  <si>
    <t>Perancangan Aplikasi Absensi pada SMK Widyagama yang berbasis Website</t>
  </si>
  <si>
    <t>Pembuatan Aplikasi Permainan sebagai Media Pembelajaran di SLB Autis Laboratorium UM</t>
  </si>
  <si>
    <t>Pelatihan Computational Thinking Dan Media Ajar Interaktif Untuk Guru Di Smp Islam Al Umm Malang</t>
  </si>
  <si>
    <t>SISTEM INFORMASI YAYASAN ANAK YATIM AT TAUFIQ MALANGSISTEM INFORMASI YAYASAN ANAK YATIM AT TAUFIQ MALANG</t>
  </si>
  <si>
    <t>RANCANG BANGUN PLATFORM PEMBELAJARAN KELAS ONLINE MAMINA MOM dan BABY TREATMENT</t>
  </si>
  <si>
    <t>PENDAMPINGAN PEMBUATAN ALAT PERAGA EDUKATIF UNTUK GURU POS PAUD ASPARAGA</t>
  </si>
  <si>
    <t>TATA KELOLA TERINTEGRASI: IMPLEMENTASI SISTEM ERP DENGAN MODUL POS DAN MANAJEMEN KARYAWAN UNTUK PENINGKATAN EFISIENSI DI KB/TK ALFATH MALANG</t>
  </si>
  <si>
    <t>WORKSHOP DIGITAL MARKETING PADA UMKM LOKAL DI WILAYAH KAMPUNG TEMATIK MBESUK AMBYAR</t>
  </si>
  <si>
    <t>Pelatihan Optimalisasi Sosial Media Bagi UMKM SFC Desa Putat Kidul, Kabupaten Malang</t>
  </si>
  <si>
    <t>IMPLEMENTASI SISTEM INFORMASI LELANG SEWA TANAH PERTANIAN BERBASIS WEBSITE DI BADAN PENDAPATAN, PENGELOLA KEUANGAN DAN ASET DAERAH KOTA KEDIRI</t>
  </si>
  <si>
    <t>Integrasi Gis Dan Sistem Informasi Manajemen Keanggotaan Untuk Meningkatkan Aksesibilitas Layanan Kesehatan Pada Ikatan Dokter Indoseia (Idi) Regional Malang Raya</t>
  </si>
  <si>
    <t>Pengembangan Aplikasi dan Pelatihan Sistem Informasi Pendaftaran Program Ayo Menghafal dan Memahami Al-Quran (AMMA) di Yayasan Ihyaul Quran Indonesia</t>
  </si>
  <si>
    <t>Media Informasi Kegiatan Usaha Pondok Anak Yatim Abdul Kadir Kurnia Berbasis Website</t>
  </si>
  <si>
    <t>Sosialisasi Penanganan Dasar Masalah Mental Health Melalui Aplikasi Permainan di Pondok Anak Yatim Abdul Kadir Kurnia  Sosialisasi Penanganan Dasar Masalah Mental Health Melalui Aplikasi Permainan di Pondok Anak Yatim Abdul Kadir Kurnia  </t>
  </si>
  <si>
    <t>PENINGKATAN KUALITAS AKSES MEDIA INFORMASI MASJID ATTHARUF DESA NGIJO KABUPATEN MALANG MELALUI APLIKASI IOT TERINTEGRASI DIGITAL</t>
  </si>
  <si>
    <t>PELATIHAN DESAIN KREATIF UNTUK WEBSITE LANDING PAGE PRM ARBUKA SEBAGAI PENGEMBANGAN MEDIA INFORMASI INTERAKTIF</t>
  </si>
  <si>
    <t>Penguatan Branding Batik Blimbing Malang Melalui Pengembangan dan Pelatihan Website Inovatif</t>
  </si>
  <si>
    <t>Aplikasi Biaya Produksi UKM Kerajinan Kulit SuyteeStOre Dengan Metode Full Costing dan Analytic Network Process</t>
  </si>
  <si>
    <t>PEMBUATAN STRATEGI PROMOSI MELALUI DIRECT SELLING DAN MARKETING CREATIVE UNTUK MENINGKATKAN PENJUALAN PRODUK ANYAMAN BAMBU DESA DUWET KECAMATAN TUMPANG KABUPATEN MALANG</t>
  </si>
  <si>
    <t xml:space="preserve">PEMBUATAN SARANA PAPAN NAMA DAN PETUNJUK ARAH MENUJU KERAJINAN ANYAMAN BAMBU DI DESA DUWET KECAMATAN TUMPANG KABUPA\TEN MALANG	</t>
  </si>
  <si>
    <t>PELATIHAN KEMASAN PRODUK ANYAMAN BAMBU UNTUK PENGARUH DISPLAY PRODUK DALAM PROMOSI TERHADAP PEMBELIAN KONSUMEN DI DESA DUWET KECAMATAN TUMPANG KABUPATEN MALANG</t>
  </si>
  <si>
    <t>SISTEM MANAJEMEN INFORMASI PRODUK ANYAMAN BAMBU DI DESA DUWET KECAMATAN TUMPANG KABUPATEN MALANG</t>
  </si>
  <si>
    <t>Pendampingan Perancangan dan Pembuatan Neon Box Papan Reklame Display Produk Anyaman Bambu di Desa Duwet Kecamatan Tumpang Kabupaten Malang</t>
  </si>
  <si>
    <t>PENGELOLAAN KANDANG PEMBESARAN ANAK AYAM PETELOR DESA SUMBERJO KULON TULUNGAGUNG</t>
  </si>
  <si>
    <t>Pelatihan Pengembangan Konten Digital Menggunakan Berbasis Web PKK RW 7 Kecamatan Blimbing</t>
  </si>
  <si>
    <t>Pelatihan Pengembangan Konten Digital Menggunakan Alat Desain Berbasis Web Bagi Ibu PKK RW 07 Kelurahan Purwodadi, Kecamatan Blimbing, Kota Malang, Provinsi Jawa Timur</t>
  </si>
  <si>
    <t>SUBSTITUSI IPTEKS DALAM BENTUK PENDAMPINGAN PEMANFAATAN ELSA (ENGLISH LEARNING SPEECH ASSISTANT) UNTUK PENINGKATAN KEMAMPUAN BAHASA INGGRIS BAGI KELOMPOK RUMAH BACA SINGAYAJA</t>
  </si>
  <si>
    <t>INOVASI MODEL AUTOMATED ASYNCHRONOUS LEARNING UNTUK OPTIMALISASI PEMBELAJARAN PEMROGRAMAN MULTIMEDIA DI SMK TELKOM MALANG</t>
  </si>
  <si>
    <t>PELATIHAN TEKNOLOGI AI UNTUK OPTIMALISASI KINERJA PADA PERANGKAT DESA TASIKMADU KOTA MALANG</t>
  </si>
  <si>
    <t>Optimasi Tata Kelola Benda Sejarah Di Kampung Sejarah Reenactor Ngalam Melalui Pemanfaatan Reenactor Artefact Keeper (RAK)</t>
  </si>
  <si>
    <t>Pelatihan Pengembangan Konten Digital Pada Sosial Media Bagi Umkm Ikan Hias Air Laut Di Kelurahan Tanjungrejo, Kecamatan Sukun, Kota Malang, Jawa Timur</t>
  </si>
  <si>
    <t>Optimalisasi Pemasaran UMKM Produk Khas Desa melalui Pelatihan Packaging yang Kreatif dan Efektif: Studi Kasus Desa Wringinsongo Tumpang, Kabupaten Malang</t>
  </si>
  <si>
    <t>PROFILING POTENSI WARGA MELALUI WEB RW 05 TANJUNG REJO MALANG</t>
  </si>
  <si>
    <t>Pembuatan Company Profile UMKM Sistiar</t>
  </si>
  <si>
    <t>Pembuatan Sistem Informasi Katalog dan Pemesanan Produk UKM Kerajinan Kulit SuyteeSTore Karangploso Berbasis Web</t>
  </si>
  <si>
    <t>PELATIHAN PEMBUATAN VIDEO PEMBELAJARAN BAGI GURU SMK PGRI 3 MALANG</t>
  </si>
  <si>
    <t>Perancangan Dan Peletakan Papan Elektronik Running Teks Sebagai Media Informasi Display Produk Anyaman Bambu di Desa Duwet Kecamatan Tumpang Kabupaten Malang</t>
  </si>
  <si>
    <t xml:space="preserve">PEMBANGUNAN INFRASTRUKTUR JARINGAN INTERNET SEBAGAI PENDUKUNG WISATA PEMANDIAN DESA WRINGINSONGO	</t>
  </si>
  <si>
    <t>Pemanfaatan YogurtSalesPro sebagai Upaya Peningkatan Tata Kelola Penjulaan UMKM Bark Fruity</t>
  </si>
  <si>
    <t>Pelatihan Pembuatan Konten Digital untuk Perangkat Kelurahan Tasikmadu sebagai Sarana Media Informasi</t>
  </si>
  <si>
    <t>Pendampingan Legalitas Produk UMKM Kerupuk J&amp;R Petungsewu Duwet Tumpang Kabupaten Malang</t>
  </si>
  <si>
    <t>Penguatan Nilai Pancasila dengan Media Permainan Ular Tangga Pancasila Pada Anak</t>
  </si>
  <si>
    <t>PELATIHAN DESAIN GRAFIS PADA KARANG TARUNA DESA SELOK ESUKI SEBAGAI ALTERNATIF PELUANG USAHA</t>
  </si>
  <si>
    <t>IMPLEMENTASI INSTALASI JARINGAN KOMPUTER UNTUK PENUNJANG APLIKASI REPOSITORI PERSURATAN DI KANTOR DESA KARANGDUREN KEC.PAKISAJI, KAB.MALANG</t>
  </si>
  <si>
    <t>PENERAPAN DIGITALISASI DAN REPOSITORI DOKUMEN UNTUK MENINGKATKAN PELAYANAN PEMERINTAH DESA KARANGDUREN KEC.PAKISAJI, KAB.MALANG</t>
  </si>
  <si>
    <t>PEMBUATAN COMPANY PROFILE UMKM SISTIAR</t>
  </si>
  <si>
    <t>Perancangan Dan Peletakan Papan Elektronik Running Teks Sebagai Media Informasi Display Produk Anyaman Bambu di Desa Duwet Kecamatan Tumpang Kabupaten Malang  Perancangan Dan Peletakan Papan Elektronik Running Teks Sebagai Media Informasi Display Produk Anyaman Bambu di Desa Duwet Kecamatan Tumpang Kabupaten Malang  </t>
  </si>
  <si>
    <t>Sistem Pendukung Keputusan Rumah Tidak Layak Huni Terintegrasi Berbasis Bigdata dan AI dalam Upaya Pengembangan Smart City di Kabupaten LumajangSistem Pendukung Keputusan Rumah Tidak Layak Huni Terintegrasi Berbasis Bigdata dan AI dalam Upaya Pengembangan Smart City di Kabupaten Lumajang</t>
  </si>
  <si>
    <t>Matching Fund</t>
  </si>
  <si>
    <t>PELATIHAN DAN PEMBUATAN BROSUR UNTUK MENINGKATKANPENJUALAN PRODUK UMKM DESA WRINGINSONGO KECAMATAN TUMPANG KABUPATEN MALANG</t>
  </si>
  <si>
    <t>SISTEM INFORMASI BALITA DI POSYANDU RAJAWALISISTEM INFORMASI BALITA DI POSYANDU RAJAWALI</t>
  </si>
  <si>
    <t>PELATIHAN DESAIN GRAFIS PADA KARANG TARUNA DESA SELOKBESUKI SEBAGAI ALTERNATIF PELUANG USAHAPELATIHAN DESAIN GRAFIS PADA KARANG TARUNA DESA SELOKBESUKI SEBAGAI ALTERNATIF PELUANG USAHA</t>
  </si>
  <si>
    <t>PELATIHAN PEMBUATAN VIDEO PEMBELAJARAN BAGI GURU SMK PGRI 3 MALANGPELATIHAN PEMBUATAN VIDEO PEMBELAJARAN BAGI GURU SMK PGRI 3 MALANG</t>
  </si>
  <si>
    <t>Peningkatan Kualitas SDM Kader Posyandu di Lingkungan UPT Pukesmas Turen Melalui Pengembangan dan Pelatihan Sipadu</t>
  </si>
  <si>
    <t>Implementasi Instalasi Jaringan Komputer Untuk Menunjang Kegiatan Sertifikasi School Empowering Program Di SMA Islam Kepanjen Kab. Malang</t>
  </si>
  <si>
    <t>Dr. Eng. Cahya Rahmad, S.T., M.Kom.</t>
  </si>
  <si>
    <t>Inisiasi Kegiatan PPM dari Pusat Riset Smart Green Energy (SGE) Polinema</t>
  </si>
  <si>
    <t>Pembuatan Alat Pemanas Sistem Kumparan Elektrik Berbasis Tenaga Surya untuk Aplikasi Day Old Chicken (DOC) Brooding bagi Peternak Ayam di Blitar</t>
  </si>
  <si>
    <t>Sinergi Sistem: Meningkatkan Layanan Optimal Melalui Integrasi Pengelolaan Dan Pembayaran Di Kp-Spams Sumber Waras Desa Ngenep, Kecamatan Karangploso, Kabupaten Malang</t>
  </si>
  <si>
    <t>Pembuatan Website Profil dan Manajemen Berita Kegiatan pada Yayasan Bumi Langgat Peduli</t>
  </si>
  <si>
    <t>Chandrasena Setiadi, S.ST., M.T</t>
  </si>
  <si>
    <t>IMPLEMENTASI INSTALASI JARINGAN KOMPUTER UNTUK MENUNJANG KEGIATAN SERTIFIKASI SCHOOL EMPOWERING PROGRAM DI SMA ISLAM KEPANJEN KAB. MALANG</t>
  </si>
  <si>
    <t xml:space="preserve">PENGELOLAAN KANDANG PEMBESARAN ANAK AYAM PETELOR DESA SUMBERJO KULON TULUNGAGUNG	</t>
  </si>
  <si>
    <t>Aplikasi untuk manajemen pengelolaan data hasil panen menggunakan google sheet beserta pemanfaatan sumber daya listrik alternatif untuk mengoptimalkan hasil panen ternak ayam petelur</t>
  </si>
  <si>
    <t>Pengembangan Aplikasi Edukasi Wudhu Interaktif di TPQ Madinah Maarif 10</t>
  </si>
  <si>
    <t>Pemberdayaan ibu-ibu PKK Bunulrejo dalam kerajinan kreatif rumah tangga serta pemasaran online</t>
  </si>
  <si>
    <t>STRATEGI MEMBANGUN BISNIS BAJU BEKAS IMPORT PADA UMKM SEVEN SECOND DI ERA DIGITAL</t>
  </si>
  <si>
    <t>SISTEM INFORMASI AKADEMIK BERBASIS WEBSITE DI KB/TK ALFATH BUNULREJO KOTA MALANG</t>
  </si>
  <si>
    <t>PENGEMBANGAN KEWIRAUSAHAAN BERBASIS WEBSITE DI LINGKUNGAN PONDOK PESANTREN MIFTAHUL HUDA MALANG</t>
  </si>
  <si>
    <t>Pengembangan Kewirausahaan berbasis webiste di lingkungan pondok pesantren miftahul huda Malang</t>
  </si>
  <si>
    <t xml:space="preserve">	Implementasi dan Pelatihan Wireless Display di ABC Calistung Sidoarjo</t>
  </si>
  <si>
    <t>Pengembangan website manajemen usaha katering panti asuhan mawaddah warohmah malang</t>
  </si>
  <si>
    <t>PEMBUATAN SISTEM INFORMASI PENGUMUMAN UNTUK SISWA DAN ORANG TUA DI MIN I KOTA MALANG</t>
  </si>
  <si>
    <t>Pemasangan Papan Informasi Tanaman Interaktif untuk Mendukung Pengembangan Wisata Edukatif di Pemandian Sumberingin Desa Wringinsongo</t>
  </si>
  <si>
    <t>Pembuatan Aplikasi Virtual Tour Guide Dua Bahasa untuk Meningkatkan Daya Tarik Kampung Wisata Heritage Kajoetangan Malang</t>
  </si>
  <si>
    <t>Pembuatan Aplikasi SPAS (Sistem Pencatatan Air wringin Songgo) Dalam Rangka Peningkatan Layanan BUMDes di Desa Wringinsongo</t>
  </si>
  <si>
    <t>Pembuatan Aplikasi SIPAS ( Sistem Pencatatan Air Wringin Songo) dalam rangka peningkatan layanan BUMDES Di desa</t>
  </si>
  <si>
    <t>PEMBUATAN APLIKASI BANK SAMPAH DAN PORTAL BUMDES DALAM RANGKA PENINGKATAN LAYANAN BUMDES DI DESA WRINGINSONGO</t>
  </si>
  <si>
    <t>Bimbingan Berwirausaha bagi Anggota Koperasi Permata Ngijo di Era Digital Sebagai Upaya Meningkatkan Pendapatan</t>
  </si>
  <si>
    <t>IMPLEMENTASI TEKNOLOGI PEMBELAJARAN PEMROGRAMAN MOBILE DAN JARINGAN KOMPUTER UNTUK PENGAJARAN IT DI LINK APISINDO MEDIA</t>
  </si>
  <si>
    <t>Pembuatan konten website untuk media promosi pada klub akademi sepak bola Tulusrejo, Kota Malang</t>
  </si>
  <si>
    <t>Pemanfaatan Bonggol Jagung di UD. Ketanen Industri Kreatif</t>
  </si>
  <si>
    <t>Peningkatan Produktivitas Penangkaran, Penyemaian, dan Pembibitan Tanaman Gaharu di Desa Senggreng Kabupaten Malang</t>
  </si>
  <si>
    <t>PEMBUATAN SISTEM INFORMASI BRANDING DAN MARKETING KAWASAN USAHA MIKRO KECIL MENENGAH YANG BERSINERGI DENGAN KEGIATAN WISATA, PENDIDIKAN KELUARGA  (DEWI PELAGA) DI CEMOROKANDANG MALANG</t>
  </si>
  <si>
    <t>PENGENALAN DIGITAL MARKETING PADA WISMA GAHARU DI DESA SENGGRENG KABUPATEN MALANG</t>
  </si>
  <si>
    <t>Pengelolaan Kandang Pembesaran Anak Ayam Petelor  desa  Sumberjo Kulon Kec Ngunut Kab Tulungagung</t>
  </si>
  <si>
    <t>Pendampingan Pembuatan Alat Peraga Edukatif untuk Guru Pos PAUD AsparagaPendampingan Pembuatan Alat Peraga Edukatif untuk Guru Pos PAUD Asparaga</t>
  </si>
  <si>
    <t>PEMBERDAYAAN IBU-IBU PKK BUNULREJO DALAM KERAJINAN KREATIF RUMAH TANGGA SERTA PEMASARAN ONLINE</t>
  </si>
  <si>
    <t>Pembuatan Website Company Profile dan Manajemen Berita untuk KB-TK-TPA-TPQ Daarul Faroh</t>
  </si>
  <si>
    <t>Pemanfaatan Sistem Owaste sebagai Pemberdayaan UMKM Bank Sampah Central Malang dalam Upaya Substitusi Ipteks dan Diversifikasi Sampah OrganikPemanfaatan Sistem Owaste sebagai Pemberdayaan UMKM Bank Sampah Central Malang dalam Upaya Substitusi Ipteks dan Diversifikasi Sampah Organik</t>
  </si>
  <si>
    <t>PEMBUATAN WEBSITE DAN LABEL KEMASAN KEJU MOZARELLA PRODUKSI KU MUSTARIKA JAYA MAKMUR SEBAGAI RINTISAN KAMPUNG KEDJOE (KANG DJOE) NGANTANG-MALANG</t>
  </si>
  <si>
    <t>Peningkatan Produktivitas Penangkaran, Penyemaian, Pembibitan Tanaman Gaharu di Desa Senggreng Kabupaten Malang</t>
  </si>
  <si>
    <t>Pembuatan Sistem Informasi Branding dan Marketing Kawasan Usaha Mikro Kecil Menengah Yang Bersinergi Dengan Kegiatan Wisata, Pendidikan, Keluarga (Dewi Pelaga) Di Cemorokandang Malang</t>
  </si>
  <si>
    <t>Pengenalan Digital Marketing Pada Wisma Gaharu Di Desa Senggreng Kabupaten Malang</t>
  </si>
  <si>
    <t>Pelatihan Pembuatan Katalog Berbasis Digital Guna Meningkatkan Pemasaran Bagi Grup Jual Beli Online RW.009 Bukit Cemara Tidar Kota Malang</t>
  </si>
  <si>
    <t>Sistem Pendukung Keputusan Rumah Tidak Layak Huni Terintegrasi Berbasis Bigdata dan AI dalam Upaya Pengembangan Smart City di Kabupaten Lumajang</t>
  </si>
  <si>
    <t>Kajian Pembuatan Desain serta Prototipe PLTB 10 KW</t>
  </si>
  <si>
    <t>Kajian Pengembangan PLTB Untuk Sistem Isolated di Papua Barat</t>
  </si>
  <si>
    <t>Pembangunan Infrastruktur Jaringan Internet Sebagai Pendukung Wisata Pemandian Desa Wringinsongo</t>
  </si>
  <si>
    <t>Pelatihan Menulis Kreatifbagi Pelajar MA di Kabupaten Jombang</t>
  </si>
  <si>
    <t>BIMBINGAN TEKNIS PEMBUATAN RENCANA ANGGARAN BIAYA PENGEMBANGAN JARINGAN IRIGASI TERSIER POKTAN MEKAR JAYA I</t>
  </si>
  <si>
    <t>Pendampingan Penyusunan RPP Bahasa Inggris dengan Metode Montessori untuk Anak Usia 3-6 Tahun Bagi Pengajaran KB/TK Baitul Makmur</t>
  </si>
  <si>
    <t>PENDAMPINGAN PENYUSUNAN RPP BAHASA INGGRIS DENGAN METODE MONTESSORI UNTUK ANAK USIA 3-6 TAHUN BAGI PENGAJAR KB/TK BAITUL MAKMUR</t>
  </si>
  <si>
    <t>PEMBUATAN SARANA PAPAN NAMA DAN PETUNJUK ARAH MENUJU KERAJINAN ANYAMAN BAMBU DI DESA DUWET KECAMATAN TUMPANG KABUPA\TEN MALANG</t>
  </si>
  <si>
    <t>Pendamping Program SMK Pusat Keunggulan Tahun 2023</t>
  </si>
  <si>
    <t>Pembuatan Website Profil dan Manajemen Berita Kegiatan pada Yayasan Bumi Langgat Peduli  Pembuatan Website Profil dan Manajemen Berita Kegiatan pada Yayasan Bumi Langgat Peduli  </t>
  </si>
  <si>
    <t>Pengembangan dan Pelatihan Pemanfaatan Sistem Informasi Monitoring KBM Siswa Untuk Madrasah Ibtidaiyah Swasta (MIS) NU Sabilun Najah 26 Pasuruan</t>
  </si>
  <si>
    <t>pembuatan Sistem Informasi Pengumuman Untuk Siswa Dan Orang Tua Di MIN 1 Kota Malang</t>
  </si>
  <si>
    <t>PENINGKATAN PELAYANAN ADMINISTRASI PERSURATAN MELALUI PEMANFAATAN SISTEM INFORMASI DAN PENGUATAN KAPASITAS PERANGKAT DI DESA TULUS BESAR KABUPATEN MALANG</t>
  </si>
  <si>
    <t>Pelatihan Penggunaan Aplikasi Penyimpanan Arsip Digital Pribadi dan KeluargaPelatihan Penggunaan Aplikasi Penyimpanan Arsip Digital Pribadi dan Keluarga</t>
  </si>
  <si>
    <t>SISTEM INFORMASI BALITA DI POSYANDU RAJAWALI</t>
  </si>
  <si>
    <t>PENGEMBANGAN UMKM UD ALFATH MELALUI SERTIFIKASI LABEL HALAL DAN DIGITAL BRANDING</t>
  </si>
  <si>
    <t>PEMBERDAYAAN UMKM MELALUI LEGALITAS USAHA DAN MANAJEMEN SUMBER DAYA MANUSIA BERBASIS ECOMMERCE</t>
  </si>
  <si>
    <t>Pelatihan Optimalisasi Sosial Media Bagi UMKM SFC Desa Putat Kidul, Kabupaten Malang  Pelatihan Optimalisasi Sosial Media Bagi UMKM SFC Desa Putat Kidul, Kabupaten Malang  </t>
  </si>
  <si>
    <t>Implementasi dan Pelatihan Wireless Display di ABC Calistung Sidoarjo</t>
  </si>
  <si>
    <t>PELATIHAN LITERASI DIGITAL BAGI KADER POSYANDU ANGGREK BULAN DI RW XI KELURAHAN LESANPURO, KECAMATAN KEDUNGKANDANG, KOTA MALANG</t>
  </si>
  <si>
    <t>Pelatihan Literasi Gizi di Posyandu Anggrek Bulan di RW XI Kelurahan Lesanpuro, Kecamatan Kedungkandang, Kota Malang</t>
  </si>
  <si>
    <t>Perencanaan Anggaran Biaya Jaringan Air Bersih Desa Wringinsongo Kecamatan Tumpang Kabupaten Malang</t>
  </si>
  <si>
    <t>Implementasi dan Pelatihan Wireless Display di ABC Calistung SidoarjoImplementasi dan Pelatihan Wireless Display di ABC Calistung Sidoarjo</t>
  </si>
  <si>
    <t>Literasi dan Pendampingan Penggunaan Social Media dan Penggunaan Sistem Informasi Manajemen Administrasi Kependudukan Pada Desa Wringinsongo</t>
  </si>
  <si>
    <t>Pelatihan dan Pendampingan Pengembangan Produk Makanan Baru Dari Bahan Sayur dan Pemasaran On-Line Pada UMKM Pengolahan Makanan Bahan Sayur di Desa Duwet</t>
  </si>
  <si>
    <t>Pelatihan dan Pendampingan Pengembangan Produk Unggulan dan Pemasaran On-Line pada IKM Pengolahan Pisang di Desa Duwet</t>
  </si>
  <si>
    <t>PENINGKATAN PUBLIC SERVICE PEMANFAATAN TEKNOLOGI DIGITAL SIM-RIwinK PADA DESA WRINGINSONGO, KECAMATAN TUMPANG, KABUPATEN MALANG</t>
  </si>
  <si>
    <t>Dr. Eng. Rosa Andrie Asmara, ST., MT.</t>
  </si>
  <si>
    <t>WORKSHOP DIGITAL MARKETING PADA UMKM LOKAL DI WILAYAH KAMPUNG TEMATIK MBESUK AMBYAR  WORKSHOP DIGITAL MARKETING PADA UMKM LOKAL DI WILAYAH KAMPUNG TEMATIK MBESUK AMBYAR  </t>
  </si>
  <si>
    <t>Pengembangan Dashboard Visualisasi Tren dan Analisis Sentimen Sosial Media untuk Mendukung Ekosistem Usaha Ekonomi Kreatif Kota Malang</t>
  </si>
  <si>
    <t>Pemanfaatan Precision Farming Sebagai Kemandirian dan Ketahanan Pangan Jamaah Mushola Sunan Kalijaga Dalam Upaya Substitusi Ipteks Dan Diversifikasi Sayuran Aquaponik</t>
  </si>
  <si>
    <t>PELATIHAN PEMASARAN DIGITAL UNTUK PELAKU UMKM MELALUI PEMANFAATAN ONLINE MARKETPLACE DI LAPAK BERKAH PKK DESA TOYOMARTO SINGOSARI</t>
  </si>
  <si>
    <t>Penerapan Digitalisasi  Dan Repositori Dokumen Untuk Meningkatkan Pelayanan Pemerintah Desa Karangduren Kec.Pakisaji, Kab.Malang  Penerapan Digitalisasi  Dan Repositori Dokumen Untuk Meningkatkan Pelayanan Pemerintah Desa Karangduren Kec.Pakisaji, Kab.Malang  </t>
  </si>
  <si>
    <t>Judul publikasi ilmiah yang pernah dilakukan (3 tahun terakhir), baik sebagai penulis utama maupun sebagai penulis pendamping</t>
  </si>
  <si>
    <t>No.</t>
  </si>
  <si>
    <t>Judul</t>
  </si>
  <si>
    <t>Jurnal</t>
  </si>
  <si>
    <t>Link Info</t>
  </si>
  <si>
    <t>Implementation of Rabin Karp Algorithm in E-Commerce Search Box Feature (Case Study: Sinar Baja Store)</t>
  </si>
  <si>
    <t>SISFORMA</t>
  </si>
  <si>
    <t>LINK</t>
  </si>
  <si>
    <t>Performance Testing Sistem Ujian Online Menggunakan Jmeter Pada Lingkungan Virtual</t>
  </si>
  <si>
    <t>Jurnal Informatika Polinema</t>
  </si>
  <si>
    <t>High Availability Moodle dengan Load Balancer pada Three-tier Architecture</t>
  </si>
  <si>
    <t>Jurnal Minfo Polgan</t>
  </si>
  <si>
    <t>Pengujian Performasi E-Learning Moodle Pada Arsitektur Three Tier</t>
  </si>
  <si>
    <t>Jutis (Jurnal Teknik Informatika)</t>
  </si>
  <si>
    <t>Sistem Keamanan E-Voting Menggunakan Arsitektur Publik Blockchain Ethereum</t>
  </si>
  <si>
    <t>KLIK: Kajian Ilmiah Informatika dan Komputer</t>
  </si>
  <si>
    <t>Monitoring System For Tillandsia Ornamental Plants Using Fuzzy Algorithm</t>
  </si>
  <si>
    <t>Sinkron: jurnal dan penelitian teknik informatika 7 (2), 429-438</t>
  </si>
  <si>
    <t>Link</t>
  </si>
  <si>
    <t>RANCANG BANGUN SMART TOURISM PENGELOLAAN PARIWISATA KABUPATEN MALANG BERBASIS WEB GIS</t>
  </si>
  <si>
    <t>Jurnal Teknik Ilmu Dan Aplikasi</t>
  </si>
  <si>
    <t>Machine Learning for Vocational Undergraduate Student</t>
  </si>
  <si>
    <t>CV. Global Edukasi Teknologi</t>
  </si>
  <si>
    <t>Improving vocational education quality through life-based learning</t>
  </si>
  <si>
    <t>AIP Conference Proceedings</t>
  </si>
  <si>
    <t>PERANCANGAN DAN IMPLEMENTASI PROTOKOL MQTT PADA SISTEM PARKIR CERDAS BERBASIS IOT</t>
  </si>
  <si>
    <t>Jurnal Informatika dan Teknik Elektro Terapan</t>
  </si>
  <si>
    <t>Curriculum Design for the Applied Undergraduate Business Information System Study Program: Focus on learning Outcomes required in Indonesia</t>
  </si>
  <si>
    <t>Nusantara Science and Technology Proceedings</t>
  </si>
  <si>
    <t>Digital Forensic Investigates Sexual Harassment on Telegram using Naïve Bayes</t>
  </si>
  <si>
    <t>Sinkron: jurnal dan penelitian teknik informatika</t>
  </si>
  <si>
    <t>OTOMATISASI PERTANIAN DENGAN SENSOR SOIL MOISTURE, SENSOR CAHAYA, LED GROW LAMPS, DAN POMPA AIR UNTUK PERTUMBUHAN TANAMAN OPTIMAL</t>
  </si>
  <si>
    <t xml:space="preserve">Jurnal Informatika dan Teknik Elektro Terapan </t>
  </si>
  <si>
    <t>IDENTIFIKASI PENYAKIT JANTUNG MENGGUNAKAN MACHINE LEARNING: STUDI KOMPARATIF</t>
  </si>
  <si>
    <t>Jurnal Transformatika</t>
  </si>
  <si>
    <t>Rancang Sangkar Burung Pintar Berbasis IoT</t>
  </si>
  <si>
    <t>Jurnal Teknologi dan Manajemen Informatika</t>
  </si>
  <si>
    <t>DEVELOPMENT COMPUTATIONAL THINKING GAMIFICATIONS LEARNING PLATFORM</t>
  </si>
  <si>
    <t>Jurnal Pendidikan Sains</t>
  </si>
  <si>
    <t>Improving Assessment and Evaluation Strategies on Online Learning, 96-100</t>
  </si>
  <si>
    <t>Learning Management System Based on Assessment for Learning to Improve Computational Thinking</t>
  </si>
  <si>
    <t>iJIM 16 (04), 151</t>
  </si>
  <si>
    <t>Perancangan User Interface Sistem Informasi Alumni Menggunakan Metode Webuse Dan User Centered Design</t>
  </si>
  <si>
    <t>Jurnal Teknologi Informasi dan Terapan 9 (1), 29-36</t>
  </si>
  <si>
    <t>Sistem Informasi Prediksi Persediaan Obat Di Apotek Naylun Farma Menggunakan Holt-Winters</t>
  </si>
  <si>
    <t>Jurnal Informatika Polinema 9 (2), 229-236</t>
  </si>
  <si>
    <t>Performance testing sistem ujian online menggunakan jmeter pada lingkungan virtual</t>
  </si>
  <si>
    <t>Jurnal Informatika Polinema 9 (2), 159-164</t>
  </si>
  <si>
    <t>STUDENT ACADEMIC PERFORMANCE PREDICTION FRAMEWORK WITH FEATURE SELECTION AND IMBALANCED DATA HANDLING</t>
  </si>
  <si>
    <t>Jurnal Ilmiah Kursor 12 (3), 123-134</t>
  </si>
  <si>
    <t>IoT Board Education Design and Analysis for Elementary School Students</t>
  </si>
  <si>
    <t>KnE Social Sciences, 226–235-226–235</t>
  </si>
  <si>
    <t>Geospatial Analysis and Mapping of Natural Disasters in Situbondo, Indonesia: A Simple Additive Weighting (SAW) Approach</t>
  </si>
  <si>
    <t>ICEEIE 2023</t>
  </si>
  <si>
    <t>Adaptive Weighting of Oil Quality Index on Power Transformers Using Particle Swarm Optimization</t>
  </si>
  <si>
    <t>ICMERALDA 2023</t>
  </si>
  <si>
    <t>The Detection of Indonesian Hoax Content about COVID-19 Vaccine using Naive Bayes Multinomial Method</t>
  </si>
  <si>
    <t>Indonesian Journal of Electronics Electromedical Engineering and Medical Informatics</t>
  </si>
  <si>
    <t>Analysis of Agricultural Drought Monitoring Based on Vegetation Health Index in East Java Indonesia Using MODIS Satellite Data</t>
  </si>
  <si>
    <t>IOP Conference Series: Materials Science and Engineering</t>
  </si>
  <si>
    <t>Analisis Performa Seleksi Atribut untuk Menentukan Potensi Mahasiswa Putus Studi</t>
  </si>
  <si>
    <t>Spatio-Temporal Pattern Analysis of Forest Fire in Malang based on Remote Sensing using K-Means Clustering</t>
  </si>
  <si>
    <t>International Journal of Multidisciplinary: Applied Business and Education</t>
  </si>
  <si>
    <t>An Automatic Egg Quality Grading Using Nature-Inspired Algorithm Based Classification</t>
  </si>
  <si>
    <t>2022 5th International Conference on Information and Communications Technology (ICOIACT)</t>
  </si>
  <si>
    <t>Implementing A Star for Bicycle Route Finding System using OSM and GraphHopper: Case Study: Batu, Indonesia</t>
  </si>
  <si>
    <t>International Conference on Electrical and Information Technology</t>
  </si>
  <si>
    <t>Prediction of Student Academic Performance in Practicum Courses Based on Activity Logs and Student Background</t>
  </si>
  <si>
    <t>2022 International Conference on Electrical and Information Technology (IEIT 2022)</t>
  </si>
  <si>
    <t>Penerapan Sistem Informasi Administratif Desa Ngijo Kabupaten Malang menggunakan OpenSID</t>
  </si>
  <si>
    <t>Bhakti Persada Jurnal Aplikasi IPTEKS</t>
  </si>
  <si>
    <t>Finite State Machine in Chatbot Line E-Commerce Design Using NodeJs MongoDb and Express</t>
  </si>
  <si>
    <t>Jurnal Informatika Polinema 10 (1)</t>
  </si>
  <si>
    <t>Development of SQL Similarity with Multiple Answer Keys for the Automated Assessment Process in the SQLearn Application</t>
  </si>
  <si>
    <t>2023 Sixth International Conference on Vocational Education and Electrical Engineering (ICVEE)</t>
  </si>
  <si>
    <t>Application of Construct on Scaffold Concept Map in Mobile Programming Learning with Flutter Layout Topic</t>
  </si>
  <si>
    <t>Jurnal Nasional Pendidikan Teknik Informatika: JANAPATI 12 (2)</t>
  </si>
  <si>
    <t>Penerapan Metode Gamifikasi pada Aplikasi MOSAM (Money Sampah) Berbasis Mobile</t>
  </si>
  <si>
    <t>Jurnal Minfo Polgan 12 (1), 1032-1044</t>
  </si>
  <si>
    <t>Analisis Sentimen Kebijakan Pembelajaran Tatap Muka Selama Pandemi Covid-19 Menggunakan Metode Support Vector Machine</t>
  </si>
  <si>
    <t>Jurnal Informatika Polinema 9 (3), 259-264</t>
  </si>
  <si>
    <t>Preliminary Study on SQLearn: Sql Query Learning Tool Using Close Ended Drag and Drop Approach</t>
  </si>
  <si>
    <t>2022 Annual Technology, Applied Science and Engineering Conference (ATASEC 2022)</t>
  </si>
  <si>
    <t>Pengembangan Website Pendukung Mastery Based Learning Untuk Pembelajaran Mahasiswa</t>
  </si>
  <si>
    <t>Jurnal Informatika Polinema 9 (1), 51-58</t>
  </si>
  <si>
    <t>Penerapan Metode Moora Dan Simple Additive Weighting Pada Sistem Pendukung Keputusan Penempatan PKL Siswa SMKN 4 Malang</t>
  </si>
  <si>
    <t>Neptunus: Jurnal Ilmu Komputer Dan Teknologi Informasi 2 (1), 52-59</t>
  </si>
  <si>
    <t>Measuring Augmented Reality Effectiveness on ESP Students’ Reading Comprehension</t>
  </si>
  <si>
    <t>2023 9th International Conference on Education and Technology (ICET), 105-109</t>
  </si>
  <si>
    <t>Rancang Bangun Pembuatan Sitem Informasi Manajemen Dokumen E-Arsip PT. PLN (Persero) Unit Induk Pembangkitan Sumatera Bagian Selatan</t>
  </si>
  <si>
    <t>Jurnal Teknologi Dan Sistem Informasi Bisnis 5 (4), 468-475</t>
  </si>
  <si>
    <t>Precise transformer fault diagnosis via random forest model enhanced by synthetic minority over-sampling technique</t>
  </si>
  <si>
    <t>Electric Power Systems Research 220, 109361</t>
  </si>
  <si>
    <t>Development of Abdullah Permata Jingga Mosque Website Interface with User Centered Design Method</t>
  </si>
  <si>
    <t>Jurnal Informatika Polinema 9 (2), 165-172</t>
  </si>
  <si>
    <t>PENERAPAN DESIGN THINKING DENGAN USABILITY TESTING  MENGGUNAKAN SYSTEM USABILITY SCALE PADA ANTARMUKA APLIKASI  ‘CURHAT’</t>
  </si>
  <si>
    <t>Jurnal Teknik Ilmu dan Aplikasi 4 (1), 15-24</t>
  </si>
  <si>
    <t>Test Code Generation Tool for Self Learning Programming Unity</t>
  </si>
  <si>
    <t>Proceedings of the 4th International Conference on Science and Technology Applications, ICoSTA 2022</t>
  </si>
  <si>
    <t>Investigation on machine learning algorithms to support transformer dissolved gas analysis fault identification</t>
  </si>
  <si>
    <t>Electrical Engineering 104 (5), 3037-3047</t>
  </si>
  <si>
    <t>Tool Image Searching Based Canopy K Means Clustering Using Web Programming Study Case MNC Publishing</t>
  </si>
  <si>
    <t>Vol. 1 No. 1 (2024): ICOMSIE</t>
  </si>
  <si>
    <t>Membandingkan Analisa Kesalahan Metode K-Means Clustering dan Canopy K-Means Clustering Dengan Data Gambar Terfilter</t>
  </si>
  <si>
    <t>CESS  (Journal of Computing Engineering, System and Science) Vol . 9, No. 1, January 2024 , pp. 1 - 1 1</t>
  </si>
  <si>
    <t>Aplikasi Dataset Filter Gambar Berwarna Data Cover Buku di MNC Publishing Berbasis Program PHP Hypertext Prepocessor</t>
  </si>
  <si>
    <t>Smart Chicken Coop Ecosystem for Optimal Growth of Broiler Chickens Using Fuzzy on IoT</t>
  </si>
  <si>
    <t>Inform Jurnal Ilmiah Bidang Teknologi Informasi dan Komunikasi 7(1):2581-0367</t>
  </si>
  <si>
    <t>Prediksi Banjir Lahar Dingin pada Lereng Merapi menggunakan Data Curah Hujan dari Satelit</t>
  </si>
  <si>
    <t>Jurnal Informatika Polinema 7(2):35-42</t>
  </si>
  <si>
    <t>Development of PAI Game Learning Media to Improve Student Learning Outcomes</t>
  </si>
  <si>
    <t>Nusantara Education 2 (2), 65-71</t>
  </si>
  <si>
    <t>Anarkisme Epistemologi Paul K. Fayerabend dan Relevansinya dengan Berpikir Kritis dalam Pendidikan Islam</t>
  </si>
  <si>
    <t>Akhlaqul Karimah: Jurnal Pendidikan Agama Islam 2 (1), 36-45</t>
  </si>
  <si>
    <t>Dialogflow Performance Analysis For Learning Services In Learning Management Systems Using Chatbots</t>
  </si>
  <si>
    <t>International Journal of Frontier Technology and Engineering 1 (2), 57-62</t>
  </si>
  <si>
    <t>Design and implementation of online tryout system to help students improve learning at home during the pandemic</t>
  </si>
  <si>
    <t>AIP Conference Proceedings 2531 (1)</t>
  </si>
  <si>
    <t>Performance Analysis of Mobile Learning Systems on Cloud Computing Using Load Testing Methods</t>
  </si>
  <si>
    <t>Proc. 2022 Annu. Technol. Appl. Sci. Eng. Conf.(ATASEC 2022), 125-133</t>
  </si>
  <si>
    <t>Preliminary Analysis of Result and Log Data on Viat-map in English Reading Comprehension</t>
  </si>
  <si>
    <t>2022 International Conference on Electrical and Information Technology (IEIT)</t>
  </si>
  <si>
    <t>THE IMPLEMENTATION OF LOW-COST EDUCATIONAL VIDEOS TO IMPROVE STUDENTS’PERFORMANCE IN TOEIC PREPARATION TEST</t>
  </si>
  <si>
    <t>English Review: Journal of English Education 10 (2), 499-508</t>
  </si>
  <si>
    <t>PENGEMBANGAN MODUL PEMBELAJARAN BAHASA INGGRI ESP PROGRAM STUDY TEKNIK LISTRIK JURUSAN ELEKTRO POLINEMA</t>
  </si>
  <si>
    <t>Jurnal Akuntansi Bisnis dan Humaniora 9 (1), 1-9</t>
  </si>
  <si>
    <t>Development of English teaching module for electrical engineering study program</t>
  </si>
  <si>
    <t>SAGA: Journal of English Language Teaching and Applied Linguistics 3 (1), 69-80</t>
  </si>
  <si>
    <r>
      <rPr>
        <rFont val="Calibri"/>
        <color rgb="FF000000"/>
        <sz val="10.0"/>
      </rPr>
      <t>DESAIN DAN ARSITEKTUR SERVERLESS CLOUD COMPUTING PADA APLIKASI PENGHITUNG KALORI MAKANAN BERBASIS MOBILE MENGGUNAKAN LAYANAN GOOGLE CLOUD PLATFO</t>
    </r>
    <r>
      <rPr>
        <rFont val="Calibri"/>
        <sz val="10.0"/>
      </rPr>
      <t>RM</t>
    </r>
  </si>
  <si>
    <t>JATI (Jurnal Mahasiswa Teknik Informatika) 8 (4), 6090-6097</t>
  </si>
  <si>
    <t>Analisis Kinerja Sistem Pakar Diagnosis Coronavirus Disease Menggunakan Metode Certainty Factor</t>
  </si>
  <si>
    <t>Jurnal Informatika Polinema 10 (2), 237-248</t>
  </si>
  <si>
    <t>Regenerative braking using fuzzy logic control on BLDC motor driven electric vehicles</t>
  </si>
  <si>
    <t>2022 International Conference on Electrical Engineering, Computer and Information Technology (ICEECIT)</t>
  </si>
  <si>
    <t>Penerapan Teknologi Leap Motion dengan Augmented Reality sebagai Media Pembelajaran Bakteri</t>
  </si>
  <si>
    <t>Jurnal Sistem dan Informatika (JSI) 16 (2), 68-76</t>
  </si>
  <si>
    <t>Evaluating the kit-build concept mapping process using sub-map scoring.</t>
  </si>
  <si>
    <t>Res. Pract. Technol. Enhanc. Learn. 19, 21</t>
  </si>
  <si>
    <t>Investigating VIAT-Map from the view point of Ease of Use, Perceived of Usefulness, and Acceptance of IT by using Technology Acceptance Model (TAM)</t>
  </si>
  <si>
    <t>2023 9th International Conference on Education and Technology (ICET)</t>
  </si>
  <si>
    <t>Jurnal Nasional Pendidikan Teknik Informatika: JANAPATI</t>
  </si>
  <si>
    <t>MEANINGFUL FEEDBACK DI APLIKASI QB-REC UNTUK MEMPERTAJAM PEMAHAMAN BAHASA INGGRIS</t>
  </si>
  <si>
    <t xml:space="preserve">Jurnal Teknik Ilmu Dan Aplikasi </t>
  </si>
  <si>
    <t>Improving Memory Retention By Using Source Connection Function In Viat-Map For English Reading Comprehension</t>
  </si>
  <si>
    <t>2023 International Conference on Electrical and Information Technology (IEIT 2023)</t>
  </si>
  <si>
    <t>Experimental Comparison of Promotion Effect for EFL Reading Comprehension between Conventional Summarization and Toulmin Argument Reconstruction</t>
  </si>
  <si>
    <t>ICCE 2023</t>
  </si>
  <si>
    <t>Constructing Toulmin's Logical Structure Through Viat-map Application for Reading Comprehension of EFL Students</t>
  </si>
  <si>
    <t>2022 Fifth International Conference on Vocational Education and Electrical …</t>
  </si>
  <si>
    <t>International Conference on Electrical and Information Technology (IEIT)</t>
  </si>
  <si>
    <t>ANALISIS SOLAR CELL SEBAGAI SUMBER ENERGI PADA PROSES PENGELASAN DENGAN GAS HHO</t>
  </si>
  <si>
    <t>Jurnal Elkasista 5 (1), 16-23</t>
  </si>
  <si>
    <t>IMPLEMENTASI SINAR LASER PADA SIMULASI PENEMBAKAN DENGAN MENAMPILKAN  DATA TEMBAK DAN DATA TREMOR PENEMBAK SENAPAN DISATUAN TNI AD</t>
  </si>
  <si>
    <t>Jurnal Elkasista 5 (1), 8-16</t>
  </si>
  <si>
    <t>Sistem Pendukung Keputusan Pemilihan Situs Lowongan Kerja Menggunakan Metode Moora</t>
  </si>
  <si>
    <t>Development of Learning Innovation Using Augmented Reality Technology with a Learning Management System as a Learning Supplement</t>
  </si>
  <si>
    <t>International Journal of Frontier Technology and Engineering (IJFTE)</t>
  </si>
  <si>
    <t>Analysis Implementation Gamification Massive Open Online Course for Student Motivation Learning</t>
  </si>
  <si>
    <t>Elektronika Sistem Senjata REKAYASA PEMBANGKIT LISTRIK TENAGA BAYU HYBRID PORTABLE SECARA REAL TIME BERBASIS IOT UNTUK PENYUPLAI KEBUTUHAN LISTRIK: Teknologi</t>
  </si>
  <si>
    <t>Jurnal Elkasista 3 (Mei), 21-28</t>
  </si>
  <si>
    <t>Annual Technology, Applied Science and Engineering Conference</t>
  </si>
  <si>
    <t>SISTEM INFORMASI PERTUKARAN PELAJAR UNTUK MENDUKUNG KURIKULUM MERDEKA BELAJAR-KAMPUS MERDEKA</t>
  </si>
  <si>
    <t>Smart System to Recapitulate Student Attendance on Virtual Meeting Platforms During Covid-19</t>
  </si>
  <si>
    <t xml:space="preserve">International Journal of Interactive Mobile Technologies (iJIM) </t>
  </si>
  <si>
    <t>Mask Detection App Uses Haar Cascade and Convolutional Neural Network to Alert Comply with Health Protocols</t>
  </si>
  <si>
    <t>Applied Information System and Management (AISM)</t>
  </si>
  <si>
    <t>Duty Cycle Tuning by Using Fuzzy Logic for High-Voltage Generators</t>
  </si>
  <si>
    <t>Analysis of Fingerprint Image Recognition using Deep Residual Convolutional Neural Network</t>
  </si>
  <si>
    <t>2023 IEEE International Conference on Communication, Networks and Satellite (COMNETSAT)</t>
  </si>
  <si>
    <t>Comparison of Relational Database Modeling Performance based on Number of Normalized Entities</t>
  </si>
  <si>
    <t>SMARTICS Journal</t>
  </si>
  <si>
    <t>Classification of Siam Orange Ripeness Level using K-Nearest Neighbors Algorithm and Features Gray Level Run Length Matrix</t>
  </si>
  <si>
    <t>A General Inverse Kinematic Formulation and Control Schemes for Omnidirectional Robots</t>
  </si>
  <si>
    <t>Engineering Letters 29 (4)</t>
  </si>
  <si>
    <t>PENGEMBANGAN APLIKASI DEEP LEARNING PENGENALAN WAJAH PADA MEDIA ONLINE UNTUK MENGETAHUI KEHADIRAN MAHASISWA</t>
  </si>
  <si>
    <t>Jurnal Informatika Polinema 8 (3), 8-14</t>
  </si>
  <si>
    <t>PowerPoint slideshow navigation control with hand gestures using Hidden Markov Model method</t>
  </si>
  <si>
    <t>Matrix: Jurnal Manajemen Teknologi dan Informatika 12 (1), 7-18</t>
  </si>
  <si>
    <t>QRCode Recognition on Flutter Framework Mobile Application Implemented on Entrance Security System</t>
  </si>
  <si>
    <t>Rancang Bangun Sistem Informasi Perpustakaan Berbasis Website di SMAN Ploso Menggunakan Algoritma Apriori</t>
  </si>
  <si>
    <t>Jurnal Informatika Polinema 10 (2), 151-156</t>
  </si>
  <si>
    <t>Sistem Informasi dalam Penentuan Status Terhadap Gizi Balita dengan Memanfaatkan Metode Simple Additive Weighting</t>
  </si>
  <si>
    <t>JIKO (Jurnal Informatika dan Komputer) 8 (1), 205-214</t>
  </si>
  <si>
    <t>PEMBUATAN WEBSITE UNTUK SOSIALISASI PROGRAM DAN BERITA PELAKSANAAN KEGIATAN PADA YAYASAN BUMI LANGGAT PEDULI</t>
  </si>
  <si>
    <t>Jurnal Pengabdian kepada Masyarakat 10 (2), 175-179</t>
  </si>
  <si>
    <t>Analysis of System Requirements and Architecture for Facilitating Table-Based Data Clustering for Non-Technical Users</t>
  </si>
  <si>
    <t>Journal of Applied Business and Technology 4 (3), 250-259</t>
  </si>
  <si>
    <t>2023 8th International Conference on Electrical, Electronics and Information Engineering (ICEEIE)</t>
  </si>
  <si>
    <t>International Journal of Multidisciplinary: Applied Business and Education Research</t>
  </si>
  <si>
    <t>Analisis Sentimen Kebijakan Pembelajaran Tatap Muka Selama Pandemi Covid-19 menggunakan Metode Suppoert Vector Machine</t>
  </si>
  <si>
    <t>Pelatihan Pemasaran Digital melalui Pemanfaatan Aplikasi Online Marketplace bagi UMKM di Lapak Berkah PKK Singosari Malang</t>
  </si>
  <si>
    <t>Jurnal Pengabdian UNDIKMA 3 (3), 436-443</t>
  </si>
  <si>
    <t>Reduksi Fitur untuk Optimasi Prediksi Penyakit Ginjal Kronis menggunakan Radial Basis Function Neural Network</t>
  </si>
  <si>
    <t>Jurnal Informatika Universitas Pamulang 7 (2)</t>
  </si>
  <si>
    <t>WORKSHOP OPTIMALISASI DIGITAL MARKETING UNTUK PELAKU UMKM PADA LAPAK BERKAH PKK, DI DESA TOYOMARTO SINGOSARI, KABUPATEN MALANG</t>
  </si>
  <si>
    <t>Kumawula: Jurnal Pengabdian Kepada Masyarakat 5 (1), 149-155</t>
  </si>
  <si>
    <t>Implementasi Multilayer Perceptron Untuk Memprediksi Harapan Hidup Pada Pasien Penyakit Kardiovaskular</t>
  </si>
  <si>
    <t>J-SAKTI (Jurnal Sains Komputer dan Informatika) 6 (1), 57-68</t>
  </si>
  <si>
    <t>Penerapan Metode WASPAS Pada Sistem Pendukung Keputusan Penentuan Tempat Wisata Kuliner</t>
  </si>
  <si>
    <t>Jurnal Media Informatika Budidarma 7 (1), 324-330</t>
  </si>
  <si>
    <t>Annotation Contribution to Classification Accuracy of Person Identification Based Gait Biometric</t>
  </si>
  <si>
    <t>2022 International Seminar on Application for Technology of Information and Communication (iSemantic)</t>
  </si>
  <si>
    <t>PENERAPAN METODE WASPAS PADA SISTEM PENDUKUNG KEPUTUSAN PENENTUAN TEMPAT WISATA KULINER DI AREA KOTA BATU DAN KOTA MALANG</t>
  </si>
  <si>
    <t>JURNAL MEDIA INFORMATIKA BUDIDARMA 7(1), 324-330</t>
  </si>
  <si>
    <t>Preliminary Study to Optimize the Supply Chain of the PT Otsuka-Built Hydroponics Smart Ecosystem</t>
  </si>
  <si>
    <t>2021 1st International Conference on Electrical and Information Technology (IEIT2021)</t>
  </si>
  <si>
    <t>Public service innovation through the application of mobile-based smart city concepts in Sukun sub-district, Malang City</t>
  </si>
  <si>
    <t>IOP Conference Series: Materials Science and Engineering 1073 (1), 012059</t>
  </si>
  <si>
    <t>Smart ecosystem for hydroponic land in the hydroponic farmers group guided by CSR PT. Otsuka Indonesia as an improved quality and quantity of harvest results</t>
  </si>
  <si>
    <t>IOP Conference Series: Materials Science and Engineering 1073 (1), 012030</t>
  </si>
  <si>
    <t>Decision Support System of Part-Time Job Applicants Rank for Information Technology Students Using the MOORA Method</t>
  </si>
  <si>
    <t>2023 International Conference on Information Technology and Computing (ICITCOM), 136-140</t>
  </si>
  <si>
    <t>Metode MOORA Sebagai Pendukung Keputusan Rekrutmen Pekerja Part Time Untuk Mahasiswa Jurusan Teknologi Informasi</t>
  </si>
  <si>
    <t>JURNAL TECNOSCIENZA 8 (1), 27-42</t>
  </si>
  <si>
    <t>Analisa Perbandingan Metode Penjadwalan Pada Pemrosesan Enkripsi Dan Dekripsi RSA Terdistribusi Dengan Arsitektur Klaster SBC</t>
  </si>
  <si>
    <t>Jurnal Minfo Polgan 12 (2), 1754-1763</t>
  </si>
  <si>
    <t>METODE
 RANDOM FOREST UNTUK KLASIFIKASI KERUSAKAN TRANSFORMATOR DAYA 
BERDASARKAN GAS TERLARUT PADA DUVAL TRIANGLE DAN DUVAL PENTAGON</t>
  </si>
  <si>
    <t>JATI (Jurnal Mahasiswa Teknik Informatika) 7 (6), 3464-3471</t>
  </si>
  <si>
    <t>Peramalan Jumlah Pengunjung Wisatawan Mancanegara Menggunakan Metode Fuzzy Time Series DI Jawa Timur</t>
  </si>
  <si>
    <t>Jurnal Informatika Polinema 8 (2), 43-48</t>
  </si>
  <si>
    <t>A Scalable Simulation Testbed for O-RAN</t>
  </si>
  <si>
    <t>대한전자공학회 학술대회, 2295-2298</t>
  </si>
  <si>
    <t>Optimasi Performa React JS Menggunakan Code Splitting</t>
  </si>
  <si>
    <t>Prosiding Seminar Nasional Teknik Elektro, Sistem Informasi, dan Teknik Informatika (SNESTIK), 412-419</t>
  </si>
  <si>
    <t>Metode Extreme Programming pada Aplikasi Jayanti untuk Rekomendasi Mahasiswa Berprestasi Non-Akademik</t>
  </si>
  <si>
    <t>Jurnal Informatika Polinema 10 (3), 397-404</t>
  </si>
  <si>
    <t>Multi-Threading Reverse Engineering untuk Membangun Class Diagram</t>
  </si>
  <si>
    <t>Prosiding Seminar Nasional Teknik Elektro, Sistem Informasi, dan Teknik Informatika (SNESTIK), 190197</t>
  </si>
  <si>
    <t>Design And Building Of The Utility Performance Monitoring System At PT. XYZ With Brainstorming Method</t>
  </si>
  <si>
    <t>International Journal of Health Engineering and Technology (IJHET) 2 (5)</t>
  </si>
  <si>
    <t>Rancang Bangun Aplikasi Monitoring Mesin Produksi Menggunakan Metode PIECES</t>
  </si>
  <si>
    <t>ANALISIS SENTIMEN BERITA PROGRAM CSR PADA APLIKASI SR-APP OLAHKARSA</t>
  </si>
  <si>
    <t>Jurnal Informatika dan Teknik Elektro Terapan 11 (3s1)</t>
  </si>
  <si>
    <t>Comparison of Relational Database Modeling Performance based on Number of Normalized Entities:-</t>
  </si>
  <si>
    <t>SMARTICS Journal 9 (1), 42-48</t>
  </si>
  <si>
    <t>Natural language processing based chatbot for customer support system on higher education institution</t>
  </si>
  <si>
    <t>Analisis Faktor Project Based Learning Melalui Grand Teori SOR pada Manajemen Pemasaran</t>
  </si>
  <si>
    <t>Jurnal Akuntansi Bisnis dan Humaniora 10 (1), 34-40</t>
  </si>
  <si>
    <t>YOLO-based object detection performance evaluation for automatic target aimbot in first-person shooter games</t>
  </si>
  <si>
    <t>Bulletin of Electrical Engineering and Informatics 13 (4), 2456-2470</t>
  </si>
  <si>
    <t>ANALISIS FAKTOR-FAKTOR PENENTU KEBERHASILAN EKSPOR KOMODITAS NONMIGAS: STUDI KASUS INDUSTRI PERTANIAN</t>
  </si>
  <si>
    <t>Jurnal Ekonomi Manajemen 28 (5)</t>
  </si>
  <si>
    <t>Sistem Pendeteksi Kualitas Daging Segar dengan Metode Naive Bayes</t>
  </si>
  <si>
    <t>Jurnal Informatika Polinema 10 (2), 279-284</t>
  </si>
  <si>
    <r>
      <rPr>
        <rFont val="Calibri"/>
        <color rgb="FF000000"/>
        <sz val="10.0"/>
      </rPr>
      <t>Implementation of Profile Matching and Linear Interpolation Methods for Web-Based  Employee Selection System of PT Berdikari Meubel Nusanta</t>
    </r>
    <r>
      <rPr>
        <rFont val="Calibri"/>
        <sz val="10.0"/>
      </rPr>
      <t>ra</t>
    </r>
  </si>
  <si>
    <t>Jurnal Informatika Polinema 10 (2), 171-180</t>
  </si>
  <si>
    <t>Virtual Museum Lukis Berbasis WebGl Untuk Meningkatkan Pengetahuan Seni Lukis</t>
  </si>
  <si>
    <t>Jurnal Minfo Polgan 12 (1), 369-377</t>
  </si>
  <si>
    <r>
      <rPr>
        <rFont val="Calibri"/>
        <color rgb="FF000000"/>
        <sz val="10.0"/>
      </rPr>
      <t xml:space="preserve">Identifikasi Person Pada Game First Person Shooter (Fps) Menggunakan Yolo Object  Detection Dan Diimplementasikan Sebagai Agent Cerdas Automatic Target 
</t>
    </r>
    <r>
      <rPr>
        <rFont val="Calibri"/>
        <sz val="10.0"/>
      </rPr>
      <t>Hit</t>
    </r>
  </si>
  <si>
    <t>Jurnal Teknik Ilmu Dan Aplikasi 3 (2), 174-178</t>
  </si>
  <si>
    <t>Integration of augmented reality and voice recognition in learning english for children</t>
  </si>
  <si>
    <t>Journal of Applied Intelligent System 7 (2), 103-110</t>
  </si>
  <si>
    <t>Mixed
 Reality Based User Acceptance Measurement on Primary School Age 
Children (Case Study: Introduction to Indonesian Native Fauna)</t>
  </si>
  <si>
    <t>Journal Of Applied Intelligent System 7 (1)</t>
  </si>
  <si>
    <t>Developing Audit Learning Application for Accounting Students</t>
  </si>
  <si>
    <t>Annual Management, Business and Economics Conference 1 (1), 150-155</t>
  </si>
  <si>
    <r>
      <rPr>
        <rFont val="Calibri"/>
        <color rgb="FF000000"/>
        <sz val="10.0"/>
      </rPr>
      <t>Blended Learning Vocationalogy Entrepreneurship Program: Analysis of Human-Computer Interaction Based on Technology Acceptance Model (TA</t>
    </r>
    <r>
      <rPr>
        <rFont val="Calibri"/>
        <sz val="10.0"/>
      </rPr>
      <t>M)</t>
    </r>
  </si>
  <si>
    <t>Inform: Jurnal Ilmiah Bidang Teknologi Informasi dan Komunikasi 8 (2), 84-89</t>
  </si>
  <si>
    <t>Technology Acceptance Model: An Analysis of Human-Computer Interaction in The UASBN Educational Game</t>
  </si>
  <si>
    <t>Inform: Jurnal Ilmiah Bidang Teknologi Informasi dan Komunikasi 8 (1), 7-13</t>
  </si>
  <si>
    <t>Inform: Jurnal Ilmiah Bidang Teknologi Informasi dan Komunikasi 7 (1), 16-23</t>
  </si>
  <si>
    <t>Smart Greenhouse Coffee Dryer with Fuzzy Algorithm on Internet of Things Platform</t>
  </si>
  <si>
    <t>Inform: Jurnal Ilmiah Bidang Teknologi Informasi dan Komunikasi 7 (1), 1-8</t>
  </si>
  <si>
    <t>Predicting News Article Popularity with Multi Layer Perceptron Algorithm</t>
  </si>
  <si>
    <t>Journal of Applied Intelligent System 7 (2), 193-205</t>
  </si>
  <si>
    <t>Preliminary Analysis of Experimental Results Using Drag-and-Drop and Log Data on PseudoLearn in Learning Logic Programming</t>
  </si>
  <si>
    <t>Proceedings of the 5th Annual Advanced Technology, Applied Science, and Engineering Conference (ATASEC) 2023, 75</t>
  </si>
  <si>
    <t>Pengembangan
 Desain Model Quantum Teaching dan Blended Learning Berbasis Kasus dan 
Proyek Dengan Pendekatan Social Cognitive Theory Untuk Peningkatan 
Prestasi dan Motivasi Belajar</t>
  </si>
  <si>
    <t>Prosiding Seminar Nasional FISIP UNNES, 42-50</t>
  </si>
  <si>
    <t>Investigating
 VIAT-Map from the view point of Ease of Use, Perceived of Usefulness, 
and Acceptance of IT by using Technology Acceptance Model (TAM)</t>
  </si>
  <si>
    <t>2023 9th International Conference on Education and Technology (ICET), 110-115</t>
  </si>
  <si>
    <t>Automatic essay assessment in e-learning using winnowing algorithm</t>
  </si>
  <si>
    <t>Indonesian Journal of Electrical Engineering and Computer Science</t>
  </si>
  <si>
    <t>APLIKASI PEMBELAJARAN REKONSTRUKSI ALGORITMA PSEUDOCODE DENGAN PENDEKATAN ELEMENT FILL-IN-BLANK PROBLEMS DI PEMROGRAMAN JAVA</t>
  </si>
  <si>
    <t>Jurnal Teknik Ilmu Dan Aplikasi 3 (2), 153-161</t>
  </si>
  <si>
    <t>Sistem Prediksi Penjualan Frozen Food dengan Metode Monte Carlo (Studi Kasus: Supermama Frozen Food)</t>
  </si>
  <si>
    <t>Jurnal Buana Informatika</t>
  </si>
  <si>
    <t>Software Requirement Specification for Learning Man-agement System Design</t>
  </si>
  <si>
    <t>Proceedings of the 2022 Annual Technology, Applied Science and Engineering Conference (ATASEC 2022)</t>
  </si>
  <si>
    <t>Electric Power Systems Research</t>
  </si>
  <si>
    <t>Electrical Engineering, 1-11</t>
  </si>
  <si>
    <t>Rancang Bangun dan Implementasi Aplikasi Internal Meeting</t>
  </si>
  <si>
    <t>JURNAL MEDIA INFORMATIKA BUDIDARMA</t>
  </si>
  <si>
    <t>Indoor Building Room Navigation Using Augmented Reality and SLAM Method (Case Study: Politeknik Negeri Malang)</t>
  </si>
  <si>
    <t>2023 14th International Conference on Information &amp; Communication Technology and System (ICTS)</t>
  </si>
  <si>
    <t>Synthesis, characterization and energy gap of silica quantum dots from rice husk</t>
  </si>
  <si>
    <t>Bioresource Technology Reports 20, 101263</t>
  </si>
  <si>
    <t>Multi-expert GMM decision support system with AHP method for determining weight of transformer oil insulation quality index</t>
  </si>
  <si>
    <t>Proceeding International Seminar of Science and Technology 3, 273-285</t>
  </si>
  <si>
    <t>Multi-criteria decision support system using AHP method to determine the weight of transformer paper insulation index</t>
  </si>
  <si>
    <t>Proceeding International Seminar of Science and Technology 3, 257-271</t>
  </si>
  <si>
    <t>Comparative Study of Machine Learning and Holt-Winters Exponential Smoothing Models for Prediction of CPI’s Seasonal Data</t>
  </si>
  <si>
    <t>2024 2nd International Conference on Software Engineering and Information Technology (ICoSEIT), 144-148</t>
  </si>
  <si>
    <t>Systematic Literature Review: Implementation COBIT as a Best Practice of Electronic Based Government System Governance</t>
  </si>
  <si>
    <t>Sistemasi: Jurnal Sistem Informasi 13 (1), 335-345</t>
  </si>
  <si>
    <t>Analisis Ketersediaan Beras Menggunakan Sistem Dinamik Sebagai Pendukung Kebijakan Ketahanan Pangan</t>
  </si>
  <si>
    <t>JURNAL TECNOSCIENZA 7 (2), 268-282</t>
  </si>
  <si>
    <t>Jurnal Transformatika 21 (1)</t>
  </si>
  <si>
    <t>Teknik Elisitasi Kebutuhan Perangkat Lunak: Literatur Review</t>
  </si>
  <si>
    <t>JUSIFO (Jurnal Sistem Informasi) 8 (1), 35-42</t>
  </si>
  <si>
    <t>Optimizing Tourism Promotion through Interactive Virtual Tour Design: A Case Study of Batu Love Garden</t>
  </si>
  <si>
    <t>Indonesian Journal on Software Engineering (IJSE) 10 (1), 11-17</t>
  </si>
  <si>
    <t>Design
 and Development of a Micro Inverter Power Monitoring System to Enhance 
Photovoltaic System Performance by Integrating LoRaWAN and IoT</t>
  </si>
  <si>
    <t>E3S Web of Conferences 473, 01011</t>
  </si>
  <si>
    <t>SISTEM PENDUKUNG KEPUTUSAN TEMPAT PEMBELIAN ALBUM KPOP MENGGUNAKAN MOORA</t>
  </si>
  <si>
    <t>Design and analysis of planar monopole antenna for satellite communication</t>
  </si>
  <si>
    <t>Garbage Classification using Faster R-CNN</t>
  </si>
  <si>
    <t>2023 International Conference on Electrical and Information Technology (IEIT)</t>
  </si>
  <si>
    <t>Analysis of Driving Safety with Distance Detection Systems for Motorized Vehicles Using Ultrasonic Sensors</t>
  </si>
  <si>
    <t>2023 International Seminar on Intelligent Technology and Its Applications (ISITIA)</t>
  </si>
  <si>
    <t>Linear Controller Design using Pole Placement Method for Nonholonomic Mobile Robot Trajectory Tracking</t>
  </si>
  <si>
    <t>Distance detection systems for motorized vehicles on highways using rfid and ultrasonic sensors: Design and analysis</t>
  </si>
  <si>
    <t>IoT-based Smart-homes to Increase Home Selling Price</t>
  </si>
  <si>
    <t>International Journal of Frontier Technology and Engineering 1 (2), 48-56, 2023</t>
  </si>
  <si>
    <t>Design and analysis of the effectiveness of an automated home control system using the Internet of Things</t>
  </si>
  <si>
    <t>A Bi-directional Flyback Micro-inverter for Power Flow Control of a Grid-connected Solar PV Module</t>
  </si>
  <si>
    <t>2022 9th International Conference on Information Technology, Computer, and …</t>
  </si>
  <si>
    <t>A Forward Micro-inverter Implementation for Flexible Power Flow Control in a Grid-connected Solar Photovoltaic Module</t>
  </si>
  <si>
    <t>Management of Research Results and Intellectual Property Commercialization</t>
  </si>
  <si>
    <t>Academic Journal of Interdisciplinary Studies 11 (3), 391-391</t>
  </si>
  <si>
    <t>RANCANG BANGUN ALAT MONITORING CO DAN SUHU DALAM KABIN MOBIL BERBASIS NOTIFIKASI TELEGRAM</t>
  </si>
  <si>
    <t>JAMI: Jurnal Ahli Muda Indonesia 3 (1), 74-82</t>
  </si>
  <si>
    <t>Review Related Reviews: Multiband Planar Inverted Antenna for Mobile Communication</t>
  </si>
  <si>
    <t>International Journal of Frontier Technology and Engineering 1 (01), 13-20</t>
  </si>
  <si>
    <t>2022 Fifth International Conference on Vocational Education and Electrical Engineering (ICVEE), 196-200</t>
  </si>
  <si>
    <t>Pengaruh Kualitas Wesbite Terhadap Kinerja Bisnis, Studi Kasus Website Travel</t>
  </si>
  <si>
    <t>Indonesian Journal of Electronics, Electromedical Engineering, and Medical Informatics 5(1)</t>
  </si>
  <si>
    <t>Prediksi harga saham syariah menggunakan algoritma long short-term memory (lstm)</t>
  </si>
  <si>
    <t>Jurnal Nasional Teknologi dan Sistem Informasi 8 (3), 164-172</t>
  </si>
  <si>
    <t>Exam
 Question Recommendation System Based on the Inclusion-Based TOPSIS 
Method With Interval-Valued Intuitionistic Hesitant Fuzzy</t>
  </si>
  <si>
    <t>2022 International Conference on Electrical Engineering and Informatics (ICELTICs) 13-120</t>
  </si>
  <si>
    <t>Indonesian Journal of Electronics, Electromedical Engineering, and Medical Informatics</t>
  </si>
  <si>
    <t>Big data system of research data in the informatics department based on software enhancement</t>
  </si>
  <si>
    <t>International Journal of Computer Information Systems and Industrial Management Applications 14, 15-16</t>
  </si>
  <si>
    <t>Analysis of LoRa with LoRaWAN Technology Indoors in Polytechnic of Malang Environment</t>
  </si>
  <si>
    <t>Sistemasi: Jurnal Sistem Informasi 13 (2), 698-712</t>
  </si>
  <si>
    <r>
      <rPr>
        <rFont val="Calibri"/>
        <color rgb="FF000000"/>
        <sz val="10.0"/>
      </rPr>
      <t>Aplikasi Pemantauan dan Peringatan Dini untuk Energi Baru Terbarukan Berbasis Android dengan Restful Api (Studi Kasus Kajian EBT Polinema dan PT. P</t>
    </r>
    <r>
      <rPr>
        <rFont val="Calibri"/>
        <sz val="10.0"/>
      </rPr>
      <t>LN</t>
    </r>
  </si>
  <si>
    <t>Jurnal Teknik Ilmu dan Aplikasi 5 (1), 1-7</t>
  </si>
  <si>
    <t>A Short-Length Single Channel EEG Based Personal Identification System</t>
  </si>
  <si>
    <t>2023 IEEE International Conference on Communication, Networks and Satellite (COMNETSAT) 446-452</t>
  </si>
  <si>
    <t>Penentuan Learning Rate Terbaik CNN Pada Pengenalan Individu Berbasis Analisis Gait</t>
  </si>
  <si>
    <t>JOINS (Journal of Information System) 8 (1), 90-96</t>
  </si>
  <si>
    <t>Sistem Informasi Pemesanan Makanan Muliti-Tenant Berbasis Website (Studi Kasus: NJenggrik Coffee)</t>
  </si>
  <si>
    <t>Jurnal Teknik Ilmu dan Aplikasi 5 (1), 8-12</t>
  </si>
  <si>
    <t>Game Platformer Berbasis Fuzzy-Fisher Yates Dalam Pembelajaran Matematika Materi Perkalian Sekolah Dasar</t>
  </si>
  <si>
    <t>Jurnal Minfo Polgan 12 (1), 60-66</t>
  </si>
  <si>
    <t>The implementation of augmented reality in geometry for primary school students</t>
  </si>
  <si>
    <t>Journal of Computing Research and Innovation (JCRINN) 8 (1), 45-57</t>
  </si>
  <si>
    <t>Sistem Pakar Diagnosa Hama Penyakit Tanaman Kentang Dengan Metode Forward Chaining</t>
  </si>
  <si>
    <t>Jurnal Komtika (Komputasi dan Informatika) 8 (1)</t>
  </si>
  <si>
    <t>Automatic Java Code Generation System from Flowchart for Basic Programming Learning</t>
  </si>
  <si>
    <t>Proceedings of the 5th Annual Advanced Technology, Applied Science, and Engineering Conference (ATASEC) 2023</t>
  </si>
  <si>
    <t>Fake News Detection Using Sentiment Analysis Approach in Indonesian Language</t>
  </si>
  <si>
    <t>2023 International Conference on Advanced Mechatronics, Intelligent Manufacture and Industrial Automation (ICAMIMIA)</t>
  </si>
  <si>
    <t>An Implementation of Android Programming Self-learning Topic for Developing Online Database Application Using Firebase</t>
  </si>
  <si>
    <t>A Proposal of Code Typing Problem for Basic Java Programming Learning</t>
  </si>
  <si>
    <t>2023 International Electronics Symposium (IES), 520-526</t>
  </si>
  <si>
    <t>Pengembangan Topik Pembelajaran SQL–DDL Menggunakan DBMS MYSQL Pada Platform Intelligent Computer-Assisted Programming Learning Platform (ICLOP)</t>
  </si>
  <si>
    <t>Jurnal Teknik Ilmu dan Aplikasi 4 (2), 33-37</t>
  </si>
  <si>
    <t>Usability Evaluation of English Learning Application Base on Augmented Reality Using ISO 9241</t>
  </si>
  <si>
    <t>Journal of Information Technology and Computer Science 8 (1), 1-10</t>
  </si>
  <si>
    <t>Peringkasan Teks Otomatis pada Portal Berita Olahraga menggunakan metode Maximum Marginal Relevance.</t>
  </si>
  <si>
    <t>Jurnal Informatika Polinema 8 (3), 21-30</t>
  </si>
  <si>
    <t>Cross-Language Text Document Plagiarism Detection System Using Winnowing Method</t>
  </si>
  <si>
    <t>Journal of Applied Intelligent System (e-ISSN: 2502-9401| p-ISSN: 2503-0493)</t>
  </si>
  <si>
    <t>Klasterisasi Jawaban Uraian Mahasiswa Menggunakan TF-IDF dan K-Means untuk Membantu Koreksi Ujian</t>
  </si>
  <si>
    <t>JURNAL MEDIA INFORMATIKA BUDIDARMA 7 (4), 2159-2167</t>
  </si>
  <si>
    <t>RANCANG BANGUN SISTEM MONITORING UTILITY PERFORMANCE PADA PT. XYZ DENGAN METODE BRAINSTORMING</t>
  </si>
  <si>
    <t>Jurnal Informatika Polinema 9 (4), 391-396</t>
  </si>
  <si>
    <t>Exam Question Recommendation System Based on the Inclusion-Based TOPSIS Method With Interval-Valued Intuitionistic Hesitant Fuzzy</t>
  </si>
  <si>
    <t>2022 International Conference on Electrical Engineering and Informatics (ICELTICs)</t>
  </si>
  <si>
    <t>Automatic target recognition and identification for military ground-to-air observation tasks using support vector machine and information fusion</t>
  </si>
  <si>
    <t>2022 International conference on ICT for smart society (ICISS), 01-08</t>
  </si>
  <si>
    <t>PENGEMBANGAN APLIKASI SQLEARN DENGAN CONFIDENT TAG UNTUK MENGETAHUI PEMAHAMAN MAHASISWA</t>
  </si>
  <si>
    <t>Institut Teknologi Nasional Malang</t>
  </si>
  <si>
    <t>KLIK: Kajian Ilmiah Informatika dan Komputer 4 (3), 1313-1322</t>
  </si>
  <si>
    <t>Motivasi Pendidik di Perguruan Tinggi</t>
  </si>
  <si>
    <t>CV Literasi Nusantara Abadi</t>
  </si>
  <si>
    <t>Work engagement of lecturer in higher education: studies at state universities in Indonesia</t>
  </si>
  <si>
    <t>The International Journal of Social Sciences World (TIJOSSW) 5 (1), 50-57</t>
  </si>
  <si>
    <t>SISTEM PENGAMBIL KEPUTUSAN INFORMASI LOWONGAN KERJA PADA DINAS KETENAGAKERJAAN KABUPATEN MALANG MENGGUNAKAN METODE SAW DIKOMBINASIKAN DENGAN FUZZY LOGIC</t>
  </si>
  <si>
    <t>Jurusan Teknologi Informasi</t>
  </si>
  <si>
    <t>Sistem Pendukung Keputusan Penerima Bantuan Program Keluarga Harapan (PKH) Menggunakan Metode Simple Multi Attribute Rating Technique (SMART)(Studi Kasus: Desa Kemudi)</t>
  </si>
  <si>
    <t>Jurnal Ilmiah Informatika 7 (2), 136-146</t>
  </si>
  <si>
    <t>Crowd Counting During a Pandemic to Find Out Community Response to Activity Restriction Policy Using Deep Learning</t>
  </si>
  <si>
    <t>Sistem Absensi Karyawan Secara Realtime Berbasis Fingerprint Menggunakan Metode Rapid Application Development</t>
  </si>
  <si>
    <t>Jurnal Sistem Informasi Bisnis 12 (1), 1-9</t>
  </si>
  <si>
    <t>Forensic Digital Analysis of Telegram Applications Using the National Institute Of Justice and Naïve Bayes Methods</t>
  </si>
  <si>
    <t>Mobile and Forensics</t>
  </si>
  <si>
    <t>Sinkron: jurnal dan penelitian teknik informatika 7 (3), 1409-1417</t>
  </si>
  <si>
    <t>Genetic Grouping Algorithm based on Rank and Research Group for Timetabling Thesis Examination</t>
  </si>
  <si>
    <t>Sistemasi: Jurnal Sistem Informasi 12 (2), 537-550</t>
  </si>
  <si>
    <t>LITERATURE REVIEW: PENERAPAN BIG DATA DALAM KESEHATAN MASYARAKAT</t>
  </si>
  <si>
    <t>SATUKATA: Jurnal Sains, Teknik, dan Studi Kemasyarakatan 1 (3), 129-138</t>
  </si>
  <si>
    <t>Literatur Review: Peran Aplikasi SAAS Dalam Kegiatan Bisnis E-Commerce</t>
  </si>
  <si>
    <t>SINOMIKA Journal: Publikasi Ilmiah Bidang Ekonomi dan Akuntansi 1 (4), 1009-1020</t>
  </si>
  <si>
    <t>ANALISIS LORA DALAM KOMUNIKASI NODEMCU DI LINGKUNGAN POLITEKNIK NEGERI MALANG: LORA ANALYSIS IN NODEMCU COMMUNICATION IN THE MALANG STATE POLYTECHNIC CAMPUS</t>
  </si>
  <si>
    <t>Jurnal Sistem Informasi dan Bisnis Cerdas 15 (2), 1-8</t>
  </si>
  <si>
    <t>Penerapan Arsitektur IoT Pada Inkubator Telur Puyuh Menggunakan Algoritma Fuzzy</t>
  </si>
  <si>
    <t>Jurnal Informatika Polinema 8 (3), 45-52</t>
  </si>
  <si>
    <t>2023 International Conference on Modeling &amp; E-Information Research, Artificial Learning and Digital Applications (ICMERALDA)</t>
  </si>
  <si>
    <t>Enhancing Extractive Summarization in Student Assignments Using BERT and K-Means Clustering</t>
  </si>
  <si>
    <t>International Conference on Electronics, Biomedical Engineering, and Health Informatics</t>
  </si>
  <si>
    <t>Applied Information System and Management (AISM) 6 (2), 77-82</t>
  </si>
  <si>
    <t>Google Trends and Technical Indicator based Machine Learning for Stock Market Prediction</t>
  </si>
  <si>
    <t>MATRIK: Jurnal Manajemen, Teknik Informatika dan Rekayasa Komputer</t>
  </si>
  <si>
    <t>Optimasi Parameter Holt–Winters Exponential Smoothing Menggunakan Multivariabel Golden Section Untuk Prediksi Penjualan Mobil Indonesia</t>
  </si>
  <si>
    <t>G-Tech: Jurnal Teknologi Terapan 7 (2), 596-609</t>
  </si>
  <si>
    <t>Sistem Pakar Diagnosa Penyakit Paru-Paru Menggunakan Metode Case Based Reasoning</t>
  </si>
  <si>
    <t>Jurnal Informatika Polinema 9 (2), 193-200</t>
  </si>
  <si>
    <t>Prediksi Harga Saham Syariah Menggunakan Algoritma Long Short-Term Memory (LSTM)</t>
  </si>
  <si>
    <t>J. Nas. Teknol. dan Sist. Inf 8 (3), 164-172</t>
  </si>
  <si>
    <t>Genetic Algorithms for Holt Winter Exponential Smoothing Parameter Optimization in Indonesian Car Sales Forecasting</t>
  </si>
  <si>
    <t>Enhancing Power Transformer Oil Quality Weight Factor using A Genetic Algorithm</t>
  </si>
  <si>
    <t>Jurnal ELTIKOM: Jurnal Teknik Elektro, Teknologi Informasi dan Komputer</t>
  </si>
  <si>
    <t>The Development of Meta data Extractor Plugin for Open Journal System</t>
  </si>
  <si>
    <t>International Conference on Applied Science and Technology on Engineering Science 2023 (iCAST-ES 2023)</t>
  </si>
  <si>
    <t>PENENTUAN ESTIMASI WAKTU LAUNDRY DENGAN MENERAPKAN NAÏVE BAYES CLASSIFIER (STUDI KASUS OMAH LAUNDRY)</t>
  </si>
  <si>
    <t>Prosiding Seminar Nasional Terapan Riset Inovatif (SENTRINOV) 9 (1), 283-290</t>
  </si>
  <si>
    <t>IMPLEMENTASI PENGENALAN CITRA WAJAH BINATANG DENGAN ALGORITMA CONVOLUTIONAL NEURAL NETWORK (CNN)</t>
  </si>
  <si>
    <t>JUTI: Jurnal Ilmiah Teknologi Informasi 21 (1), 30-41</t>
  </si>
  <si>
    <t>Software Requirement Specification for Learning Management System Design</t>
  </si>
  <si>
    <t>Sistem Informasi Akuntansi Pengelolaan Keuangan dan Anggaran Badan Usaha Milik Desa (BUMDes)(Studi Kasus: BUMDes Desa Pakisaji Kabupaten Malang)</t>
  </si>
  <si>
    <t>JUSTIN (Jurnal Sistem dan Teknologi Informasi) 10 (2), 208-216</t>
  </si>
  <si>
    <t>Feature-based POS tagging and sentence relevance for news multi-document summarization in Bahasa Indonesia</t>
  </si>
  <si>
    <t>Bulletin of Electrical Engineering and Informatics 11 (1), 541-549</t>
  </si>
  <si>
    <t>Sistem Temu Kembali Informasi Pesawat Udara Militer Menggunakan Jaringan Syaraf Tiruan Back Propagation Network</t>
  </si>
  <si>
    <t>Jurnal Teknik Ilmu dan Aplikasi 4 (2), 45-49</t>
  </si>
  <si>
    <t>Pelatihan Pemanfaatan Microsoft Office Dan Administrator OpenSID Untuk Aparatur Desa Tumpakoyot</t>
  </si>
  <si>
    <t>JAPI (Jurnal Akses Pengabdian Indonesia) 8 (1), 89-94</t>
  </si>
  <si>
    <t>Pengelompokan Obyek Wisata Potensial dengan Self Organizing Maps (SOM) dan Sum Additive Weighting (SAW)</t>
  </si>
  <si>
    <t>JISKA (Jurnal Informatika Sunan Kalijaga) 8 (1), 1-9</t>
  </si>
  <si>
    <t>Single channel electroencephalogram (eeg) based biometric system</t>
  </si>
  <si>
    <t>2022 IEEE 8th Information Technology International Seminar (ITIS)</t>
  </si>
  <si>
    <t>SISTEM KENDALI PENGANGGURAN DAN INFORMASI LOWONGAN KERJA PADA DINAS KETENAGAKERJAAN KABUPATEN MALANG</t>
  </si>
  <si>
    <t>Jurnal Informatika Polinema 9 (3), 325-330</t>
  </si>
  <si>
    <t>PENERAPAN DESIGN THINKING PADA PERANCANGAN UI/UX MARKETPLACE SISTEM RANTAI PASOK “PANEN-PANEN”</t>
  </si>
  <si>
    <t>Jurnal Informatika Polinema 8 (3), 39-44</t>
  </si>
  <si>
    <t>Mixed Reality Based User Acceptance Measurement on Primary School Age Children (Case Study: Introduction to Indonesian Native Fauna)</t>
  </si>
  <si>
    <t>Journal of Applied Intelligent System 7 (1), 1-7</t>
  </si>
  <si>
    <t>RANCANG BANGUN APLIKASI MARP UNTUK WAYFINDING GEDUNG DAN RUANGAN DI POLINEMA</t>
  </si>
  <si>
    <t>ANDHARUPA: Jurnal Desain Komunikasi Visual &amp; Multimedia 8 (01), 27-37</t>
  </si>
  <si>
    <t>klasifikasi pola asuh orang tua terhadap anak usia dini</t>
  </si>
  <si>
    <t>Jurnal Informatika Polinema 8 (3), 1-6</t>
  </si>
  <si>
    <t>SISTEM INFORMASI PREDIKSI KEBUTUHAN BAHAN MENTAH MENGGUNAKAN METODE SINGLE EXPONENTIAL SMOOTHING</t>
  </si>
  <si>
    <t>Jurnal Teknik Ilmu dan Aplikasi 3 (1), 22-26</t>
  </si>
  <si>
    <t>An Experimental Study on Deep Learning Technique Implemented on Low Specification OpenMV Cam H7 Device</t>
  </si>
  <si>
    <t>JOIV: International Journal on Informatics Visualization 8 (2), 1017-1029</t>
  </si>
  <si>
    <t>An Implementation of Recipe Recommendation System Based on Ingredients Availability Using Content-based and Collaborative Filtering</t>
  </si>
  <si>
    <t>2023 International Conference on Converging Technology in Electrical and Information Engineering (ICCTEIE)</t>
  </si>
  <si>
    <t>Catfish Seed Quality Determination Using Phase Only Correlation (POC) and Naive Bayes Methods</t>
  </si>
  <si>
    <t>2022 Fifth International Conference on Vocational Education and Electrical Engineering (ICVEE)</t>
  </si>
  <si>
    <t>Perancangan Indoor Position System Berbasis Internet of Things dan Support Vector Machine</t>
  </si>
  <si>
    <t>Jurnal Teknik Informatika dan Sistem Informasi 10 (1), 76–85-76–85</t>
  </si>
  <si>
    <t>Real-Time Server Monitoring and Notification System with Prometheus, Grafana, and Telegram Integration</t>
  </si>
  <si>
    <t>2024 ASU International Conference in Emerging Technologies for Sustainability and Intelligent Systems (ICETSIS)</t>
  </si>
  <si>
    <t>Implementation of Self-Learning Topic for Developing Interactive Mobile Application in Flutter Programming Learning Assistance System</t>
  </si>
  <si>
    <t>The Application of LoRa Module and Smart Card for A Large-Scale Area Attendance Monitoring System</t>
  </si>
  <si>
    <t>International Journal of Computing and Digital Systems 14 (1), 1-1</t>
  </si>
  <si>
    <t>Door Access System Design Using RFID Technology</t>
  </si>
  <si>
    <t>An interactive learning system with automated assistance for self-learning user interface design on android applications</t>
  </si>
  <si>
    <t>International Journal of Computing and Digital Systems 13 (1), 1-1</t>
  </si>
  <si>
    <t>Monitoring Development Board based on InfluxDB and Grafana</t>
  </si>
  <si>
    <t>Telematika: Jurnal Informatika dan Teknologi Informasi 20 (1), 81-90</t>
  </si>
  <si>
    <t>BEL RUMAH MENGGUNAKAN SENSOR ULTRASONIK DENGAN NOTIFIKASI BOT TELEGRAM: DOORBELL USING AN ULTRASONIC SENSOR WITH TELEGRAM BOT NOTIFICATION</t>
  </si>
  <si>
    <t>Jurnal Sistem Informasi dan Bisnis Cerdas 16 (1), 11-20</t>
  </si>
  <si>
    <t>Pelatihan Pemanfaatan Sistem Informasi Pondok Pesantren Ashabul Kahfi</t>
  </si>
  <si>
    <t>Jurnal Pengabdian Polinema Kepada Masyarakat 9 (2), 150-154</t>
  </si>
  <si>
    <t>Pengembangan dan Sosialisasi Sistem Informasi Posyandu Rajawali</t>
  </si>
  <si>
    <t>Jurnal Pengabdian Polinema Kepada Masyarakat 9 (2), 185-194</t>
  </si>
  <si>
    <t>Jupyter Lab Platform-Based Interactive Learning</t>
  </si>
  <si>
    <t>ALAT PENDETEKSI KEBOCORAN GAS LPG DENGAN MEMANFAATKAN TELEGRAM BOT SEBAGAI MEDIA INFORMASI: LPG GAS LEAKAGE DETECTOR BY UTILIZING BOT TELEGRAM AS INFORMATION</t>
  </si>
  <si>
    <t>Jurnal Sistem Informasi dan Bisnis Cerdas 15 (2), 19-27</t>
  </si>
  <si>
    <t>PENGELOLAAN ARSIP DIGITAL DI BUMDES DESA DUWET KECAMATAN TUMPANG KABUPATEN MALANG MENGGUNAKAN TEKNOLOGI INFORMASI</t>
  </si>
  <si>
    <t>J-ABDI: Jurnal Pengabdian kepada Masyarakat 2 (4), 4627-4632</t>
  </si>
  <si>
    <t>Traffic Density Prediction using IoT-based Double Exponential Smoothing</t>
  </si>
  <si>
    <t>Traffic 5 (2)</t>
  </si>
  <si>
    <t>Prediksi Kuantitas Hasil Budidaya Ikan Konsumsi Menggunakan Penerapan Metode Regresi Data</t>
  </si>
  <si>
    <t>INFORMAL: Informatics Journal 9 (1), 39-48</t>
  </si>
  <si>
    <t>Model and Urgency of the Role of Academics in the Creative Industry Ecosystem of Malang City</t>
  </si>
  <si>
    <t>Pangripta Jurnal Ilmiah Kajian Perencanaan Pembangunan 7 (1), 12-22</t>
  </si>
  <si>
    <t>Application of Unit Testing and Integration Testing for Automatic Grading Mechanism in Android Programming Learning Assistance System</t>
  </si>
  <si>
    <t>Implementing Graph-based Grammar Subject Self-study in Adaptive English Personalized Learning System: A Design and Its Evaluation</t>
  </si>
  <si>
    <t>Understanding People Opinion on Artificial Intelligence Ethics through Machine Learning-based Sentiment Analysis</t>
  </si>
  <si>
    <t>International Journal of Frontier Technology and Engineering 1 (2), 95-103</t>
  </si>
  <si>
    <t>Plasma Cell Detection in Multiple Myeloma Cases Using Mask Region Based Convolutional Neural Network Method (Mask R-CNN)</t>
  </si>
  <si>
    <t>Jurnal Nasional Pendidikan Teknik Informatika: JANAPATI 12 (1), 156-163</t>
  </si>
  <si>
    <t>Diagnosis Penyakit Saluran Pernafasan Manusia Menggunakan Metode Forward Chaining</t>
  </si>
  <si>
    <t>Jurnal Minfo Polgan 12 (1), 128-134</t>
  </si>
  <si>
    <t>Proceedings of the 4th International Conference on Science and Technology Applications, ICoSTA 2022, 1-2 November 2022, Medan, North Sumatera Province, Indonesia</t>
  </si>
  <si>
    <t>Implementation of Hot Code Update in Hybrid Mobile Development Using Dynamic Bundle Loading</t>
  </si>
  <si>
    <t>Jurnal IPTEK 26 (2), 67-74</t>
  </si>
  <si>
    <t>Face recognition using arcface and facenet in google cloud platform for attendance system mobile application</t>
  </si>
  <si>
    <t>Drafting of Online Meeting Minutes Based on Video Recording Using Topic Modelling</t>
  </si>
  <si>
    <t>SISFORMA 10 (1), 1-6</t>
  </si>
  <si>
    <t>Aplikasi Pembelajaran Rekonstruksi Algoritma Pseudocode Dengan Pendekatan Element Fill-in-Blank Problems Di Pemrograman Java</t>
  </si>
  <si>
    <t>Kemampuan Mengolah Bahan Bacaan pada Penyusunan Proposal Skripsi Mahasiswa</t>
  </si>
  <si>
    <t>Konstruktivisme: Jurnal Pendidikan dan Pembelajaran 15 (1), 82-91</t>
  </si>
  <si>
    <t>PENGEMBANGAN FASILITAS RUANG BELAJAR MASYARAKAT SEBAGAI UPAYA PENINGKATAN MINAT BELAJAR PADA MASA PANDEMI COVID-19</t>
  </si>
  <si>
    <t>GANESHA: Jurnal Pengabdian Masyarakat 2 (2), 62-68</t>
  </si>
  <si>
    <t>Teaching The Indonesian Language As A Heritage Language For Diaspora Children</t>
  </si>
  <si>
    <t>SPEKTRUM: Jurnal Pendidikan Luar Sekolah (PLS) 10 (2), 333-339</t>
  </si>
  <si>
    <t>Sistem Rekomendasi Tempat Wisata di Malang Raya Menggunakan Metode K-Means Clustering</t>
  </si>
  <si>
    <t>Jurnal Informatika dan Multimedia 16 (1), 1-15</t>
  </si>
  <si>
    <t>An Artificial Intelligence-based Application for Recognizing and Identifying Aerial Objects based on Voice Input</t>
  </si>
  <si>
    <t>Procedia Computer Science 234, 19-27</t>
  </si>
  <si>
    <t>SISTEM PENDUKUNG KEPUTUSAN SELEKSI PESERTA MAGANG MENGGUNAKAN METODE “SIMPLE MULTIPLE ATTRIBUTE RATING TECHNIQUE</t>
  </si>
  <si>
    <t>JIPETIK: Jurnal Ilmiah Penelitian Teknologi Informasi &amp; Komputer 4 (2), 102-111</t>
  </si>
  <si>
    <t>Implementasi sharing desktop nirkabel</t>
  </si>
  <si>
    <t>Prosiding Seminar Nasional Penelitian dan Pengabdian Kepada Masyarakat LPPM Universitas' Aisyiyah Yogyakarta</t>
  </si>
  <si>
    <t>HASIL ANALISA PRESSURE BUILD-UP TEST UNTUK PENENTUAN PRODUKTIVITAS SUMUR “RW” LAPANGAN “WHD”</t>
  </si>
  <si>
    <t>Universitas Pembangunan Nasional" Veteran" Yogyakarta</t>
  </si>
  <si>
    <t>Grapevine Disease Identification Using Resnet− 50</t>
  </si>
  <si>
    <t>BIO Web of Conferences 117, 01046</t>
  </si>
  <si>
    <t>Development of Autodesk-based Digital Teaching Materials as a Support for Basic Digital Engineering Learning in Vocational Schools</t>
  </si>
  <si>
    <t>E3S Web of Conferences 473, 04007</t>
  </si>
  <si>
    <t>Development of Interactive Virtual Laboratory Media with Tinkercad Platform on Analog Electronics Material</t>
  </si>
  <si>
    <t>E3S Web of Conferences 473, 04008</t>
  </si>
  <si>
    <t>Detecting Objects Using Haar Cascade for Human Counting Implemented in OpenMV</t>
  </si>
  <si>
    <t>Register 9 (2), 122-133</t>
  </si>
  <si>
    <t>Tobacco Leaf Disease Detection Using ResNet 152V</t>
  </si>
  <si>
    <t>Classifying BISINDO alphabet using tensorflow object detection API</t>
  </si>
  <si>
    <t>ILKOM Jurnal Ilmiah 15 (2), 358-364</t>
  </si>
  <si>
    <t>Implementation of Faster R-CNN Inception ResNet V2 Algorithm for Human Body Pieces Detection</t>
  </si>
  <si>
    <t>Pemanfaatan Algoritma Faster R-CNN ResNet-101 Untuk Deteksi Potongan Tubuh Manusia</t>
  </si>
  <si>
    <t>Jurnal Elektronika dan Otomasi Industri 10 (1), 94-103</t>
  </si>
  <si>
    <t>Preface: The 3rd Annual Advanced Technology, Applied Science and Engineering Conference 2021 (ATASEC 2021)</t>
  </si>
  <si>
    <t>THE 3RD ANNUAL ADVANCED TECHNOLOGY, APPLIED SCIENCE AND ENGINEERING CONFERENCE 2021 (ATASEC 2021)</t>
  </si>
  <si>
    <t>A perspective on a non-binary knowledge growing system in a pattern recognition use-case</t>
  </si>
  <si>
    <t>Analysis of the Ensemble Method Classifier’s Performance on Handwritten Arabic Characters Dataset</t>
  </si>
  <si>
    <t>ILKOM Jurnal Ilmiah 15 (1), 186-192</t>
  </si>
  <si>
    <t>Design of SIBI sign language recognition using artificial neural network backpropagation</t>
  </si>
  <si>
    <t>2022 2nd International Conference on Intelligent Cybernetics Technology &amp; Applications (ICICyTA)</t>
  </si>
  <si>
    <t>Pelatihan Kemasan Produk Anyaman Bambu Untuk Pengaruh Display Produk Dalam Promosi Terhadap Pembelian Konsumen Di Desa Duwet Kecamatan Tumpang Kabupaten Malang</t>
  </si>
  <si>
    <t>Jurnal Pengabdian Polinema Kepada Masyarakat 9 (2), 220-223</t>
  </si>
  <si>
    <t>Pengembangan Sistem Face Recognition menggunakan Cloud Service, Raspberry Pi dan Convolutional Neural Network (CNN)</t>
  </si>
  <si>
    <t>Jurnal Informatika Polinema 9 (1), 95-102</t>
  </si>
  <si>
    <t>Identifikasi Person Pada Game First Person Shooter (Fps) Menggunakan Yolo Object Detection Dan Diimplementasikan Sebagai Agent Cerdas Automatic Target Hit</t>
  </si>
  <si>
    <t>Cognitive Function Tools/Robot Design for Elderly Using Image-Processing</t>
  </si>
  <si>
    <t>Black Flight Identification Using Radar Cross Section (RCS), Speed, and Altitude from RADAR Data using Supervised Machine Learning</t>
  </si>
  <si>
    <t>Motion Detection for Children With Cerebral Palsy Using K-Nearest Neighbor</t>
  </si>
  <si>
    <t>Basketball Activity Recognition Using Supervised Machine Learning Implemented on Tizen OS Smartwatch</t>
  </si>
  <si>
    <t>Jurnal Ilmiah Teknik Elektro Komputer dan Informatika (JITEKI) 8 (3), 447</t>
  </si>
  <si>
    <t>ANALISIS STRATEGI MEMPERTAHANKAN DAN MENGEMBANGKAN BISNIS DITENGAH PANDEMI COVID-19 PADA UMKM KIFA BAKERY</t>
  </si>
  <si>
    <t>JAMI: Jurnal Ahli Muda Indonesia 3 (1), 41-50</t>
  </si>
  <si>
    <t>Sistem Informasi Sekolah KB/TK Alfath Bunulrejo Malang</t>
  </si>
  <si>
    <t>Jurnal Pengabdian pada Masyarakat Ilmu Pengetahuan dan Teknologi Terintegrasi</t>
  </si>
  <si>
    <t>A fast object recognizer with a very small number of information using human cognitive-inspired computation model</t>
  </si>
  <si>
    <t>Unmanned Systems Technology XXIV 12124, 162-171</t>
  </si>
  <si>
    <t>Aplikasi Pemantauan dan Peringatan Dini untuk Energi Baru Terbarukan Berbasis Android dengan Restful Api (Studi Kasus Kajian EBT Polinema dan PT. PLN</t>
  </si>
  <si>
    <t>Smart System to Recapitulate Student Attendance on Virtual Meeting Platforms During Covid-19.</t>
  </si>
  <si>
    <t>Int. J. Interact. Mob. Technol. 17 (11), 171-178</t>
  </si>
  <si>
    <t>Penerapan E-commerce dan Media Sosial dalam Meningkatkan Pemasaran Produk Wirausaha Panti Asuhan Abdul Kadir Kurnia</t>
  </si>
  <si>
    <t>Abdimasku: Jurnal Pengabdian Masyarakat 6 (2), 359-364</t>
  </si>
  <si>
    <t>BP International</t>
  </si>
  <si>
    <t>Implementasi Topik Pembelajaran Basic Data Storage pada Android Programming Learning Assistance System</t>
  </si>
  <si>
    <t>Jurnal Informatika Polinema 9 (2), 121-126</t>
  </si>
  <si>
    <t>Implementing a star for bicycle route finding system using OSM and GraphHopper: case study: Batu, Indonesia</t>
  </si>
  <si>
    <t>Pengembangan Sistem Informasi MBKM JTI Politeknik Negeri Malang Menggunakan Metode Prototyping</t>
  </si>
  <si>
    <t>Politeknik Negeri Malang</t>
  </si>
  <si>
    <t>The Impact of Using Gamification on English language learning in increasing Learning Motivation</t>
  </si>
  <si>
    <t>International Journal of Language and Ubiquitous Learning 2 (1), 347-359</t>
  </si>
  <si>
    <t>Exploring Speaking Anxiety of Non-English Department Students</t>
  </si>
  <si>
    <t>Loquen: English Studies Journal 15 (2), 87-98</t>
  </si>
  <si>
    <t>Digital Watermarking using Unsigned Integer for Image Authentication</t>
  </si>
  <si>
    <t>2023 6th International Conference on Information and Communications Technology (ICOIACT)</t>
  </si>
  <si>
    <t>Generating Automated Assistance Mechanism in Android Programming Self-learning System Using Automatic Testing Tools</t>
  </si>
  <si>
    <t>2023 International Conference on Innovation and Intelligence for Informatics, Computing, and Technologies (3ICT)</t>
  </si>
  <si>
    <t>Rancangan Aplikasi Pengingat Waktu Servis Kendaraan Bermotor Berbasis IoT dan Android</t>
  </si>
  <si>
    <t>Progresif: Jurnal Ilmiah Komputer 19 (1), 117-124</t>
  </si>
  <si>
    <t>Rancangan Implementasi Enterprise Resource Planning (ERP) pada Sistem Pengelolaan Sales Order PT Jaya Mandiri Indotech</t>
  </si>
  <si>
    <t>Jurnal Teknologi Dan Manajemen 20 (1), 33-44</t>
  </si>
  <si>
    <t>Perbandingan Metode Pembobotan ROC, AHP, dan CRITIC dalam Menentukan Prioritas Kriteria Studi Kasus Penentuan Mahasiswa Berprestasi</t>
  </si>
  <si>
    <t>Jurnal Ilmiah Komputasi 23 (2), 21-22</t>
  </si>
  <si>
    <t>Pelacakan Titik Fitur Dengan Kanade-Lucas-Tomasi (KLT) Untuk Pengenalan Ekspresi Mikro Wajah Pada Dataset SAMM</t>
  </si>
  <si>
    <t>G-Tech: Jurnal Teknologi Terapan 8 (1), 330-339</t>
  </si>
  <si>
    <t>Perbandingan Fase Ekspresi Menggunakan Local Binary Pattern Histogram Untuk Pengenalan Ekspresi Mikro</t>
  </si>
  <si>
    <t>Jurnal Nasional Teknik Elektro dan Teknologi Informasi 12 (4), 303-312</t>
  </si>
  <si>
    <t>Implementation and evaluation of self-learning topic for sqlite integration in flutter programming learning assistance system</t>
  </si>
  <si>
    <t>2023 10th International Conference on Electrical Engineering, Computer Science and Informatics (EECSI)</t>
  </si>
  <si>
    <t>Application of TOPSIS as a DSS in the Selection of Home Improvement Grant Recipients</t>
  </si>
  <si>
    <t>JEEMECS (Journal of Electrical Engineering, Mechatronic and Computer Science)</t>
  </si>
  <si>
    <t>Facial Micro Expression Recognition for Feature Point Tracking using Apex Frames on CASME II Database</t>
  </si>
  <si>
    <t>Sinkron: jurnal dan penelitian teknik informatika 7 (1), 81-89</t>
  </si>
  <si>
    <t>2022 IEEE 8th Information Technology International Seminar (ITIS), 307-311</t>
  </si>
  <si>
    <t>Pengenalan Ekspresi Mikro Wajah Berdasarkan Point Feature Tracking Menggunakan Fase Apex pada Database Ekspresi Mikro</t>
  </si>
  <si>
    <t>Edu Komputika Journal 9 (1), 28-36</t>
  </si>
  <si>
    <t>An implementation of automatic dart code verification for mobile application programming learning assistance system using flutter</t>
  </si>
  <si>
    <t>Rancang Bangun APlikasi MARP untuk wayfinding gedung dan ruangan di Polinema</t>
  </si>
  <si>
    <t>ANDHARUPA 8 (01), 27-37</t>
  </si>
  <si>
    <t>Terapan MCRNG Sebagai Generator Acak untuk Game</t>
  </si>
  <si>
    <t>Jurnal Saintekom: Sains, Teknologi, Komputer dan Manajemen 12 (1), 1-11</t>
  </si>
  <si>
    <t>Optimization of Distributed RSA Encryption and Decription Processing Using Process Scheduling Method In Single Board Computer Cluster Architecture (SBC)</t>
  </si>
  <si>
    <t>Computer Engineering and Applications Journal 13 (1), 41-52</t>
  </si>
  <si>
    <t>IMPLEMENTATION OF RABIN KARP ALGORITHM IN E-COMMERCE SEARCH BOX FEATURE (CASE STUDY: SINAR BAJA)</t>
  </si>
  <si>
    <t>SISFORMA 10 (1)</t>
  </si>
  <si>
    <t>Optimalisasi Pemrosesan Distributed RSA Algorithm dengan Metode Penjadwalan Proses Pada Single Board Computer Cluster</t>
  </si>
  <si>
    <t>JURIKOM (Jurnal Riset Komputer) 9 (1)</t>
  </si>
  <si>
    <t>Development of Multi-Layer Perceptron Model for Power Transformer Fault Identification Expert System</t>
  </si>
  <si>
    <t>Increasing productivity of valuable agarwood in Senggreng Village, Malang Regency</t>
  </si>
  <si>
    <t>Abdimas: Jurnal Pengabdian Masyarakat Universitas Merdeka Malang 8 (1), 132-140</t>
  </si>
  <si>
    <t>Jurnal Informatika Polinema 9 (2), 237-244</t>
  </si>
  <si>
    <t>Recommendation System for Clustering to Allocate Classes for New Students Using The K-Means Method</t>
  </si>
  <si>
    <t>Compiler 13 (1), 27-38</t>
  </si>
  <si>
    <t>Proceeding of International Conference on Mathematics, Science, Informatics and Education</t>
  </si>
  <si>
    <t>Seminalu 1 (1), 38-46</t>
  </si>
  <si>
    <t>Penggunaan Metode Analisis Data Untuk Rekomendasi Menu Makanan Berdasarkan Persediaan Bahan dan Preferensi Pengguna</t>
  </si>
  <si>
    <t>INFORMAL: Informatics Journal 9 (1), 57-69</t>
  </si>
  <si>
    <t>Mobile robot with independent steering and driving and obstacle avoidance using an artificial potential field</t>
  </si>
  <si>
    <t>AIP Conference Proceedings 2927 (1)</t>
  </si>
  <si>
    <t>An Implementation of Web-based Personal Platform for Programming Learning Assistant System with Instance File Update Function</t>
  </si>
  <si>
    <t>Engineering Letters 32 (2), 226-243</t>
  </si>
  <si>
    <t>Heterogeneity in students’ English competence and needs: Adaptive learning method proposed</t>
  </si>
  <si>
    <t>Proceder: Linguistics, Literature, and Language Education 1 (2), 169-179</t>
  </si>
  <si>
    <t>Linear controller design using pole placement method for nonholonomic mobile robot trajectory tracking</t>
  </si>
  <si>
    <t>A Study of Grammar-concept Understanding Problem for Flutter Cross-platform Mobile Programming Learning</t>
  </si>
  <si>
    <t>An Implementation of Solution Progress Monitoring Function in Android Programming Learning Assistance System</t>
  </si>
  <si>
    <t>International Journal of Information and Education Technology 13 (10), 1597-1603</t>
  </si>
  <si>
    <t>A Non-Pharmaceutical Intervention Policy for Mitigating COVID-19 Pandemic Using Predictive Control Scheme and SEIR Compartmental Model</t>
  </si>
  <si>
    <t>2023 10th International Conference on Information Technology, Computer, and Electrical Engineering (ICITACEE)</t>
  </si>
  <si>
    <t>A Study of Grammar-concept Understanding Problem for Web Server-Side JavaScript Programming Learning</t>
  </si>
  <si>
    <t>2023 International Conference on Consumer Electronics-Taiwan (ICCE-Taiwan)</t>
  </si>
  <si>
    <t>Canny and Morphological Approaches to Calculating Area and Perimeter of Two-Dimensional Geometry</t>
  </si>
  <si>
    <t>Journal of Telecommunication Network (Jurnal Jaringan Telekomunikasi)</t>
  </si>
  <si>
    <t>An Investigation of Code Modification Problem for Learning Server-side JavaScript Programming in Web Application System</t>
  </si>
  <si>
    <t>2022 IEEE 11th Global Conference on Consumer Electronics (GCCE), 858-859</t>
  </si>
  <si>
    <t>A Static Assignment Algorithm of Uniform Jobs to Workers in a User-PC Computing System Using Simultaneous Linear Equations</t>
  </si>
  <si>
    <t>Algorithms 15 (10), 369</t>
  </si>
  <si>
    <t>An implementation of solving activity monitoring function in android programming learning assistance system</t>
  </si>
  <si>
    <t>An Investigation of Learning Outcomes Using Assignment without Guide Documents in Android Programming Learning Assistance System</t>
  </si>
  <si>
    <t>2022 IEEE International Conference on Consumer Electronics - Taiwan</t>
  </si>
  <si>
    <t>Code Modification Problems for Multimedia Use in JavaScript-Based Web Client Programming</t>
  </si>
  <si>
    <t>Computational Intelligence in Security for Information Systems Conference</t>
  </si>
  <si>
    <t>Implementations of online job acceptance functions in user-PC computing system</t>
  </si>
  <si>
    <t>2022 IEEE 4th Global Conference on Life Sciences and Technologies (LifeTech)</t>
  </si>
  <si>
    <t>Sistem informasi surat perjalanan dinas (SPPD) KPU Kabupaten Kediri</t>
  </si>
  <si>
    <t>Jurnal Informatika dan Multimedia 15 (2), 6-16</t>
  </si>
  <si>
    <t>Sistem Ujian Online Penerimaan Perangkat Desa Karanggondang Berbasis Website</t>
  </si>
  <si>
    <t>Jurnal Informatika dan Multimedia 15 (1), 1-5</t>
  </si>
  <si>
    <t>PENGEMBANGAN RESTFUL API UNTUK MEMBANTU PEMBUDIDAYA IKAN LELE DALAM SISTEM MANAJEMEN RANTAI PASOK “PANEN-PANEN”</t>
  </si>
  <si>
    <t>Jurnal Cahaya Mandalika ISSN 2721-4796 (online) 4 (2), 260-272</t>
  </si>
  <si>
    <t>A Novel Approach for Recognition and Identification of Low-Level Flight Military Aircraft using Naive Bayes Classifier and Information Fusion</t>
  </si>
  <si>
    <t>International Journal of Artificial Intelligence Research 6 (2)</t>
  </si>
  <si>
    <t>Jurnal Buana Informatika 13 (02), 136-145</t>
  </si>
  <si>
    <t>Implementasi Metode K-Means, Dbscan, dan Meanshift Untuk Analisis Jenis Ancaman Jaringan Pada Intrusion Detection System</t>
  </si>
  <si>
    <t>Jurnal Inovtek Polbeng Seri Informatika 7 (1), 169-184</t>
  </si>
  <si>
    <t>International Journal of Computer Information Systems and Industrial Management Applications</t>
  </si>
  <si>
    <t>A systematic review of movie recommender systems</t>
  </si>
  <si>
    <t>ITEGAM-JETIA 10 (47), 34-41</t>
  </si>
  <si>
    <t>Single server-side and multiple virtual server-side architectures: Performance analysis on Proxmox VE for e-learning systems</t>
  </si>
  <si>
    <t>ITEGAM-JETIA 9 (44), 25-34</t>
  </si>
  <si>
    <t>Design and Implementation of Sucirata-Based Instrusion Detection System as a Network Security System Cloud Computers</t>
  </si>
  <si>
    <t>IJISTECH (International Journal of Information System and Technology)</t>
  </si>
  <si>
    <t>Design and Build Onion Cracker Drying Rack Krajan Hamlet, Randuagung Village, Singosari District</t>
  </si>
  <si>
    <t>Empowerment Society 6 (1), 44-53</t>
  </si>
  <si>
    <t>Penerapan Smart Tourism Dalam Pengelolaan Pariwisata Daerah Bojonegoro Berbasis GIS (Geographic Information System)</t>
  </si>
  <si>
    <t>Jurnal Teknik Ilmu dan Aplikasi 4 (2), 50-56</t>
  </si>
  <si>
    <t>Jurnal Teknik Ilmu Dan Aplikasi 3 (1), 27-34</t>
  </si>
  <si>
    <t>Kajian Discrete Fourier Transform untuk Menganalisis Sinyal Arbitrer</t>
  </si>
  <si>
    <t>Mitra Pilar: Jurnal Pendidikan, Inovasi, dan Terapan Teknologi 1 (1), 7-16</t>
  </si>
  <si>
    <t>A Simple Approach using Statistical-based Machine Learning to Predict the Weapon System Operational Readiness</t>
  </si>
  <si>
    <t>PROCEEDINGS OF 2021 INTERNATIONAL CONFERENCE ON DATA SCIENCE AND OFFICIAL STATISTICS (ICDSOS)</t>
  </si>
  <si>
    <t>Jelaskan secara singkat pengembangan keprofesian yang diperoleh pada 3 tahun terakhir (pelatihan, workshop, kursus, praktik konsultasi dan perekayasaan, dll).</t>
  </si>
  <si>
    <t>Nama Kegiatan</t>
  </si>
  <si>
    <t>Waktu</t>
  </si>
  <si>
    <t xml:space="preserve">Workshop Pendampingan Pengusulan Proposal PPM Hibah </t>
  </si>
  <si>
    <t>Firewall Network Pretection SOPHOS and Edge-core</t>
  </si>
  <si>
    <t>Pengembangan Desain Produk Melalui Teaching Factory</t>
  </si>
  <si>
    <t>Pelatihan Penyusunan Model Bahan Ajar Untuk Politeknik</t>
  </si>
  <si>
    <t xml:space="preserve">Introduction to Cloud for Back-End Application </t>
  </si>
  <si>
    <t xml:space="preserve">Dicoding Developer Coaching: Konsep Pemrograman Fungsional di JavaScript </t>
  </si>
  <si>
    <t xml:space="preserve">Web Developer with HTML </t>
  </si>
  <si>
    <t xml:space="preserve">Modularization 101 and How to Improves App's Build Time Performance at Grab </t>
  </si>
  <si>
    <t>Dicoding Developer Coaching: Membuat List Lebih Menarik dengan Silver Widget</t>
  </si>
  <si>
    <t xml:space="preserve">Dicoding Developer Coaching: Kenali Widget ListView dan GridView Lebih Dekat </t>
  </si>
  <si>
    <t>Workshop Persiapan PBM Program Diploma Dua Jalur Cepat Program Studi Pengembangan Piranti Lunak Situs</t>
  </si>
  <si>
    <t>Orientasi dan Peningkatan Peran, Tugas Pokok dan Fungsi Senat Akademik dalam Peningkatan Kualitas Perguruan Tinggi</t>
  </si>
  <si>
    <t>Workshop Penyusunan Kurikulum dan Instrumen Pembelajaran</t>
  </si>
  <si>
    <t>Internal Auditor Quality Management System</t>
  </si>
  <si>
    <t xml:space="preserve">Pelatihan Pengelolaan Unit Bisnis </t>
  </si>
  <si>
    <t>Seminar Corporate vs Startup</t>
  </si>
  <si>
    <t xml:space="preserve">Workshop Pengelolaan Pusat Riset </t>
  </si>
  <si>
    <t>SQL (Basic)</t>
  </si>
  <si>
    <t>Agile Development Scrum Master</t>
  </si>
  <si>
    <t>Workshop Peningkatan Luaran Penelitian melalui Sertifikasi dan Pengujian Hasil Penelitian</t>
  </si>
  <si>
    <t>13-14 Oktober 2022</t>
  </si>
  <si>
    <t>Workshop Pengembangan Dokumen Pembelajaran Berbasis PPEP</t>
  </si>
  <si>
    <t>24-25 Oktober 2022</t>
  </si>
  <si>
    <t>Lokakarya Perancangan Pembelajaran Berbasis PBL</t>
  </si>
  <si>
    <t>21-22 Oktober 2022</t>
  </si>
  <si>
    <t>Pelatihan Upgrading Asesor Kompetensi</t>
  </si>
  <si>
    <t>Workshop Penyusunan Pedoman Studi Independen sebagai Implementasi MBKM</t>
  </si>
  <si>
    <t>26-27 Oktober 2022</t>
  </si>
  <si>
    <t>Workshop Seri Introduction to Artificial Intelligence using Python</t>
  </si>
  <si>
    <t>9,16,23, dan 30 April 2022</t>
  </si>
  <si>
    <t>Bimtek APTIKOM</t>
  </si>
  <si>
    <t>10-11 Agustus 2023</t>
  </si>
  <si>
    <t>Pelatihan Microsoft Power BI Data Analyst</t>
  </si>
  <si>
    <t>25-27 Oktober 2023</t>
  </si>
  <si>
    <t>Workshop CDIO</t>
  </si>
  <si>
    <t>13-17 Nov 2023</t>
  </si>
  <si>
    <t>Bimtek Akreditasi IABEE</t>
  </si>
  <si>
    <t>25-26 April 2024</t>
  </si>
  <si>
    <t>Workshop OBE OBA</t>
  </si>
  <si>
    <t>28 - 31 Mei 2024</t>
  </si>
  <si>
    <t>Machine Learning with TensorFlow</t>
  </si>
  <si>
    <t>Pelatihan Latsar CPNS</t>
  </si>
  <si>
    <t>PEKERTI</t>
  </si>
  <si>
    <t>Pelatihan Metodologi Pembelajaran Praktik Bidang Vokasi</t>
  </si>
  <si>
    <t>Literasi Digital Sektor Pemerintahan kepada ASN Kemendikbud</t>
  </si>
  <si>
    <t>Optimalkan ChatGPT untuk Menulis Artikel Ilmiah Berkualitas</t>
  </si>
  <si>
    <t>Pelatihan Online DFD</t>
  </si>
  <si>
    <t>Webinar Perlindungan Hak Kekayaan Intelektual</t>
  </si>
  <si>
    <t>Workshop Peningkatan Mutu Dosen dalam Penulisan Jurnal Internasional</t>
  </si>
  <si>
    <t>4-5 Agustus 2022</t>
  </si>
  <si>
    <t>Workshop Pendampingan Indeksasi Global dan Peningkatan Kualitas Jurnal Polinema</t>
  </si>
  <si>
    <t>31 maret -  1 april 2022</t>
  </si>
  <si>
    <t>Workshop Penyamaan Persepsi Reviewer Penelitian dan PPM Polinema</t>
  </si>
  <si>
    <t>8-9 Februari 2022</t>
  </si>
  <si>
    <t>Design adn Analysis Cabin Carbon Monoxide Warning System</t>
  </si>
  <si>
    <t>2-4 November 2022</t>
  </si>
  <si>
    <t>24-25 Agustus 2022</t>
  </si>
  <si>
    <t>Pengembangan Desain Produk Mekakui Teaching Factory</t>
  </si>
  <si>
    <t>28-29 Juli 2022</t>
  </si>
  <si>
    <t>Matrik dan Klinik LAM Infokom</t>
  </si>
  <si>
    <t xml:space="preserve">Pengembangan case methode dan team based project </t>
  </si>
  <si>
    <t>MTCNA</t>
  </si>
  <si>
    <t>Pelatihan Blended Learning untuk Peningkatan Kualitas Pembelajaran</t>
  </si>
  <si>
    <t>Pelatihan "System Analyst Design"</t>
  </si>
  <si>
    <t>15 – 17 November 2022</t>
  </si>
  <si>
    <t>Klinik Akreditasi Prodi LAM INFOKOM dan Pengelolaan Jurnal</t>
  </si>
  <si>
    <t>Wokshop Nasional Guru Inovatif “Menulis Karya Ilmiah”</t>
  </si>
  <si>
    <t>7-10 Juni 2022</t>
  </si>
  <si>
    <t>Webinar Operasional CSIRT</t>
  </si>
  <si>
    <t>Annual Technology, Applied Science and Engineering Conference (ATASEC 2022)</t>
  </si>
  <si>
    <t>15-16 September 2022</t>
  </si>
  <si>
    <t>Inixindo</t>
  </si>
  <si>
    <t>JTI</t>
  </si>
  <si>
    <t>Bimbingan teknis penyusunan permohonan dokumen paten dosen vokasi periode 3 Tahun 2022</t>
  </si>
  <si>
    <t>6 Oktober 2022(daring) dan 12-14 Oktober( luring)</t>
  </si>
  <si>
    <t>Workshop Peningkatan Mutu Dosen Dalam Penulisan Artikel Jurnal Internasional</t>
  </si>
  <si>
    <t>Seminar The 4th IoT Creation Proyeksi Kebutuhan Solusi Pintar Bidang Logistik di Indonesia</t>
  </si>
  <si>
    <t>Kuliah Umum “Smart Card”</t>
  </si>
  <si>
    <t>DIklat Online CV Aksaline</t>
  </si>
  <si>
    <t>29-31 Mei 2022</t>
  </si>
  <si>
    <t>“Augmented Reality Mobile Application as Learning Media”</t>
  </si>
  <si>
    <t>Pengembangan Desain Produk Melalui Teaching Factori</t>
  </si>
  <si>
    <t>Workshop Nasional Guru Inovatif Indonesia dengan Tema "Menulis Karya Tulis Ilmiah"</t>
  </si>
  <si>
    <t>Workship Penyusunan Prosedut Rekognisi Matakuliah</t>
  </si>
  <si>
    <t>16-17 November 2022</t>
  </si>
  <si>
    <t>Pelatihan Certificate Data Science Practitioner</t>
  </si>
  <si>
    <t>2-25 November 2022</t>
  </si>
  <si>
    <t>Pelatihan Introduction to Data &amp; Introduction to Visualization</t>
  </si>
  <si>
    <t>6 Agustus - 9 Oktober 2022</t>
  </si>
  <si>
    <t>Pelatihan Introduction to Probability - 1 &amp; Introduction to Probability II</t>
  </si>
  <si>
    <t>1 Agustus - 9 Oktober 2022</t>
  </si>
  <si>
    <t>Pelatihan Introduction to Probability with Python</t>
  </si>
  <si>
    <t>Pelatihan Introduction to Python</t>
  </si>
  <si>
    <t>Pelatihan Professional Business Presentation</t>
  </si>
  <si>
    <t>21-25 November 2022</t>
  </si>
  <si>
    <t>Workshop Scale IT Infrastructure at the Pace of Your Business</t>
  </si>
  <si>
    <t>Workshop Practical Suricata Intrusion Detection System by Adli Wahid</t>
  </si>
  <si>
    <t>Workshop Pendampingan Pengusulan Proposal Penelitian dan PPM Hibah</t>
  </si>
  <si>
    <t>18-19 Januari 2022</t>
  </si>
  <si>
    <t>Pelatihan Level 1 Pengadaan Barang/ Jasa Pemerintah</t>
  </si>
  <si>
    <t>20-23 Juni2022</t>
  </si>
  <si>
    <t>Workshop PEndampingan Konsultasi teknis tinjauan spesifikasi paten</t>
  </si>
  <si>
    <t>Webinar Nasional "Strategi meningkatkan pendaftar PMB dan memviralkan prestasi kampus"</t>
  </si>
  <si>
    <t>Agile Development Scrum Methode</t>
  </si>
  <si>
    <t>Light Drop Resistor LDR as pH Sensor for Wastewaster treatment</t>
  </si>
  <si>
    <t>Bimtek Penulisan Artikel Ilmiah untuk Jurnal SINTA</t>
  </si>
  <si>
    <t>26-28 September 2022</t>
  </si>
  <si>
    <t>The 2nd International Conference on Electrical and Information Technology</t>
  </si>
  <si>
    <t>English Web Seminar Series</t>
  </si>
  <si>
    <t>Seminar Nasional Penelitian dan Pengabdian kepada Masyarakat</t>
  </si>
  <si>
    <t>Seminar Informatika Aplikatif Polinema</t>
  </si>
  <si>
    <t>Workshop Menulis Karya Tulis Ilmiah</t>
  </si>
  <si>
    <t>Odoo Development Training</t>
  </si>
  <si>
    <t>17-25 Februari 2024</t>
  </si>
  <si>
    <t>Bimbingan Teknis Penulisan artikel ilmiah</t>
  </si>
  <si>
    <t>29-30 September 2022</t>
  </si>
  <si>
    <t>Orientasi dan peningkatan Peran, Tugas Pokok dan Fungsi Senat Akademik Perguruan Tinggi</t>
  </si>
  <si>
    <t>Resertifikasi Asesor BNSP</t>
  </si>
  <si>
    <t>Educational Concept in TVET</t>
  </si>
  <si>
    <t>23 Oktober - 3 November 2023</t>
  </si>
  <si>
    <t>Apsara Clouder - Cloud Computing Operate and manage a cloud server</t>
  </si>
  <si>
    <t>Apple developer academy</t>
  </si>
  <si>
    <t>Matrik dan Klinik LAM INFOKOM</t>
  </si>
  <si>
    <t>Kuliah tamu UIN MALANG</t>
  </si>
  <si>
    <t>Program PPK Berbagi Inspirasi secara Akademik</t>
  </si>
  <si>
    <t>Life Time</t>
  </si>
  <si>
    <t>Metaverse For game: University Campus Prototipe</t>
  </si>
  <si>
    <t>Capaian Pembelajaran Program (CPP)</t>
  </si>
  <si>
    <t>Kode Sub CPMK</t>
  </si>
  <si>
    <t>Indikator Kinerja Capaian Pembelajaran Program / Capaian Pembelajaran Mata Kuliah (CPMK)</t>
  </si>
  <si>
    <t>Sub CPMK</t>
  </si>
  <si>
    <t>Metode Pengukuran Capaian Pembelajaran Program</t>
  </si>
  <si>
    <t>Kriteria Pemenuhan Capaian Pembelajaran Program</t>
  </si>
  <si>
    <t xml:space="preserve">CPMK101
</t>
  </si>
  <si>
    <t>(1.1) Mampu menunjukkan profesionalisme melalui penerapan etika profesi TI, keselamatan kerja, kewirausahaan bertanggung jawab, rekayasa perangkat lunak ramah lingkungan, dan disiplin dalam penelitian maupun penerapan aplikasi teknologi</t>
  </si>
  <si>
    <t>SCPMK101-00801</t>
  </si>
  <si>
    <t xml:space="preserve">Mahasiswa mampu mengimplementasikan teori, konsep, dan prinsip ilmu keselamatan dan kesehatan kerja dalam rangka menerapkan derajat kesehatan pada para pekerja.
</t>
  </si>
  <si>
    <t>Tes Tulis (UTS)</t>
  </si>
  <si>
    <t xml:space="preserve">Ketepatan dalam menyelesaikan soal studi kasus yang diberikan di tiap pertemuan
</t>
  </si>
  <si>
    <t>(Apabila rubrik indikator kinerja beserta kriteria pemenuhan CPL telah disusun, lampirkan rubrik tersebut)</t>
  </si>
  <si>
    <t>SCPMK101-00802</t>
  </si>
  <si>
    <t xml:space="preserve">Mahasiswa mengetahui perundang-undangan yang menjadi dasar semua kebijakan yang berhubungan dengan keselamatan dan kesehatan kerja.
</t>
  </si>
  <si>
    <t>Tes Tulis (UAS)</t>
  </si>
  <si>
    <t xml:space="preserve">SCPMK101-00803
</t>
  </si>
  <si>
    <t xml:space="preserve">Mahasiswa mengerti lingkup kesehatan, lingkungan, keselamatan, asuransi dan organisasi kerja yang menjadi bagian dari sebuah sistem tenaga kerja.
</t>
  </si>
  <si>
    <t xml:space="preserve">Unjuk Kerja (Presentasi)
</t>
  </si>
  <si>
    <t>SCPMK101-00101</t>
  </si>
  <si>
    <t xml:space="preserve">Mahasiswa mampu menunjukkan profesionalisme melalui penerapan etika profesi TI, keselamatan kerja, kewirausahaan bertanggung jawab, rekayasa perangkat lunak ramah lingkungan, dan sesuai konteks Kewirausahaan Berbasis Teknologi dan capaian CPMK101.
</t>
  </si>
  <si>
    <t xml:space="preserve">ketepatan konsep, kedalaman analisis, relevansi solusi, kualitas artefak/tulisan, dan komunikasi hasil
</t>
  </si>
  <si>
    <t>SCPMK101-00102</t>
  </si>
  <si>
    <t>Mahasiswa mampu menunjukkan profesionalisme melalui penerapan etika profesi TI, keselamatan kerja, kewirausahaan bertanggung jawab, rekayasa perangkat lunak ramah lingkungan, dan sesuai konteks Komunikasi Dan Etika Profesi dan capaian CPMK101.</t>
  </si>
  <si>
    <t>studi kasus, esai/refleksi, presentasi, portofolio, dan tes lisan/tulis</t>
  </si>
  <si>
    <t xml:space="preserve">ketepatan konsep, kedalaman analisis kasus, argumentasi berbasis norma/etika, refleksi sikap, dan komunikasi
</t>
  </si>
  <si>
    <t>SCPMK101-00103</t>
  </si>
  <si>
    <t>Mahasiswa mampu menunjukkan profesionalisme melalui penerapan etika profesi TI, keselamatan kerja, kewirausahaan bertanggung jawab, rekayasa perangkat lunak ramah lingkungan, dan sesuai konteks Komputasi Hijau dan capaian CPMK101.</t>
  </si>
  <si>
    <t>kuis, tugas terstruktur, studi kasus, presentasi, UTS, dan UAS</t>
  </si>
  <si>
    <t>SCPMK101-00105</t>
  </si>
  <si>
    <t>Mahasiswa mampu menunjukkan profesionalisme melalui penerapan etika profesi TI, keselamatan kerja, kewirausahaan bertanggung jawab, rekayasa perangkat lunak ramah lingkungan, dan sesuai konteks Skripsi dan capaian CPMK101.</t>
  </si>
  <si>
    <t xml:space="preserve">proposal, logbook, produk/artefak, laporan, presentasi, dan penilaian kinerja
</t>
  </si>
  <si>
    <t xml:space="preserve">kejelasan masalah, ketepatan metode, kualitas artefak, ketercapaian outcome, manajemen kerja, laporan, dan presentasi
</t>
  </si>
  <si>
    <t>CPMK102</t>
  </si>
  <si>
    <t xml:space="preserve">(1.2) Mampu menginternalisasi nilai ketakwaan kepada Tuhan YME, Pancasila, kewarganegaraan, dan menunjukkan pembelajaran sepanjang hayat melalui disiplin diri, tanggung jawab sosial, dan adaptasi karir profesional
</t>
  </si>
  <si>
    <t>SCPMK101-00104</t>
  </si>
  <si>
    <t>Mahasiswa mampu menginternalisasi nilai ketakwaan kepada Tuhan YME, Pancasila, kewarganegaraan, dan menunjukkan pembelajaran sepanjang hayat melalui disiplin diri, tanggung jawab sesuai konteks Kewirausahaan Berbasis Teknologi dan capaian CPMK102.</t>
  </si>
  <si>
    <t>studi kasus, esai/refleksi, portofolio, presentasi, dan tes lisan/tulis</t>
  </si>
  <si>
    <t xml:space="preserve">kemampuan mahasiswa merumuskan ide bisnis digital yang relevan, menyusun Business Model Canvas yang konsisten, membuat business plan yang terstruktur dan berbasis data, serta melakukan analisis kelayakan bisnis secara tepat, ditambah penilaian presentasi dan proses kerja tim untuk memastikan mahasiswa mampu merancang dan mempertanggungjawabkan kelayakan bisnis digital yang mereka kembangkan.
</t>
  </si>
  <si>
    <t>SCPMK102-00101</t>
  </si>
  <si>
    <t xml:space="preserve">Mahasiswa mampu menginternalisasi nilai ketakwaan kepada Tuhan YME, Pancasila, kewarganegaraan, dan menunjukkan pembelajaran sepanjang hayat melalui disiplin diri, tanggung jawab sesuai konteks Komunikasi Dan Etika Profesi dan capaian CPMK102.
</t>
  </si>
  <si>
    <t>Mahasiswa mampu menganalisis dan menerapkan prinsip etika, nilai-nilai Pancasila, serta aspek keselamatan dan kesehatan kerja dalam pengembangan dan pemeliharaan sistem informasi sesuai konteks Pancasila dan capaian CPMK102.</t>
  </si>
  <si>
    <t xml:space="preserve">studi kasus, esai/refleksi, presentasi, portofolio, dan tes lisan/tulis
</t>
  </si>
  <si>
    <t xml:space="preserve">Mahasiswa mampu menganalisis hakikat penciptaan manusia melalui pemahaman konsep agama dan Tauhid untuk membentuk karakter yang jujur, disiplin, dan bertakwa dalam interaksi akademik maupun sosial.
</t>
  </si>
  <si>
    <t xml:space="preserve">Unjuk Kerja (Presentasi), Quiz, Tes Tulis (UTS)
</t>
  </si>
  <si>
    <t xml:space="preserve">Mahasiswa mampu mengevaluasi persoalan lingkungan dan perkembangan ilmu pengetahuan melalui aktualisasi akhlak Islam sebagai bentuk tanggung jawab sosial dan pengambilan keputusan etis di lingkungan kampus.
</t>
  </si>
  <si>
    <t>Quiz, Tes Tulis (UAS)</t>
  </si>
  <si>
    <t>ketepatan konsep, kedalaman analisis kasus, argumentasi berbasis norma/etika, refleksi sikap, dan komunikasi</t>
  </si>
  <si>
    <t>Mahasiswa mampu menginternalisasi nilai ketakwaan kepada Tuhan YME, Pancasila, kewarganegaraan, dan menunjukkan pembelajaran sepanjang hayat melalui disiplin diri, tanggung jawab sesuai konteks Kewarganegaraan dan capaian CPMK102.</t>
  </si>
  <si>
    <t xml:space="preserve">Mahasiswa mampu menunjukkan internalisasi nilai ketakwaan kepada Tuhan YME, Pancasila, dan kewarganegaraan melalui sikap disiplin, etis, bertanggung jawab, dan menghargai keberagaman dalam proses pembelajaran. - Menunjukkan sikap pembelajaran sepanjang hayat dan kesiapan adaptasi karir profesional melalui pengembangan diri berkelanjutan, tanggung jawab sosial, dan kemampuan menyesuaikan diri dengan perubahan lingkungan kerja.
</t>
  </si>
  <si>
    <t>Tes Lisan (Tugas Kelompok)</t>
  </si>
  <si>
    <t>Penilaian proses dan hasil proyek kelompok (observasi sikap, kontribusi, dan tanggung jawab) serta refleksi individu untuk menilai internalisasi nilai, pembelajaran sepanjang hayat, dan sikap profesional.</t>
  </si>
  <si>
    <t xml:space="preserve">Mahasiswa mampu menginternalisasi nilai ketakwaan kepada Tuhan YME, Pancasila, kewarganegaraan, dan menunjukkan pembelajaran sepanjang hayat melalui disiplin diri, tanggung jawab sesuai konteks Magang dan capaian CPMK102.
</t>
  </si>
  <si>
    <t>proposal, logbook, produk/artefak, laporan, presentasi, dan penilaian kinerja</t>
  </si>
  <si>
    <t>kejelasan masalah, ketepatan metode, kualitas artefak, ketercapaian outcome, manajemen kerja, laporan, dan presentasi</t>
  </si>
  <si>
    <t>CPMK201</t>
  </si>
  <si>
    <t xml:space="preserve">(2.1) Mampu merancang dan mendokumentasikan rencana manajemen proyek pengembangan aplikasi multi-platform dengan menerapkan metodologi pengembangan perangkat lunak yang tepat
</t>
  </si>
  <si>
    <t>SCPMK201-00101</t>
  </si>
  <si>
    <t xml:space="preserve">Mahasiswa mampu mengimplementasikan metodologi analisis dan desain sistem secara terstruktur untuk mentransformasi kebutuhan stakeholder menjadi spesifikasi teknis yang komprehensif bagi sesuai konteks Skripsi dan capaian CPMK211.
</t>
  </si>
  <si>
    <t>Proyek Teknologi Informasi</t>
  </si>
  <si>
    <t xml:space="preserve">Mahasiswa mampu merancang dan mendokumentasikan rencana manajemen proyek pengembangan aplikasi multi-platform dengan menerapkan metodologi pengembangan perangkat lunak yang tepat sesuai konteks Proyek Teknologi Terintegrasi dan capaian CPMK201.
</t>
  </si>
  <si>
    <t>Mahasiswa mampu merancang dan mendokumentasikan rencana manajemen proyek pengembangan aplikasi multi-platform dengan menerapkan metodologi pengembangan perangkat lunak yang tepat sesuai konteks Proyek Teknologi Terintegrasi dan capaian CPMK201.</t>
  </si>
  <si>
    <t>CPMK202</t>
  </si>
  <si>
    <t>(2.2) Mampu menerapkan prinsip dan metode User Experience (UX) Design untuk merancang prototipe antarmuka aplikasi multi-platform yang interaktif</t>
  </si>
  <si>
    <t xml:space="preserve">Mahasiswa mampu membuat wireframe dan prototipe antarmuka menggunakan tools desain UI secara sistematis dan konsisten.
</t>
  </si>
  <si>
    <t>ketepatan pemilihan metode, kualitas data, validitas eksperimen, kinerja model/solusi, interpretasi hasil, dan komunikasi temuan</t>
  </si>
  <si>
    <t xml:space="preserve">Mahasiswa mampu menerapkan prinsip usability, accessibility, dan desain visual dalam perancangan antarmuka pengguna.
</t>
  </si>
  <si>
    <t>CPMK203</t>
  </si>
  <si>
    <t xml:space="preserve">(2.3) Mampu merancang skema dan arsitektur manajemen data yang efektif dan terstruktur untuk mendukung solusi aplikasi multi-platform dengan mempertimbangkan integritas data, kebutuhan informasi stakeholder, serta efisiensi dalam operasi query dan skalabilitas sistem
</t>
  </si>
  <si>
    <t>Mahasiswa mampu menjelaskan dan menerapkan konsep data, basis data, dan basis data relasional, serta merancang model dan skema basis data secara konseptual dan logikal dengan memperhatikan integritas data dan konsep normalisasi.</t>
  </si>
  <si>
    <t>Observasi (Praktik/ Tugas), Tes Lisan (Tugas Kelompok), Quiz, Unjuk Kerja (Presentasi), Tes Tulis (UTS)</t>
  </si>
  <si>
    <t>Ketepatan dalam mencari contoh penerapan basis data; Ketepatan penjelasan terkait komponen basis data; Ketepatan analisis kebutuhan data, Ketepatan rancangan basis data menggunakan ERD; Ketepatan komponen ERD ke dalam model relasional; Ketepatan menjelaskan tahapan normalisasi, Ketepatan hasil normalisasi</t>
  </si>
  <si>
    <t xml:space="preserve">Mampu mengimplementasikan perancangan model dan skema basis data konseptual dan logikal melalui kegiatan praktikum dengan memperhatikan integritas data dan prinsip normalisasi.
</t>
  </si>
  <si>
    <t xml:space="preserve">Observasi (Praktik/ Tugas), Quiz, Tes Tulis (UTS)
</t>
  </si>
  <si>
    <t>Ketepatan analisis kebutuhan data, Ketepatan rancangan basis data menggunakan ERD; Ketepatan komponen ERD ke dalam model relasional; Ketepatan menjelaskan tahapan normalisasi, Ketepatan hasil normalisasi</t>
  </si>
  <si>
    <t>Mahasiswa mampu merancang mengidentifikasi dan menganalisis kebutuhan, serta menerapkan konsep perancangan perangkat lunak menggunakan UML secara tepat berdasarkan prosedur baku, dan sesuai konteks Sistem Informasi Manajemen dan capaian CPMK203.</t>
  </si>
  <si>
    <t>Mahasiswa mampu menggunakan dan merancang arsitektur Database Management System (DBMS) tingkat enterprise untuk mendukung integritas data, efisiensi query, dan skalabilitas sistem multi-platform.</t>
  </si>
  <si>
    <t xml:space="preserve">Kualitas Analisis Kebutuhan dan Arsitektur Data (40%), Kualitas Perancangan Skema &amp; Dukungan Skalabilitas (40%), Ketepatan Pertimbangan Integritas Data dan Efisiensi Query (20%)
</t>
  </si>
  <si>
    <t>CPMK204</t>
  </si>
  <si>
    <t>(2.4) Mampu menganalisis kebutuhan komputasi dari sebuah solusi IoT multi-platform dan arsitektur terdistribusi</t>
  </si>
  <si>
    <t>Mahasiswa mampu merancang Microcontroller Unit (Arduino dan NodeMCU) • Mahasiswa dapat menerapkan kendali jarak jauh (remote control) hardware dengan Socket TCP/IP • Mahasiswa sesuai konteks Internet Of Things dan capaian CPMK204.</t>
  </si>
  <si>
    <t>CPMK205</t>
  </si>
  <si>
    <t>(2.5) Mampu menerapkan prinsip dan pola desain perangkat lunak untuk membuat blueprint arsitektural dan komponen solusi aplikasi multi-platform yang modular, dapat dipelihara (maintainable), dan dapat diperluas (scalable)</t>
  </si>
  <si>
    <t>Mahasiswa mampu merancang prinsip dan pola desain perangkat lunak untuk membuat blueprint arsitektural dan komponen solusi aplikasi multi-platform yang modular, dapat dipelihara sesuai konteks Proyek Teknologi Terintegrasi dan capaian CPMK205.</t>
  </si>
  <si>
    <t xml:space="preserve">Mampu merealisasikan blueprint menjadi komponen aplikasi yang modular, maintainable, dan sesuai standar kode.
</t>
  </si>
  <si>
    <t xml:space="preserve">Kode berjalan tanpa error, rapi (clean code), dan modular.
</t>
  </si>
  <si>
    <t xml:space="preserve">Mahasiswa mampu merancang prinsip dan pola desain perangkat lunak untuk membuat blueprint arsitektural dan komponen solusi aplikasi multi-platform yang modular, dapat dipelihara sesuai konteks Proyek Teknologi Terintegrasi dan capaian CPMK205.
</t>
  </si>
  <si>
    <t>CPMK206</t>
  </si>
  <si>
    <t xml:space="preserve">(2.6) Mampu menganalisis karakteristik dan kebutuhan sumber daya dari aplikasi multi-platform, lalu merancang strategi manajemen sumber daya sistem (seperti memori, proses, I/O, dan jaringan) yang optimal dengan mempertimbangkan arsitektur dan mekanisme sistem operasi
</t>
  </si>
  <si>
    <t>Mahasiswa mampu merancang karakteristik dan kebutuhan sumber daya dari aplikasi multi-platform, lalu merancang strategi manajemen sumber daya sistem (seperti memori, proses, sesuai konteks Internet Of Things dan capaian CPMK206.</t>
  </si>
  <si>
    <t>ketepatan konsep, kedalaman analisis, relevansi solusi, kualitas artefak/tulisan, dan komunikasi hasil</t>
  </si>
  <si>
    <t>Mahasiswa mampu merancang karakteristik dan kebutuhan sumber daya dari aplikasi multi-platform, lalu merancang strategi manajemen sumber daya sistem (seperti memori, proses, sesuai konteks Sistem Operasi dan capaian CPMK206.</t>
  </si>
  <si>
    <t>Observasi (Praktik/ Tugas), Tes Tulis (UTS), Unjuk Kerja (Presentasi)</t>
  </si>
  <si>
    <t xml:space="preserve">ketepatan konfigurasi, keamanan, keandalan layanan, analisis risiko, pengujian konektivitas/performa, dan dokumentasi teknis
</t>
  </si>
  <si>
    <t>CPMK207</t>
  </si>
  <si>
    <t xml:space="preserve">(2.7) Mampu menganalisis kompleksitas permasalahan komputasi kemudian memilih dan merancang struktur data serta algoritma yang optimal </t>
  </si>
  <si>
    <t>Algoritma &amp; Struktur Data</t>
  </si>
  <si>
    <t>Mahasiswa mampu menjelaskan karakteristik berbagai struktur data serta alur pengelolaan data dalam mendukung penyelesaian permasalahan komputasi.</t>
  </si>
  <si>
    <t>Tes Tulis (UAS), Observasi (Praktik/ Tugas)</t>
  </si>
  <si>
    <t xml:space="preserve">Ketepatan menjelaskan karakteristik struktur data, menjelaskan urutan pengelolaan data secara logis, Ketepatan struktur data dengan permasalahan
</t>
  </si>
  <si>
    <t>CPMK208</t>
  </si>
  <si>
    <t xml:space="preserve">(2.8) Mampu menganalisis kebutuhan komputasi dari solusi aplikasi multi-platform dan memilih arsitektur computing system yang sesuai dengan mempertimbangkan interaksi antara hardware, sistem operasi, dan aplikasi
</t>
  </si>
  <si>
    <t>Mahasiswa mampu menganalisis kebutuhan komputasi suatu solusi teknologi informasi dengan mempertimbangkan konsep sistem komputer, interaksi hardware, sistem operasi, dan aplikasi, serta jaringan komputer dan internet untuk menentukan arsitektur sistem yang sesuai.</t>
  </si>
  <si>
    <t xml:space="preserve">Analisis Dan Desain Berorientasi Objek
</t>
  </si>
  <si>
    <t xml:space="preserve">Mahasiswa mampu merancang struktur dan komponen perangkat lunak berorientasi objek menggunakan class diagram dan advanced class diagram UML sebagai blueprint desain yang modular, maintainable, dan scalable.
</t>
  </si>
  <si>
    <t xml:space="preserve">ketepatan pemilihan metode, kualitas data, validitas eksperimen, kinerja model/solusi, interpretasi hasil, dan komunikasi temuan
</t>
  </si>
  <si>
    <t xml:space="preserve">Mahasiswa mampu menganalisis kebutuhan sistem dan alur proses aplikasi melalui use case, activity diagram, dan deployment diagram untuk menggambarkan keterkaitan proses bisnis, sistem, dan lingkungan eksekusi.
</t>
  </si>
  <si>
    <t>CPMK209</t>
  </si>
  <si>
    <t xml:space="preserve">(2.9) Mampu memilih dan menerapkan arsitektur serta teknologi pengembangan berbasis platform yang tepat untuk mengimplementasikan solusi aplikasi multi-platform, dengan mempertimbangkan karakteristik teknis, pola desain, dan framework spesifik platform guna memenuhi kebutuhan fungsional, skalabilitas, dan pengalaman pengguna
</t>
  </si>
  <si>
    <t>CPMK210</t>
  </si>
  <si>
    <t xml:space="preserve">(2.10) Mampu menerapkan prinsip fundamental rekayasa perangkat lunak dan paradigma berorientasi objek dalam merancang spesifikasi teknis dan blueprint arsitektural untuk solusi aplikasi multi-platform yang memenuhi kebutuhan
</t>
  </si>
  <si>
    <t>CPMK211</t>
  </si>
  <si>
    <t xml:space="preserve">(2.11) Mampu menerapkan metodologi analisis dan desain sistem secara terstruktur untuk mentransformasi kebutuhan stakeholder menjadi spesifikasi teknis yang komprehensif bagi pengembangan aplikasi multi-platform, dengan menghasilkan artefak desain yang mencakup aspek fungsional, non-fungsional, dan arsitektural yang dapat diimplementasikan
</t>
  </si>
  <si>
    <t xml:space="preserve">Mahasiswa mampu mengimplementasikan metodologi analisis dan desain sistem secara terstruktur untuk mentransformasi kebutuhan stakeholder menjadi spesifikasi teknis yang komprehensif bagi sesuai konteks Proyek Teknologi Terintegrasi dan capaian CPMK211.
</t>
  </si>
  <si>
    <t xml:space="preserve">Analisis Dan Desain Berorientasi Objek
</t>
  </si>
  <si>
    <t>Mahasiswa mampu mentransformasikan kebutuhan stakeholder menjadi spesifikasi teknis sistem melalui domain model, use case description, dan robustness analysis secara terstruktur dan konsisten.</t>
  </si>
  <si>
    <t xml:space="preserve">Mampu mentransformasi kebutuhan menjadi desain teknis menggunakan pemodelan sistem (UML/Diagram).
</t>
  </si>
  <si>
    <t>Observasi (Praktik/ Tugas)</t>
  </si>
  <si>
    <t xml:space="preserve">Ketepatan penggunaan simbol UML sesuai standar diagram.likasi multi-platform
</t>
  </si>
  <si>
    <t>Menerapkan konsep inheritance dalam pemodelan kelas untuk menghasilkan desain sistem yang modular, reusable, dan scalable.</t>
  </si>
  <si>
    <t xml:space="preserve">1. Penilaian Proses (30%):
- Keaktifan dalam diskusi dan workshop.
- Peer-assessment dalam kerja kelompok.
- Kemajuan iteratif dalam pembuatan artefak proyek.
2. Penilaian Produk (70%):
- Tugas 1 (Diagram &amp; Dokumen Desain - 30%): Kumpulan diagram kelas UML dengan inheritance yang tepat dan dokumen spesifikasi teknis singkat.
- Tugas 2 (Implementasi &amp; Presentasi - 40%): Kode prototipe sederhana yang merealisasikan desain, beserta presentasi yang menjelaskan bagaimana inheritance diterapkan untuk memenuhi kebutuhan fungsional/non-fungsional.
</t>
  </si>
  <si>
    <t xml:space="preserve">1. Relevansi &amp; Ketepatan Analisis (30%)
2. Kualitas Desain &amp; Artefak (40%)
3. Kualitas Implementasi &amp; Argumentasi (30%)
</t>
  </si>
  <si>
    <t>Mahasiswa mampu mengimplementasikan menguasai Konsep OOP, Class dan Object, Enkapsulasi, Inheritance, Abstraksi, Polimorfisme, GUI, database (JDBC), dan Java API sesuai konteks Praktikum Pemrograman Berbasis Objek dan capaian CPMK211.</t>
  </si>
  <si>
    <t>tugas praktikum, studi kasus, proyek/produk, demonstrasi, dan tes individu</t>
  </si>
  <si>
    <t xml:space="preserve">ketepatan analisis kebutuhan, kesesuaian desain, fungsionalitas implementasi, kualitas kode, pengujian, dokumentasi, dan presentasi
</t>
  </si>
  <si>
    <t>Mahasiswa mampu mengimplementasikan metodologi analisis dan desain sistem secara terstruktur untuk mentransformasi kebutuhan stakeholder menjadi spesifikasi teknis yang komprehensif bagi sesuai konteks Proyek Teknologi Terintegrasi dan capaian CPMK211.</t>
  </si>
  <si>
    <t>CPMK301</t>
  </si>
  <si>
    <t xml:space="preserve">(3.1) Mampu mengelola diri dan bekerja sama secara profesional dengan menerapkan etika profesi, komunikasi efektif lisan dan tertulis, serta mempresentasikan ide dan hasil kerja secara bertanggung jawab dalam konteks akademik dan praktik profesional.
</t>
  </si>
  <si>
    <t>SCPMK311-00101</t>
  </si>
  <si>
    <t>Mahasiswa mampu merancang mengidentifikasi peluang bisnis berbasis teknologi dan menyusun business model canvas, serta bekerja dalam tim untuk merancang dan mengembangkan konsep startup sesuai konteks Kewirausahaan Berbasis Teknologi dan capaian CPMK311.</t>
  </si>
  <si>
    <t>Unjuk Kerja (Presentasi), Observasi (Praktik/ Tugas)</t>
  </si>
  <si>
    <t>kemampuan mahasiswa merumuskan ide bisnis digital yang relevan, menyusun Business Model Canvas yang konsisten, membuat business plan yang terstruktur dan berbasis data, serta melakukan analisis kelayakan bisnis secara tepat, ditambah penilaian presentasi dan proses kerja tim untuk memastikan mahasiswa mampu merancang dan mempertanggungjawabkan kelayakan bisnis digital yang mereka kembangkan.</t>
  </si>
  <si>
    <t>SCPMK313-00101</t>
  </si>
  <si>
    <t>Mahasiswa mampu menyusun dan mengomunikasikan berkomunikasi secara efektif dalam lingkungan kerja profesional TI dengan menerapkan prinsip komunikasi yang baik, menyusun dokumen profesional yang jelas dan etis, sesuai konteks Komunikasi Dan Etika Profesi dan capaian CPMK313.</t>
  </si>
  <si>
    <t xml:space="preserve">SCPMK314-00101
</t>
  </si>
  <si>
    <t>Mahasiswa mampu menyusun dan mengomunikasikan bekerja sama dalam tim dengan menerapkan etika dan kode etik profesi TI serta mengelola konflik melalui komunikasi yang asertif dan profesional sesuai konteks Komunikasi Dan Etika Profesi dan capaian CPMK314.</t>
  </si>
  <si>
    <t>Mahasiswa mampu menyusun dan mengomunikasikan mengelola diri secara mandiri dalam merencanakan, melaksanakan, dan menyelesaikan penelitian tugas akhir, berkomunikasi serta berkolaborasi dengan dosen pembimbing sesuai konteks Skripsi dan capaian CPMK321.</t>
  </si>
  <si>
    <t>Mahasiswa mampu menganalisis dan menerapkan memimpin dan mengelola tim dalam proyek teknologi terintegrasi yang kompleks dengan menggabungkan berbagai teknologi untuk menyelesaikan permasalahan nyata serta sesuai konteks Proyek Teknologi Terintegrasi dan capaian CPMK317.</t>
  </si>
  <si>
    <t>Mahasiswa mampu menyusun dan mengomunikasikan mempresentasikan solusi teknologi terintegrasi kepada client dan stakeholder serta mendokumentasikan dan mengomunikasikan proses dan hasil proyek secara komprehensif sesuai konteks Proyek Teknologi Terintegrasi dan capaian CPMK318.</t>
  </si>
  <si>
    <t>Proyek SIstem Informasi</t>
  </si>
  <si>
    <t>Mampu menerapkan etika profesi, manajemen diri, dan kerja sama tim secara profesional dalam konteks akademik dan praktik profesional.</t>
  </si>
  <si>
    <t>Unjuk Kerja (Presentasi), Observasi (Praktik/ Tugas), Tes Lisan (Tugas Kelompok), Quiz</t>
  </si>
  <si>
    <t>Sikap profesional &amp; etika akademik: 25%
Manajemen diri (kesiapan &amp; ketepatan waktu): 25%
Kerja sama dan peran tim: 25%
Tanggung jawab dalam penyampaian &amp; menjawab pertanyaan: 25%
Jenis tes: Unjuk kerja (presentasi kelompok)</t>
  </si>
  <si>
    <t xml:space="preserve">Mampu berkomunikasi dan mempresentasikan ide serta hasil kerja secara efektif, lisan maupun tertulis, dengan penuh tanggung jawab.
</t>
  </si>
  <si>
    <t>Unjuk Kerja (Presentasi), Tes Tulis (UTS)</t>
  </si>
  <si>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
</t>
  </si>
  <si>
    <t>CPMK302</t>
  </si>
  <si>
    <t xml:space="preserve">(3.2) Mampu mengelola tim dan proyek secara efektif melalui perencanaan, koordinasi, komunikasi, dan presentasi hasil proyek dengan menerapkan prinsip-prinsip manajemen proyek untuk menyelesaikan permasalahan nyata.
</t>
  </si>
  <si>
    <t xml:space="preserve">SCPMK312-00101
</t>
  </si>
  <si>
    <t>Mahasiswa mampu menyusun dan mengomunikasikan mempresentasikan business pitch secara persuasif serta berkomunikasi dan bernegosiasi secara efektif dengan berbagai pihak dalam konteks bisnis teknologi sesuai konteks Kewirausahaan Berbasis Teknologi dan capaian CPMK312.</t>
  </si>
  <si>
    <t>Unjuk Kerja (Presentasi)</t>
  </si>
  <si>
    <t>Mahasiswa mampu menyusun dan mengomunikasikan mempresentasikan hasil penelitian dalam sidang dengan argumentasi yang kuat dan sistematis serta merespons pertanyaan dan kritik dalam forum ilmiah secara sesuai konteks Skripsi dan capaian CPMK322.</t>
  </si>
  <si>
    <t xml:space="preserve">Mahasiswa mampu menyusun dan mengomunikasikan mempresentasikan solusi teknologi terintegrasi kepada client dan stakeholder serta mendokumentasikan dan mengomunikasikan proses dan hasil proyek secara komprehensif sesuai konteks Proyek Teknologi Terintegrasi dan capaian CPMK318.
</t>
  </si>
  <si>
    <t>Mahasiswa mampu menyusun dan mengomunikasikan mengelola tim dan proyek secara efektif melalui perencanaan, koordinasi, komunikasi, dan presentasi hasil proyek dengan menerapkan prinsip-prinsip manajemen proyek sesuai konteks Manajemen Proyek dan capaian CPMK302.</t>
  </si>
  <si>
    <t>CPMK303</t>
  </si>
  <si>
    <t xml:space="preserve">(3.3) Mampu mengembangkan diri secara berkelanjutan melalui komunikasi lisan dan tertulis yang efektif dalam konteks akademik dan profesional, presentasi diri dan ide secara percaya diri, serta pengelolaan karir dan kinerja di lingkungan kerja nyata.
</t>
  </si>
  <si>
    <t>Mahasiswa mampu menunjukkan internalisasi nilai ketakwaan kepada Tuhan YME, Pancasila, dan kewarganegaraan melalui sikap disiplin, etis, bertanggung jawab, dan menghargai keberagaman dalam proses pembelajaran. - Menunjukkan sikap pembelajaran sepanjang hayat dan kesiapan adaptasi karir profesional melalui pengembangan diri berkelanjutan, tanggung jawab sosial, dan kemampuan menyesuaikan diri dengan perubahan lingkungan kerja.</t>
  </si>
  <si>
    <t>Mahasiswa mampu menerapkan keterampilan komunikasi efektif dalam konteks wawancara kerja dan networking, termasuk kemampuan menyampaikan ide, menjawab pertanyaan, dan membangun relasi profesional. - Mempresentasikan diri dan pencapaian secara profesional dengan bahasa verbal dan nonverbal yang tepat sesuai dengan berbagai konteks karir.</t>
  </si>
  <si>
    <t>Unjuk Kerja (Presentasi), Quiz, Observasi (Praktik/ Tugas), Tes Tulis (UTS), Tes Tulis (UAS)</t>
  </si>
  <si>
    <t>Kejelasan dan ketepatan komunikasi verbal, kesesuaian bahasa nonverbal dan etika profesional, kemampuan menjawab pertanyaan dan membangun relasi saat wawancara dan networking, kualitas presentasi diri dan pencapaian, serta hasil penilaian sejawat terhadap sikap dan interaksi profesional.</t>
  </si>
  <si>
    <t xml:space="preserve">Mahasiswa mampu menyusun dan mengomunikasikan beradaptasi dan bekerja sama dalam tim kerja profesional di industri, mengelola waktu, tugas, dan tanggung jawab secara mandiri, serta berkomunikasi secara sesuai konteks Magang dan capaian CPMK319.
</t>
  </si>
  <si>
    <t xml:space="preserve">Mahasiswa mampu menyusun dan mengomunikasikan mempresentasikan hasil kerja dan progress kepada supervisor secara jelas dan terstruktur serta menulis laporan magang yang sistematis dan reflektif mengenai sesuai konteks Magang dan capaian CPMK320.
</t>
  </si>
  <si>
    <t>Mampu menyampaikan opini, argumentasi, pertanyaan, dan jawaban menggunakan bahasa Inggris dalam kegiatan diskusi atau presentasi akademik.</t>
  </si>
  <si>
    <t>Tes Tulis (UTS), Tes Tulis (UAS), Quiz, Observasi (Praktik/ Tugas), Partisipasi</t>
  </si>
  <si>
    <t>ketepatan bahasa, struktur pesan, kelancaran komunikasi, relevansi konteks profesional, dan kualitas portofolio</t>
  </si>
  <si>
    <t xml:space="preserve">Mahasiswa mampu berkomunikasi secara mandiri dengan menggunakan bahasa Inggris secara lisan dan tulisan dalam konteks Teknik Informatika.
</t>
  </si>
  <si>
    <t>Quiz, Unjuk Kerja (Presentasi), Tes Tulis (UTS), Tes Tulis (UAS), Tes Lisan (Tugas Kelompok), Partisipasi</t>
  </si>
  <si>
    <t>Mahasiswa mampu berkomunikasi dengan menggunakan bahasa Inggris secara lisan dan tulisan dalam konteks Teknik Informatika.</t>
  </si>
  <si>
    <t>Observasi (Praktik/ Tugas), Unjuk Kerja (Presentasi), Partisipasi, Quiz, Tes Tulis (UTS), Tes Tulis (UAS)</t>
  </si>
  <si>
    <t>Partisipasi, Unjuk Kerja (Presentasi), Quiz, Tes Tulis (UTS), Tes Tulis (UAS)</t>
  </si>
  <si>
    <t>Mahasiswa mampu menyusun dan mengomunikasikan berkomunikasi secara lisan dan menulis karya ilmiah dalam Bahasa Indonesia yang baik dan benar sesuai kaidah EYD, menggunakan bahasa baku dan struktur yang sesuai konteks Bahasa Indonesia dan capaian CPMK307.</t>
  </si>
  <si>
    <t>Mahasiswa mampu menyusun dan mengomunikasikan mempresentasikan ide dan hasil kerja secara efektif serta melakukan komunikasi interpersonal dan public speaking yang etis dan profesional menggunakan Bahasa sesuai konteks Bahasa Indonesia dan capaian CPMK308.</t>
  </si>
  <si>
    <t>CPMK401</t>
  </si>
  <si>
    <t xml:space="preserve">(4.1) Mampu menganalisis permasalahan kompleks dan menyusun solusi rasional berbasis data dalam bentuk deskripsi ilmiah yang terstruktur.
</t>
  </si>
  <si>
    <t xml:space="preserve">Critical thinking dan problem solving
</t>
  </si>
  <si>
    <t xml:space="preserve">Mahasiswa mampu menganalisis argumen dan permasalahan secara kritis melalui identifikasi fakta, klaim, bias, kesalahan penalaran, serta penerapan berbagai bentuk penalaran logis dan statistik.
</t>
  </si>
  <si>
    <t>Quiz, Tes Tulis (UTS)</t>
  </si>
  <si>
    <t>Ketepatan dalam menyelesaikan soal yang diberikan</t>
  </si>
  <si>
    <t xml:space="preserve">Mahasiswa mampu menyusun dan mengevaluasi solusi permasalahan secara ilmiah dengan mengintegrasikan data, argumen logis, dan kreativitas terstruktur dalam bentuk proposal dan presentasi.
</t>
  </si>
  <si>
    <t>Unjuk Kerja (Presentasi), Partisipasi</t>
  </si>
  <si>
    <t xml:space="preserve">Kejelasan struktur penyajian solusi, serta kualitas argumentasi dan keterkaitan dengan data
</t>
  </si>
  <si>
    <t>CPMK402</t>
  </si>
  <si>
    <t xml:space="preserve">(4.2) Mampu merencanakan dan mengorganisasi dokumentasi proyek teknologi informasi secara sistematis dalam bentuk laporan teknis yang memenuhi kaidah ilmiah.
</t>
  </si>
  <si>
    <t>Mahasiswa mampu menyusun dan mengomunikasikan merencanakan dan mengorganisasi dokumentasi proyek teknologi informasi secara sistematis dalam bentuk laporan teknis yang memenuhi kaidah ilmiah sesuai konteks Manajemen Proyek dan capaian CPMK402.</t>
  </si>
  <si>
    <t>CPMK403</t>
  </si>
  <si>
    <t xml:space="preserve">(4.3) Mampu merumuskan masalah penelitian, menentukan metode yang tepat, serta menyusun proposal dan deskripsi saintifik penelitian sebagai dasar penulisan skripsi atau artikel ilmiah.
</t>
  </si>
  <si>
    <t>Mahasiswa mampu menggali permasalahan di masyarakat dan lingkungan, menggali kebutuhan, berfikir kritis dan inovatif dalam mencari solusi dan ide skripsi dengan memperhatikan sesuai konteks Metodologi Penelitian dan capaian CPMK403.</t>
  </si>
  <si>
    <t>CPMK404</t>
  </si>
  <si>
    <t>(4.4) Mampu melaksanakan penelitian sesuai metode ilmiah dan menyusun deskripsi saintifik hasil penelitian dalam bentuk skripsi, laporan tugas akhir, atau artikel ilmiah yang memenuhi standar akademik.</t>
  </si>
  <si>
    <t>Mahasiswa mampu menyusun dan mengomunikasikan melaksanakan penelitian sesuai metode ilmiah dan menyusun deskripsi saintifik hasil penelitian dalam bentuk skripsi, laporan tugas akhir, atau artikel ilmiah yang sesuai konteks Skripsi dan capaian CPMK404.</t>
  </si>
  <si>
    <t>CPMK501</t>
  </si>
  <si>
    <t xml:space="preserve">(5.1) Mampu merancang dan menerapkan kebijakan serta prosedur manajemen keamanan untuk infrastruktur jaringan dan layanan cloud dengan memilih pendekatan yang sesuai kebutuhan operasional.
</t>
  </si>
  <si>
    <t xml:space="preserve">Administrasi dan Keamanan Jaringan
</t>
  </si>
  <si>
    <t xml:space="preserve">Mampu menyusun kebijakan manajemen akses dan prosedur keamanan operasional untuk infrastruktur dan cloud.
</t>
  </si>
  <si>
    <t>Partisipasi, Observasi (Praktik/ Tugas)</t>
  </si>
  <si>
    <t>Ketepatan menjelaskan prosedur perubahan dan implementasi Least Privilege.</t>
  </si>
  <si>
    <t>CPMK502</t>
  </si>
  <si>
    <t xml:space="preserve">(5.2) Mampu mengidentifikasi, menganalisis, dan menerapkan prinsip serta teknik keamanan untuk menangani isu-isu kerentanan pada sistem operasi, jaringan, dan lingkungan cloud.
</t>
  </si>
  <si>
    <t>Mahasiswa mampu menganalisis mengidentifikasi, menganalisis, dan menerapkan prinsip serta teknik keamanan untuk menangani isu-isu kerentanan pada sistem operasi, jaringan, dan lingkungan cloud sesuai konteks Sistem Operasi dan capaian CPMK502.</t>
  </si>
  <si>
    <t>ketepatan konfigurasi, keamanan, keandalan layanan, analisis risiko, pengujian konektivitas/performa, dan dokumentasi teknis</t>
  </si>
  <si>
    <t xml:space="preserve">Mahasiswa mampu menganalisis analisis isu keamanan sistem operasi, jaringan, dan cloud sesuai konteks Sistem Operasi dan capaian CPMK502.
</t>
  </si>
  <si>
    <t xml:space="preserve">Mahasiswa mampu menjelaskan dan memanfaatkan konsep arsitektur sistem komputasi serta organisasi perangkat keras dan perangkat lunak dalam memilih solusi teknologi informasi yang tepat untuk kebutuhan infrastruktur digital.
</t>
  </si>
  <si>
    <t xml:space="preserve">Administrasi dan Keamanan Jaringan
</t>
  </si>
  <si>
    <t xml:space="preserve">Mampu mengidentifikasi serta menganalisis kerentanan sistem dan ancaman siber pada lingkungan jaringan dan cloud.
</t>
  </si>
  <si>
    <t>Quiz, Observasi (Praktik/ Tugas)</t>
  </si>
  <si>
    <t>Ketepatan mengidentifikasi jenis ancaman dan menganalisis dampak bisnis dari kerentanan.</t>
  </si>
  <si>
    <t>Mampu menganalisis isu kerentanan lingkungan cloud dan menerapkan teknik security hardening pada sistem operasi dan layanan cloud.</t>
  </si>
  <si>
    <t>Keberhasilan dalam melakukan provisioning instance, ketepatan konfigurasi akses keamanan (SSH Key), dan kemampuan melakukan langkah-langkah security hardening pada OS.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</si>
  <si>
    <t xml:space="preserve">Mampu mengidentifikasi dan menerapkan prinsip keamanan jaringan untuk menangani ancaman pada infrastruktur cloud.
</t>
  </si>
  <si>
    <t>Kemampuan merancang arsitektur jaringan virtual yang fungsional, mencakup ketepatan konfigurasi subnet, tabel rute, dan efektivitas aturan firewall dalam mengamankan trafik.</t>
  </si>
  <si>
    <t xml:space="preserve">Mampu mengonfigurasi fitur manajemen sumber daya dan layanan cloud (PaaS/SaaS) untuk mendukung kebutuhan sistem komputasi dan IoT.
</t>
  </si>
  <si>
    <t>Keberhasilan melakukan deployment aplikasi ke platform cloud terkelola dan ketepatan konfigurasi variabel lingkungan (environment variables) serta runtime.
Kedalaman eksplorasi ekosistem SaaS dan keberhasilan pengujian integrasi fungsional antar layanan melalui protokol API.
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</si>
  <si>
    <t>CPMK503</t>
  </si>
  <si>
    <t xml:space="preserve">(5.3) Mampu merancang dan mengonfigurasi solusi komputasi paralel dan terdistribusi yang mendukung kebutuhan pemrosesan IoT, Big Data, dan layanan berbasis cloud.
</t>
  </si>
  <si>
    <t>Mahasiswa mampu merancang dan mengonfigurasi solusi komputasi paralel dan terdistribusi yang mendukung kebutuhan pemrosesan IoT, Big Data, dan layanan berbasis cloud sesuai konteks Internet Of Things dan capaian CPMK503.</t>
  </si>
  <si>
    <t>Mahasiswa mampu merancang dan mengonfigurasi infrastruktur solusi komputasi paralel dan terdistribusi yang mendukung kebutuhan pemrosesan IoT, Big Data, dan layanan berbasis cloud sesuai konteks Big Data dan capaian CPMK503.</t>
  </si>
  <si>
    <t xml:space="preserve">Mahasiswa mampu menganalisis dan menerapkan solusi komputasi paralel-terdistribusi untuk IoT, big data, dan cloud sesuai konteks Big Data dan capaian CPMK503.
</t>
  </si>
  <si>
    <t>CPMK504</t>
  </si>
  <si>
    <t xml:space="preserve">(5.4) Mampu membangun dan mengelola infrastruktur jaringan komputer dengan memilih arsitektur, protokol, dan teknik konfigurasi yang sesuai kebutuhan sistem.
</t>
  </si>
  <si>
    <t xml:space="preserve">Administrasi dan Keamanan Jaringan
</t>
  </si>
  <si>
    <t xml:space="preserve">Mampu membangun infrastruktur jaringan aman melalui desain arsitektur, segmentasi, dan konfigurasi gateway.
</t>
  </si>
  <si>
    <t>Ketepatan merancang segmentasi jaringan (VLAN), DMZ, dan memetakan ancaman pada topologi.</t>
  </si>
  <si>
    <t>Mampu menguasai konsep Jaringan Komputer dalam bidang TIK secara mendalam; Mampu menguasai metode pada proses komunikasi jaringan; Mampu menerapkan konsep Jaringan Komputer secara mandiri, bermutu, terukur, dan dengan sikap bertanggung jawab; Mampu menggunakan perangkat bantu dalam menerapkan komunikasi jaringan dengan memperhatikan nilai, norma, dan etika akademik.</t>
  </si>
  <si>
    <t>Mahasiswa mampu mengimplementasikan membangun dan mengelola infrastruktur jaringan komputer dengan memilih arsitektur, protokol, dan teknik konfigurasi yang sesuai kebutuhan sistem sesuai konteks Praktikum Jaringan Komputer dan capaian CPMK504.</t>
  </si>
  <si>
    <t>ketepatan analisis kebutuhan, kesesuaian desain, fungsionalitas implementasi, kualitas kode, pengujian, dokumentasi, dan presentasi</t>
  </si>
  <si>
    <t>CPMK505</t>
  </si>
  <si>
    <t xml:space="preserve">(5.5) Mampu menerapkan teknologi dan mekanisme keamanan jaringan secara tepat guna dalam melindungi infrastruktur digital dari ancaman aktual.
</t>
  </si>
  <si>
    <t xml:space="preserve">Administrasi dan Keamanan Jaringan
</t>
  </si>
  <si>
    <t xml:space="preserve">Menerapkan mekanisme teknologi keamanan (firewall &amp; pengamanan akses) untuk melindungi infrastruktur dari ancaman aktual.
</t>
  </si>
  <si>
    <t>Kemampuan mengonfigurasi NAT, Firewall, serta mengamankan akses perangkat (SSH/MFA).</t>
  </si>
  <si>
    <t>CPMK508</t>
  </si>
  <si>
    <t>(5.6) Mampu menerapkan prinsip information assurance dan teknik keamanan perangkat lunak untuk memastikan keandalan, integritas, dan ketahanan sistem terhadap risiko.</t>
  </si>
  <si>
    <t xml:space="preserve">Penjaminan Mutu Perangkat Lunak
</t>
  </si>
  <si>
    <t xml:space="preserve">Mahasiswa mampu mengevaluasi mengenal konsep dasar algoritma serta mampu menganalisis permasalahan sederhana ke dalam bentuk algoritma sesuai konteks Penjaminan Mutu Perangkat Lunak dan capaian CPMK508.
</t>
  </si>
  <si>
    <t>CPMK509</t>
  </si>
  <si>
    <t xml:space="preserve">(5.7) Mampu merancang dan mengelola layanan komputasi virtual secara efisien dengan mempertimbangkan kebutuhan performa, skalabilitas, dan keberlanjutan energi.
</t>
  </si>
  <si>
    <t xml:space="preserve">SCPMK509-00101
</t>
  </si>
  <si>
    <t>Mahasiswa mampu merancang dan mengelola layanan komputasi virtual secara efisien dengan mempertimbangkan kebutuhan performa, skalabilitas, dan keberlanjutan energi sesuai konteks Komputasi Hijau dan capaian CPMK509.</t>
  </si>
  <si>
    <t xml:space="preserve">Mampu merancang layanan komputasi virtual berbasis container dan serverless dengan mempertimbangkan performa dan skalabilitas.
</t>
  </si>
  <si>
    <t>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
Keberhasilan implementasi fungsi pemrograman berbasis peristiwa dan ketepatan konfigurasi pemicu (trigger) sesuai skenario penggunaan (seperti HTTP request atau IoT).</t>
  </si>
  <si>
    <t xml:space="preserve">Mampu mengelola operasional cloud yang efisien dengan mempertimbangkan aspek keberlanjutan energi (Green Computing) dan otomatisasi (CI/CD).
</t>
  </si>
  <si>
    <t>Kelancaran alur kerja otomatisasi dari repositori hingga lingkungan produksi dan kemampuan menangani kesalahan (error handling) dalam pipeline.
Kemampuan merancang mekanisme redundansi sistem, keberhasilan simulasi failover yang minim downtime, serta ketajaman analisis efisiensi penggunaan sumber daya/energi.</t>
  </si>
  <si>
    <t>CPMK601</t>
  </si>
  <si>
    <t xml:space="preserve">(6.1) Mampu merancang dan menjamin mutu pengalaman pengguna (UX) melalui pembuatan prototipe yang menjawab permasalahan interaksi pengguna
</t>
  </si>
  <si>
    <t>Mahasiswa mampu melakukan evaluasi dan perbaikan prototipe berdasarkan uji coba pengguna (usability testing) dan umpan balik yang diperoleh.</t>
  </si>
  <si>
    <t>CPMK602</t>
  </si>
  <si>
    <t xml:space="preserve">(6.2) Mampu merancang komponen perangkat lunak secara sistematis menggunakan pola desain yang sesuai dengan kebutuhan stakeholder
</t>
  </si>
  <si>
    <t xml:space="preserve">Mahasiswa mampu merancang arsitektur dan komponen perangkat lunak secara sistematis menggunakan pola desain yang sesuai dengan kebutuhan stakeholder sesuai konteks Proyek Teknologi Terintegrasi dan capaian CPMK602.
</t>
  </si>
  <si>
    <t xml:space="preserve">Mampu merancang arsitektur sistem dan memilih pola desain (Design Patterns) yang sistematis.
</t>
  </si>
  <si>
    <t>Ketepatan pemilihan pola arsitektur (architectural patterns) dan pola desain (design patterns) yang relevan, serta ketepatan visualisasi komponen sistem menggunakan notasi standar (UML/C4 Model) untuk menjamin aspek maintainability</t>
  </si>
  <si>
    <t>Analisis dan Desain Berbasis Objek</t>
  </si>
  <si>
    <t xml:space="preserve">Mahasiswa mampu memodelkan interaksi dan perilaku objek dalam sistem menggunakan sequence diagram dan state machine diagram sebagai dasar perancangan arsitektur perangkat lunak.
</t>
  </si>
  <si>
    <t>Mahasiswa mampu merancang arsitektur dan komponen perangkat lunak secara sistematis menggunakan pola desain yang sesuai dengan kebutuhan stakeholder sesuai konteks Proyek Teknologi Terintegrasi dan capaian CPMK602.</t>
  </si>
  <si>
    <t>Mampu menganalisis kebutuhan stakeholder sebagai dasar perancangan arsitektur perangkat lunak.</t>
  </si>
  <si>
    <t>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</si>
  <si>
    <t xml:space="preserve">Mampu merancang arsitektur dan komponen perangkat lunak secara sistematis dengan menerapkan pola desain yang sesuai.
</t>
  </si>
  <si>
    <t>Unjuk Kerja (Presentasi), Quiz</t>
  </si>
  <si>
    <t>CPMK603</t>
  </si>
  <si>
    <t xml:space="preserve">(6.3) Mampu mengimplementasikan dan melakukan deployment aplikasi perangkat lunak pada platform web, mobile, atau framework secara fungsional
</t>
  </si>
  <si>
    <t>Mahasiswa mampu menganalisis kebutuhan stakeholder untuk merancang arsitektur web yang mengintegrasikan fitur .Mahasiswa mampu mengimplementasikan desain antarmuka web yang responsif dan interaktif untuk menyajikan visualisasi hasil analisis data secara informatif kepada pengguna.Mahasiswa mampu melakukan deployment aplikasi web cerdas ke layanan cloud hosting serta melakukan pemeliharaan rutin untuk menjaga performa sistem.</t>
  </si>
  <si>
    <t>Observasi (Praktik/ Tugas), Unjuk Kerja (Presentasi)</t>
  </si>
  <si>
    <t>Ketepatan Rancangan: Sejauh mana desain arsitektur web dan skema basis data mampu mengintegrasikan fitur cerdas secara logis dan skalabel sesuai kebutuhan stakeholder.Responsivitas &amp; Interaktivitas: Kualitas antarmuka yang adaptif di berbagai perangkat dan kejelasan visualisasi data hasil analisis yang mudah dipahami pengguna.Konektivitas Sistem: Keberhasilan menghubungkan logika bisnis backend sehingga aplikasi berjalan secara fungsional. Keberhasilan proses deployment ke layanan Hosting</t>
  </si>
  <si>
    <t>Mahasiswa mampu mengimplementasikan dan melakukan deployment aplikasi perangkat lunak pada platform web, mobile, atau framework secara fungsional sesuai konteks Pemrograman Web Lanjut dan capaian CPMK603.</t>
  </si>
  <si>
    <t>Quiz, Observasi (Praktik/ Tugas), Unjuk Kerja (Presentasi), Partisipasi</t>
  </si>
  <si>
    <t>kemampuan melakukan deployment aplikasi, kemampuan dalam mengelola sistem</t>
  </si>
  <si>
    <t>Mahasiswa mampu mengimplementasikan dan melakukan deployment aplikasi perangkat lunak pada platform web, mobile, atau framework secara fungsional sesuai konteks Pemrograman Mobile dan capaian CPMK603.</t>
  </si>
  <si>
    <t>Tes Lisan (Tugas Kelompok), Unjuk Kerja (Presentasi), Observasi (Praktik/ Tugas)</t>
  </si>
  <si>
    <t>Kebenaran implementasi program (berjalan sesuai spesifikasi), penggunaan algoritma sesuai dengan kasus dan kemampuan mengkomunikasikan pekerjaan yang telah dikerjakan</t>
  </si>
  <si>
    <t>Mahasiswa mampu melakukan konfigurasi environment pengembangan (IDE, SDK, dan Framework) serta memilih arsitektur yang sesuai dengan platform target (Web atau Mobile). - Mahasiswa mampu merancang skema basis data dan - integrasi API yang mendukung fungsionalitas aplikasi.</t>
  </si>
  <si>
    <t>Analisis Kebutuhan: Kelengkapan dokumen SRS dalam mencakup seluruh kebutuhan fungsional dan non-fungsional stakeholder.
Kualitas Arsitektur: Ketepatan desain sistem (UML/ERD) dan penerapan pola desain yang menjamin skalabilitas.
Fungsionalitas: Persentase fitur yang berhasil berjalan saat pengujian.
Standar Kode: Penerapan Clean Code, konsistensi konvensi penamaan</t>
  </si>
  <si>
    <t>CPMK605</t>
  </si>
  <si>
    <t xml:space="preserve">(6.4) Mampu mengimplementasikan prinsip dasar pengembangan dan memelihara kualitas kode program agar tetap bersih, efisien, dan berkelanjutan
</t>
  </si>
  <si>
    <t xml:space="preserve">Mahasiswa mampu mengevaluasi prinsip dasar pengembangan dan memelihara kualitas kode program agar tetap bersih, efisien, dan berkelanjutan sesuai konteks Penjaminan Mutu Perangkat Lunak dan capaian CPMK605.
</t>
  </si>
  <si>
    <t>CPMK606</t>
  </si>
  <si>
    <t xml:space="preserve">(6.5) Mampu mengelola proses deployment dan menyusun rencana memelihara perangkat lunak sesuai dengan metodologi siklus hidup pengembangan (SDLC)
</t>
  </si>
  <si>
    <t>Merancang dan mengimplementasikan struktur kelas dengan prinsip enkapsulasi dan antarmuka (interface) yang jelas untuk memfasilitasi proses deployment yang konsisten dan perawatan (maintenance) perangkat lunak yang lebih mudah dalam siklus pengembangannya.</t>
  </si>
  <si>
    <t>1. Penilaian Proses &amp; Partisipasi (30%):
- Kontribusi dalam diskusi role-playing dan analisis studi kasus.
2. Penilaian Produk &amp; Proyek (70%):
Menganalisis kode legacy yang diberikan, mengusulkan perbaikan dengan enkapsulasi dan interface, serta membuat rencana deployment incremental</t>
  </si>
  <si>
    <t>1. Pemahaman Konseptual  (25%)
2. Kualitas Desain &amp; Implementasi (50%)</t>
  </si>
  <si>
    <t>Mahasiswa mampu mengevaluasi mengelola proses deployment dan menyusun rencana memelihara perangkat lunak sesuai dengan metodologi siklus hidup pengembangan (SDLC) sesuai konteks Penjaminan Mutu Perangkat Lunak dan capaian CPMK606.</t>
  </si>
  <si>
    <t>CPMK607</t>
  </si>
  <si>
    <t xml:space="preserve">(6.6) Mampu menganalisis kebutuhan organisasi untuk merancang serta mengimplementasikan solusi sistem informasi terintegrasi yang kompleks
</t>
  </si>
  <si>
    <t xml:space="preserve">Mahasiswa mampu mengimplementasikan kebutuhan organisasi untuk merancang serta mengimplementasikan solusi sistem informasi terintegrasi yang kompleks sesuai konteks Skripsi dan capaian CPMK607.
</t>
  </si>
  <si>
    <t xml:space="preserve">Mahasiswa mampu mengimplementasikan kebutuhan organisasi untuk merancang serta mengimplementasikan solusi sistem informasi terintegrasi yang kompleks sesuai konteks Proyek Teknologi Terintegrasi dan capaian CPMK607.
</t>
  </si>
  <si>
    <t xml:space="preserve">Mampu menganalisis kebutuhan organisasi dan melakukan elisitasi untuk menghasilkan spesifikasi kebutuhan.
</t>
  </si>
  <si>
    <t>Ketepatan transformasi desain menjadi kode program (implementasi), ketepatan prosedur pengujian (testing) untuk menjamin kualitas sistem, serta ketepatan fungsi aplikasi dalam menjawab kebutuhan organisasi yang kompleks</t>
  </si>
  <si>
    <t xml:space="preserve">Analisis dan Desain Berbasis Objek
</t>
  </si>
  <si>
    <t>Mahasiswa mampu menganalisis proses bisnis organisasi dan integrasi sistem menggunakan activity diagram, domain model, dan pemodelan UML terintegrasi untuk merepresentasikan sistem informasi yang kompleks.</t>
  </si>
  <si>
    <t>Mengimplementasikan integrasi antar subsistem dalam solusi sistem informasi melalui penggunaan interface yang terdefinisi dengan baik dan API, serta merancang layer presentasi (GUI) dan persistensi data (database) yang sesuai dengan kebutuhan pengguna dan arsitektur sistem.</t>
  </si>
  <si>
    <t>1. Penilaian Proses &amp; Partisipasi (30%)
- Kehadiran &amp; Kontribusi Diskusi
2. Penilaian Produk Akhir &amp; Ujian (70%)
- Dokumen Desain (15%): Diagram kelas (dengan interface), diagram arsitektur, skema database.
- Implementasi Kode (35%): Aplikasi berfungsi dengan GUI, logika bisnis menggunakan interface, dan database persisten.
- Ujian Praktek Terstruktur (20%): Ujian lab dimana mahasiswa diminta menambahkan fitur baru (misal: integrasi dengan file CSV menggunakan Java I/O API) ke kode dasar yang diberikan, dengan memperhatikan prinsip interface.</t>
  </si>
  <si>
    <t>1. Kualitas Desain Arsitektur &amp; Penggunaan Interface (35%)
2. Keterampilan Teknis Implementasi (40%)
3. Kelengkapan, Fungsi, &amp; Dokumentasi (25%)</t>
  </si>
  <si>
    <t>Mahasiswa mampu mengimplementasikan kebutuhan organisasi untuk merancang serta mengimplementasikan solusi sistem informasi terintegrasi yang kompleks sesuai konteks Proyek Teknologi Terintegrasi dan capaian CPMK607.</t>
  </si>
  <si>
    <t>Mampu menganalisis kebutuhan organisasi sebagai dasar perancangan sistem informasi terintegrasi.</t>
  </si>
  <si>
    <t>Unjuk Kerja (Presentasi), Tes Tulis (UAS)</t>
  </si>
  <si>
    <t>CPMK608</t>
  </si>
  <si>
    <t xml:space="preserve">(6.7) Mampu merencanakan strategi pengujian serta menjamin mutu perangkat lunak melalui teknik verifikasi dan validasi yang terukur
</t>
  </si>
  <si>
    <t xml:space="preserve">Mahasiswa mampu mengevaluasi merencanakan strategi pengujian serta menjamin mutu perangkat lunak melalui teknik verifikasi dan validasi yang terukur sesuai konteks Penjaminan Mutu Perangkat Lunak dan capaian CPMK608.
</t>
  </si>
  <si>
    <t>CPMK609</t>
  </si>
  <si>
    <t xml:space="preserve">(6.8) Mampu merancang model pemodelan perangkat lunak yang akurat untuk memastikan desain teknis memenuhi seluruh spesifikasi kebutuhan stakeholder
</t>
  </si>
  <si>
    <t>Mahasiswa mampu menyusun dan mengevaluasi dokumen Spesifikasi Kebutuhan Perangkat Lunak (SKPL) berdasarkan hasil pemodelan UML secara lengkap dan siap diimplementasikan.</t>
  </si>
  <si>
    <t>CPMK701</t>
  </si>
  <si>
    <t xml:space="preserve">(7.1) Mampu merancang, mengimplementasikan, dan mengevaluasi sistem manajemen data yang handal untuk mendukung kebutuhan penyimpanan dan pengelolaan informasi
</t>
  </si>
  <si>
    <t xml:space="preserve">Mampu mengimplementasikan skema basis data dan mengeksekusi query SQL untuk mengelola data sesuai studi kasus melalui kegiatan praktikum.
</t>
  </si>
  <si>
    <t>Observasi (Praktik/ Tugas), Quiz, Tes Tulis (UTS)</t>
  </si>
  <si>
    <t>Ketepatan Penulisan dan Eksekusi Query DDL, Ketepatan Penulisan dan Eksekusi Query DML, Kesesuaian Hasil Query dengan Kebutuhan Data</t>
  </si>
  <si>
    <t xml:space="preserve">Mahasiswa mampu merancang, membangun, dan memanipulasi basis data menggunakan SQL lanjutan (DDL, DML, indeks, view, fungsi, stored procedure, trigger, transaction, full-text search, dan JSON/JSONB) untuk menghasilkan sistem manajemen data yang handal.
</t>
  </si>
  <si>
    <t>Observasi (Praktik/ Tugas), Quiz</t>
  </si>
  <si>
    <t>Kualitas Perancangan Solusi Manajemen Data (30%), Ketepatan Konsep Implementasi Fitur Lanjutan DBMS (40%), Kualitas Evaluasi Performa dan Keandalan Sistem (30%)</t>
  </si>
  <si>
    <t>CPMK702</t>
  </si>
  <si>
    <t xml:space="preserve">(7.2) Mampu merancang dan mengimplementasikan pemrosesan data berskala besar menggunakan arsitektur komputasi paralel dan terdistribusi untuk mengoptimalkan kinerja analisis data
</t>
  </si>
  <si>
    <t>Mahasiswa mampu mengimplementasikan dan mengimplementasikan pemrosesan data berskala besar menggunakan arsitektur komputasi paralel dan terdistribusi untuk mengoptimalkan kinerja analisis sesuai konteks Big Data dan capaian CPMK702.</t>
  </si>
  <si>
    <t xml:space="preserve">Mahasiswa mampu merancang pemrosesan data skala besar dengan arsitektur paralel-terdistribusi sesuai konteks Big Data dan capaian CPMK702.
</t>
  </si>
  <si>
    <t>CPMK703</t>
  </si>
  <si>
    <t xml:space="preserve">(7.3) Mampu memilih dan mengimplementasikan struktur data serta algoritma yang efisien untuk mendukung pengolahan data dan pengembangan sistem
</t>
  </si>
  <si>
    <t>Praktikum Algoritma &amp; Struktur Data</t>
  </si>
  <si>
    <t>Mahasiswa mampu memilih dan mengimplementasikan struktur data non-linear serta koleksi data untuk membangun solusi pengolahan data yang efisien.</t>
  </si>
  <si>
    <t>Quiz, Observasi (Praktik/ Tugas), Unjuk Kerja (Presentasi)</t>
  </si>
  <si>
    <t>Kesesuaian struktur data sesuai dengan kasus, keberhasilan Implementasi struktur data, serta penjelasan logika program</t>
  </si>
  <si>
    <t>CPMK704</t>
  </si>
  <si>
    <t xml:space="preserve">(7.4) Mampu menganalisis kebutuhan pemecahan masalah dan mengembangkan program menggunakan berbagai bahasa dan paradigma pemrograman secara tepat guna
</t>
  </si>
  <si>
    <t xml:space="preserve">Mahasiswa mampu mengimplementasikan kebutuhan pemecahan masalah dan mengembangkan program menggunakan berbagai bahasa dan paradigma pemrograman secara tepat guna sesuai konteks Desain &amp; Pemrograman Web dan capaian CPMK704.
</t>
  </si>
  <si>
    <t>Menganalisis kebutuhan masalah dan merancang solusi program dengan memodelkan entitas dan interaksinya menggunakan konsep dasar Pemrograman Berorientasi Objek.</t>
  </si>
  <si>
    <t>1. Penilaian Formatif (40%)
- Kuis Singkat: Pemahaman konseptual tentang perbedaan class/object, enkapsulasi, dan polimorfisme.
2. Penilaian Sumatif (60%)
- Dokumen Analisis &amp; Desain (20%): Identifikasi kebutuhan dan diagram class.</t>
  </si>
  <si>
    <t>1. Kualitas Analisis &amp; Perancangan (30%)
2. Kualitas Implementasi Konsep (50%)
3. Kualitas Hasil Akhir &amp; Presentasi (20%)</t>
  </si>
  <si>
    <t>Mahasiswa mampu mengimplementasikan kebutuhan pemecahan masalah dan mengembangkan program menggunakan berbagai bahasa dan paradigma pemrograman secara tepat guna sesuai konteks Praktikum Pemrograman Berbasis Objek dan capaian CPMK704.</t>
  </si>
  <si>
    <t>Mahasiswa mampu menganalisis kebutuhan logika dan mengimplementasikannya menggunakan struktur kontrol Pemilihan (Selection) serta Perulangan (Looping) dalam bahasa pemrograman untuk menyelesaikan masalah komputasi.</t>
  </si>
  <si>
    <t>Quiz, Tes Tulis (UTS), Tes Tulis (UAS)</t>
  </si>
  <si>
    <t>Ketepatan dalam menyelesaikan soal studi kasus yang diberikan di tiap pertemuan</t>
  </si>
  <si>
    <t xml:space="preserve">Mahasiswa mampu mengembangkan program yang efisien dan modular dengan menerapkan struktur data Array serta pengorganisasian kode menggunakan Fungsi.
</t>
  </si>
  <si>
    <t>Mahasiswa mampu membangun aplikasi sederhana yang menerapkan struktur kontrol pemilihan dan perulangan untuk menyelesaikan berbagai kasus logika.</t>
  </si>
  <si>
    <t xml:space="preserve">Mahasiswa mampu menciptakan program yang modular menggunakan fungsi dan mengelola sekumpulan data melalui array untuk menghasilkan solusi yang efisien.
</t>
  </si>
  <si>
    <t>Observasi (Praktik/ Tugas), Tes Lisan (Tugas Kelompok), Partisipasi</t>
  </si>
  <si>
    <t>Ketepatan dalam menyelesaikan tahapan praktikum, soal yang diberikan di setiap jobsheet dan studi kasus</t>
  </si>
  <si>
    <t>CPMK705</t>
  </si>
  <si>
    <t xml:space="preserve">(7.5) Mampu merancang dan mengimplementasikan teknik pengolahan citra dan visualisasi data secara efektif untuk mengeksplorasi dan merepresentasikan pola informasi
</t>
  </si>
  <si>
    <t xml:space="preserve">Business Intelligence
</t>
  </si>
  <si>
    <t>Mahasiswa mampu mengimplementasikan dan mengimplementasikan teknik pengolahan citra dan visualisasi data secara efektif untuk mengeksplorasi dan merepresentasikan pola informasi sesuai konteks Business Intelligence dan capaian CPMK705.</t>
  </si>
  <si>
    <t xml:space="preserve">Pengolahan Citra Dan Visi Komputer
</t>
  </si>
  <si>
    <t>Mahasiswa mampu mengidentifikasi karakteristik citra digital serta memanfaatkan perangkat lunak dan pustaka pemrograman untuk melakukan akuisisi dan visualisasi citra.</t>
  </si>
  <si>
    <t>Quiz, Tes Tulis (UTS), Observasi (Praktik/ Tugas)</t>
  </si>
  <si>
    <t>ketepatan menjelaskan konsep format citra, warna, resolusi; kesesuaian interpretasi dan penjelasan hasil visual citra</t>
  </si>
  <si>
    <t>CPMK706</t>
  </si>
  <si>
    <t xml:space="preserve">(7.6) Mampu merancang, mengimplementasikan, dan mengevaluasi sistem cerdas dengan menerapkan algoritma kecerdasan artifisial dan pembelajaran mesin untuk pemodelan, analisis data, dan pengambilan keputusan
</t>
  </si>
  <si>
    <t xml:space="preserve">Pengolahan Citra Dan Visi Komputer
</t>
  </si>
  <si>
    <t xml:space="preserve">Mahasiswa mampu merancang dan mengimplementasikan metode deteksi objek sesuai dengan kebutuhan permasalahan yang dihadapi.
</t>
  </si>
  <si>
    <t>Ketepatan menjelaskan alur sistem secara runtut, implementasi pipeline metode berjalan dengan benar, analisis hasil dekteksi</t>
  </si>
  <si>
    <t>Mahasiswa mampu merancang, mengimplementasikan dan menganalisa penerapan metode sistem pendukung keputusan pada kasus yang ada.</t>
  </si>
  <si>
    <t>Quiz, Observasi (Praktik/ Tugas), Tes Tulis (UTS), Tes Lisan (Tugas Kelompok), Unjuk Kerja (Presentasi)</t>
  </si>
  <si>
    <t>Mampu menjelaskan konsep dasar kecerdasan artifisial serta menganalisis persoalan menggunakan berbagai Algoritma secara sistematis dan logis.</t>
  </si>
  <si>
    <t>Ketepatan penjelasan konsep dan akurasi perumusan strategi pencarian</t>
  </si>
  <si>
    <t xml:space="preserve">Mampu merancang representasi pengetahuan dan model agen cerdas untuk mengidentifikasi solusi pada domain permasalahan tertentu.
</t>
  </si>
  <si>
    <t>Kedalaman analisis representasi dan kesesuaian model agen terhadap masalah</t>
  </si>
  <si>
    <t xml:space="preserve">Mahasiswa mampu menganalisis q sesuai konteks Kecerdasan Artifisial dan capaian CPMK706.
</t>
  </si>
  <si>
    <t>Kualitas kode program, akurasi model, dan sistematika laporan</t>
  </si>
  <si>
    <t>Mahasiswa mampu mengevaluasi memahami konsep dasar pembelajaran mesin dan konsep data sesuai konteks Pembelajaran Mesin dan capaian CPMK706.</t>
  </si>
  <si>
    <t>CPMK707</t>
  </si>
  <si>
    <t xml:space="preserve">(7.7) Mahasiswa mampu memodelkan, mensimulasikan, dan menganalisis permasalahan menggunakan metode statistika komputasi dan pendekatan numerik
</t>
  </si>
  <si>
    <t xml:space="preserve">Mahasiswa mampu merancang memodelkan, mensimulasikan, dan menganalisis permasalahan menggunakan metode statistika komputasi dan pendekatan numerik sesuai konteks Statistik Komputasi dan capaian CPMK707.
</t>
  </si>
  <si>
    <t>kuis, tugas pemecahan masalah, studi kasus komputasional, UTS, dan UAS</t>
  </si>
  <si>
    <t>ketepatan model, prosedur perhitungan, validasi hasil, interpretasi, dan penerapan pada kasus komputasional</t>
  </si>
  <si>
    <t>CPMK708</t>
  </si>
  <si>
    <t xml:space="preserve">(7.8) Mampu menerapkan konsep struktur data dalam perancangan dan implementasi algoritma untuk menghasilkan solusi komputasi yang efisien
</t>
  </si>
  <si>
    <t>Mahasiswa mampu mengimplementasikan struktur data linear dan mengintegrasikannya ke dalam algoritma untuk menyelesaikan permasalahan komputasi.</t>
  </si>
  <si>
    <t>CPMK801</t>
  </si>
  <si>
    <t xml:space="preserve">(8.1) Mampu menyusun dan mempresentasikan rencana proyek teknologi informasi yang komprehensif, mencakup estimasi, penjadwalan, alokasi sumber daya, dan manajemen risiko untuk diimplementasikan dalam sebuah proyek.
</t>
  </si>
  <si>
    <t xml:space="preserve">Mahasiswa mampu mengimplementasikan dan mempresentasikan rencana proyek teknologi informasi yang komprehensif, mencakup estimasi, penjadwalan, alokasi sumber daya, dan manajemen risiko untuk sesuai konteks Proyek Teknologi Terintegrasi dan capaian CPMK801.
</t>
  </si>
  <si>
    <t>Proyek Teknologi Terintregrasi</t>
  </si>
  <si>
    <t>Mahasiswa mampu mengimplementasikan dan mempresentasikan rencana proyek teknologi informasi yang komprehensif, mencakup estimasi, penjadwalan, alokasi sumber daya, dan manajemen risiko untuk sesuai konteks Proyek Teknologi Terintegrasi dan capaian CPMK801.</t>
  </si>
  <si>
    <t>Mahasiswa mampu mengimplementasikan dan mempresentasikan rencana proyek teknologi informasi yang komprehensif, mencakup estimasi, penjadwalan, alokasi sumber daya, dan manajemen risiko untuk sesuai konteks Manajemen Proyek dan capaian CPMK801.</t>
  </si>
  <si>
    <t>CPMK802</t>
  </si>
  <si>
    <t xml:space="preserve">(8.2) Mampu mengelola proses rekayasa perangkat lunak dan desain antarmuka (UI/UX) dalam siklus hidup proyek, termasuk penerapan metodologi pengembangan dan prinsip penjaminan mutu (SQA) untuk menghasilkan produk yang berkualitas dan berpusat pada pengguna.
</t>
  </si>
  <si>
    <t xml:space="preserve">Mahasiswa mampu mengevaluasi mengelola proses rekayasa perangkat lunak dan desain antarmuka (UI/UX) dalam siklus hidup proyek, termasuk penerapan metodologi pengembangan dan prinsip penjaminan sesuai konteks Proyek Teknologi Terintegrasi dan capaian CPMK802.
</t>
  </si>
  <si>
    <t>Mahasiswa mampu mengevaluasi mengelola proses rekayasa perangkat lunak dan desain antarmuka (UI/UX) dalam siklus hidup proyek, termasuk penerapan metodologi pengembangan dan prinsip penjaminan sesuai konteks Proyek Teknologi Terintegrasi dan capaian CPMK802.</t>
  </si>
  <si>
    <t xml:space="preserve">Mahasiswa mampu menganalisis kebutuhan dan permasalahan pengguna melalui teknik user research sederhana (persona, user journey, skenario penggunaan).
</t>
  </si>
  <si>
    <t xml:space="preserve">Mahasiswa mampu merancang struktur dan alur antarmuka (information architecture &amp; user flow) yang sesuai dengan kebutuhan dan tujuan pengguna.
</t>
  </si>
  <si>
    <t>Mampu menjelaskan prinsip dasar manajemen proses RPL dan menguraikan tahapan siklus hidup (SDLC) dalam proyek.</t>
  </si>
  <si>
    <t>Ketepatan dalam mengidentifikasi masalah pada studi kasus dan frekuensi/kualitas argumen yang disampaikan saat diskusi kelas</t>
  </si>
  <si>
    <t xml:space="preserve">Mampu menerapkan metodologi pengembangan preskriptif yang tepat (Prototyping/Spiral/RUP) sesuai karakteristik masalah.
</t>
  </si>
  <si>
    <t>Analisis &amp; Komunikasi:
Logika argumen pemilihan model yang sesuai karakteristik kasus</t>
  </si>
  <si>
    <t>Mampu mengelola proses pengembangan menggunakan metodologi Agile (Scrum) untuk adaptasi perubahan yang cepat.</t>
  </si>
  <si>
    <t>Kepatuhan menjalankan peran (Scrum Master/PO) sesuai prosedur Agile Ceremony.</t>
  </si>
  <si>
    <t>Menerapkan manajemen alur kerja visual (Visual Management) dalam tim.</t>
  </si>
  <si>
    <t>Ketepatan pemilihan metodologi pengembangan, ketepatan penyusunan jadwal dan pengelolaan sumber daya proyek, serta ketepatan penerapan standar penjaminan mutu (SQA) dalam setiap tahapan siklus hidup pengembangan perangkat lunak</t>
  </si>
  <si>
    <t>Mampu menerapkan prinsip penjaminan mutu (SQA) melalui pengujian perangkat lunak (Testing).</t>
  </si>
  <si>
    <t xml:space="preserve">
Kelengkapan kolom status dan kejelasan deskripsi task pada Board.</t>
  </si>
  <si>
    <t xml:space="preserve">Mampu mengelola siklus hidup pasca-rilis melalui pemeliharaan (Maintenance) dan evolusi sistem.
</t>
  </si>
  <si>
    <t>Ketepatan jawaban teori dan analisis studi kasus tertulis.</t>
  </si>
  <si>
    <t>Mahasiswa mampu menganalisis dan menerapkan rekayasa perangkat lunak, UI/UX, dan SQA dalam siklus hidup proyek sesuai konteks Rekayasa Perangkat Lunak dan capaian CPMK802.</t>
  </si>
  <si>
    <t>Mampu menerapkan metodologi pengembangan perangkat lunak dalam pengelolaan siklus hidup proyek secara sistematis.</t>
  </si>
  <si>
    <t xml:space="preserve">Mampu merancang dan mengevaluasi desain antarmuka (UI/UX) dengan menerapkan prinsip penjaminan mutu (SQA) untuk menghasilkan produk yang berkualitas dan berpusat pada pengguna.
</t>
  </si>
  <si>
    <t>Mahasiswa mampu mengevaluasi mengelola proses rekayasa perangkat lunak dan desain antarmuka (UI/UX) dalam siklus hidup proyek, termasuk penerapan metodologi pengembangan dan prinsip penjaminan sesuai konteks Penjaminan Mutu Perangkat Lunak dan capaian CPMK802.</t>
  </si>
  <si>
    <t>CPMK803</t>
  </si>
  <si>
    <t xml:space="preserve">(8.3) Mampu melaksanakan, memonitor, dan mengendalikan jalannya proyek menggunakan alat bantu (tools) manajemen, serta mengelola dinamika tim untuk mencapai tujuan proyek secara efisien.
</t>
  </si>
  <si>
    <t xml:space="preserve">Mahasiswa mampu menganalisis dan menerapkan melaksanakan, memonitor, dan mengendalikan jalannya proyek menggunakan alat bantu (tools) manajemen, serta mengelola dinamika tim untuk mencapai tujuan proyek sesuai konteks Proyek Teknologi Terintegrasi dan capaian CPMK803.
</t>
  </si>
  <si>
    <t>Mahasiswa mampu menganalisis dan menerapkan melaksanakan, memonitor, dan mengendalikan jalannya proyek menggunakan alat bantu (tools) manajemen, serta mengelola dinamika tim untuk mencapai tujuan proyek sesuai konteks Proyek Teknologi Terintegrasi dan capaian CPMK803.</t>
  </si>
  <si>
    <t>Mahasiswa mampu menganalisis dan menerapkan melaksanakan, memonitor, dan mengendalikan jalannya proyek menggunakan alat bantu (tools) manajemen, serta mengelola dinamika tim untuk mencapai tujuan proyek sesuai konteks Manajemen Proyek dan capaian CPMK803.</t>
  </si>
  <si>
    <t>Mampu menggunakan alat bantu (tools) manajemen proyek untuk melaksanakan, memonitor, dan mengendalikan aktivitas proyek.</t>
  </si>
  <si>
    <t>Unjuk Kerja (Presentasi), Tes Tulis (UAS), Quiz</t>
  </si>
  <si>
    <t xml:space="preserve">Mampu menggunakan alat bantu (tools) manajemen proyek untuk melaksanakan, memonitor, dan mengendalikan aktivitas proyek.
</t>
  </si>
  <si>
    <t>CPMK804</t>
  </si>
  <si>
    <t>(8.4) Mampu mendemonstrasikan pengelolaan proyek secara utuh dalam konteks proyek penelitian mandiri atau lingkungan kerja industri, dengan menerapkan seluruh prinsip manajemen, rekayasa, dan optimalisasi sumber daya.</t>
  </si>
  <si>
    <t xml:space="preserve">Mahasiswa mampu menganalisis dan menerapkan mendemonstrasikan pengelolaan proyek secara utuh dalam konteks proyek penelitian mandiri atau lingkungan kerja industri, dengan menerapkan seluruh prinsip sesuai konteks Skripsi dan capaian CPMK804.
</t>
  </si>
  <si>
    <t>Mahasiswa mampu menganalisis dan menerapkan mendemonstrasikan pengelolaan proyek secara utuh dalam konteks proyek penelitian mandiri atau lingkungan kerja industri, dengan menerapkan seluruh prinsip sesuai konteks Proyek Teknologi Terintegrasi dan capaian CPMK804.</t>
  </si>
  <si>
    <t>CPMK901</t>
  </si>
  <si>
    <t xml:space="preserve">(9.1) Mahasiswa mampu menjelaskan dan menganalisis cara kerja sistem komputer beserta komponen utamanya.
</t>
  </si>
  <si>
    <t>Mahasiswa mampu menganalisis dan menganalisis cara kerja sistem komputer beserta komponen utamanya sesuai konteks Sistem Operasi dan capaian CPMK901.</t>
  </si>
  <si>
    <t>Mahasiswa mampu menjelaskan dan menganalisis cara kerja sistem komputer secara konseptual, mencakup komponen utama sistem, representasi data, aljabar Boolean, serta alur pemrosesan informasi menggunakan flowchart.</t>
  </si>
  <si>
    <t>Mahasiswa mampu menganalisis dan menganalisis cara kerja sistem komputer beserta komponen utamanya sesuai konteks Jaringan Komputer dan capaian CPMK901.</t>
  </si>
  <si>
    <t>Mahasiswa mampu mengimplementasikan dan menganalisis cara kerja sistem komputer beserta komponen utamanya sesuai konteks Praktikum Jaringan Komputer dan capaian CPMK901.</t>
  </si>
  <si>
    <t>CPMK902</t>
  </si>
  <si>
    <t xml:space="preserve">(9.2) Mahasiswa mampu menguasai prinsip matematika, ilmu alam dan struktur diskrit serta menerapkan pendekatan komputasional sebagai dasar analisis terhadap permasalahan.
</t>
  </si>
  <si>
    <t>Mahasiswa mampu menganalisis menguasai prinsip matematika, ilmu alam dan struktur diskrit serta menerapkan pendekatan komputasional sebagai dasar analisis terhadap permasalahan sesuai konteks Statistik Komputasi dan capaian CPMK902.</t>
  </si>
  <si>
    <t>Mahasiswa mampu menjelaskan dan memodelkan konsep dasar matematika diskrit (logika, himpunan, graf) untuk representasi data.</t>
  </si>
  <si>
    <t>Quiz, Tes Tulis (UAS), Tes Tulis (UTS)</t>
  </si>
  <si>
    <t>Pemahaman konsep, ketepatan perhitungan, kemampuan penalaran dan pemecahan masalah, penerapan matematika dasar secara kontekstual, serta kerapian dan ketelitian penyelesaian.</t>
  </si>
  <si>
    <t xml:space="preserve">Mahasiswa mampu menerapkan algoritma komputasional berbasis struktur diskrit dalam menyelesaikan perhitungan sistematis.
</t>
  </si>
  <si>
    <t xml:space="preserve">Mahasiswa mampu menganalisis masalah nyata menggunakan pendekatan komputasi untuk menghasilkan solusi yang optimal.
</t>
  </si>
  <si>
    <t>Mahasiswa mampu menerapkan konsep diskrit, logika, himpunan, dan fungsi matematika dasar dalam sistem informasi. Mahasiswa mampu mengidentifikasi, menganalisis fakta dan opini, serta menyusun solusi sistematis terhadap masalah teknis.</t>
  </si>
  <si>
    <t>Tes Tulis (UTS), Tes Tulis (UAS), Quiz</t>
  </si>
  <si>
    <t xml:space="preserve">Mahasiswa mampu menyelesaikan sistem persamaan linier menggunakan metode eliminasi dan representasi matriks, serta memvalidasi hasil secara komputasional.
</t>
  </si>
  <si>
    <t>- Tugas (25%)
- Kuis 1 (100%)
- UTS (40%)
- UAS (20%)</t>
  </si>
  <si>
    <t>- Dapat menyusun augmented matriks dari SPL
- Dapat melakukan proses eliminasi dengan menggunakan REF dan RREF
- Dapat menyelesaikan permasalahan SPL dengan metode Gauss/Gauss-Jordan</t>
  </si>
  <si>
    <t xml:space="preserve">Mahasiswa mampu menerapkan operasi matriks (invers, transpose, determinan) untuk menyelesaikan permasalahan.
</t>
  </si>
  <si>
    <t>- Tugas (50%)
- UTS (60%)
- Kuis 2 (20%)
- UAS (50%)</t>
  </si>
  <si>
    <t>- Dapat melakukan operasi matriks
- Dapat melakukan inversi matriks dengan determinan dasar
- Dapat mencari determinan dengan menggunakan aturan Sarrus dan Cramer
- Dapat menerapkan aturan Sarrus / Crammer pada permasalahan SPL</t>
  </si>
  <si>
    <t xml:space="preserve">Mahasiswa mampu menerapkan konsep vektor dan ruang vektor untuk interpretasi geometri dan komputasi dasar pada konteks informatika.
</t>
  </si>
  <si>
    <t>- Tugas (25%)
- Kuis 2 (80%)
- UAS (25%)</t>
  </si>
  <si>
    <t>- Dapat melakukan operasi dot dan produk pada vektor
- Dapat melakukan perhitungan proyeksi ortogonal
- Dapat melakukan perhitungan eigenvalue dan eigenvektor
- Dapat menggunakan konsep ortogonal, eigenvalue, dan eigenvektor dalam penyelesaian masalah nyata</t>
  </si>
  <si>
    <t>Mahasiswa mampu membedakan metode analitik dan metode numerik, menjelaskan konsep galat (error) sebagai dasar analisis akurasi, serta menerapkan pendekatan komputasional untuk menyelesaikan masalah numerik sederhana secara logis dan sistematis.</t>
  </si>
  <si>
    <t xml:space="preserve">Kemampuan membedakan metode analitik dan numerik (30%)
Ketepatan menerapkan konsep umum metode numerik dan galat (30%)
</t>
  </si>
  <si>
    <t>CPMK903</t>
  </si>
  <si>
    <t xml:space="preserve">(9.3) Mahasiswa mampu menjelaskan prinsip logika komputasi, teknik dasar pemrograman dan algoritma untuk menganalisis dan menyelesaikan permasalahan.
</t>
  </si>
  <si>
    <t>Mahasiswa mampu menganalisis permasalahan komputasi pada struktur data berbasis array of object, serta menjelaskan dan membandingkan pendekatan algoritmik yang digunakan untuk pengolahan dan pencarian data.</t>
  </si>
  <si>
    <t>Tes Tulis (UTS), Quiz, Observasi (Praktik/ Tugas)</t>
  </si>
  <si>
    <t>Ketepatan menjelaskan permasalahan komputasi berbasis array of object, Mampu membandingkan pendekatan algoritmik untuk pengolahan dan pencarian data</t>
  </si>
  <si>
    <t>Mahasiswa mampu mengimplementasikan memahami fase pelaksanaan proyek dan penerapan knowledge area dalam pengembangan perangkat lunak sesuai dengan PMBOK (Project Management Body of Knowledge) sesuai konteks Manajemen Proyek dan capaian CPMK903.</t>
  </si>
  <si>
    <t>Mahasiswa mampu menerapkan teknik dasar pemrograman dan algoritma untuk menyelesaikan permasalahan komputasi menggunakan array of object.</t>
  </si>
  <si>
    <t>Kebenaran implementasi program (berjalan sesuai spesifikasi), penggunaan algoritma sesuai dengan kasus</t>
  </si>
  <si>
    <t>Mahasiswa mampu menjelaskan konsep algoritma, variabel, konstanta, tipe data, serta mengevaluasi ekspresi logika/aritmatika dalam memecahkan masalah sederhana.</t>
  </si>
  <si>
    <t xml:space="preserve">Mahasiswa mampu merancang alur logika penyelesaian masalah menggunakan instrumen Flowchart dan Pseudocode dengan menerapkan prinsip urutan (sequence).
</t>
  </si>
  <si>
    <t xml:space="preserve">Mahasiswa mampu mengoperasikan perangkat lunak pemrograman (IDE) dan menyusun kode program sederhana menggunakan tipe data, variabel, dan ekspresi yang tepat.
</t>
  </si>
  <si>
    <t xml:space="preserve">Mahasiswa mampu mengimplementasikan rancangan flowchart dan pseudocode ke dalam sintaks bahasa pemrograman menggunakan prinsip urutan (sequence).
</t>
  </si>
  <si>
    <t>CPMK904</t>
  </si>
  <si>
    <t xml:space="preserve">(9.4) Mahasiswa mampu menguraikan prinsip kerja sistem paralel–terdistribusi yang dimanfaatkan untuk pemrosesan data skala besar.
</t>
  </si>
  <si>
    <t>Mahasiswa mampu menguraikan prinsip kerja sistem paralel–terdistribusi yang dimanfaatkan untuk pemrosesan data skala besar sesuai konteks Big Data dan capaian CPMK904.</t>
  </si>
  <si>
    <t xml:space="preserve">Mahasiswa mampu menganalisis dan menerapkan sistem paralel-terdistribusi untuk pemrosesan data skala besar sesuai konteks Big Data dan capaian CPMK904.
</t>
  </si>
  <si>
    <t>CPMK905</t>
  </si>
  <si>
    <t xml:space="preserve">(9.5) Mahasiswa mampu menjelaskan konsep virtualisasi dan layanan komputasi awan, serta menerapkan teknik dasar penyediaan dan pengelolaan layanan cloud sesuai kebutuhan sistem komputasi.
</t>
  </si>
  <si>
    <t xml:space="preserve">Mampu menjelaskan konsep virtualisasi dan karakteristik layanan cloud (IaaS, PaaS, SaaS) serta melakukan teknik dasar penyediaan (provisioning) instance.
</t>
  </si>
  <si>
    <t>Ketepatan dalam menguraikan perbedaan fundamental antara infrastruktur fisik dan virtualisasi serta mengidentifikasi karakteristik utama cloud computing.
Kemampuan menganalisis dan mengklasifikasikan kebutuhan bisnis ke dalam model layanan (IaaS, PaaS, SaaS) serta menentukan batasan tanggung jawab dalam Shared Responsibility Model.
Keberhasilan dalam melakukan provisioning instance, ketepatan konfigurasi akses keamanan (SSH Key), dan kemampuan melakukan langkah-langkah security hardening pada OS.</t>
  </si>
  <si>
    <t>CPMK10.1</t>
  </si>
  <si>
    <t xml:space="preserve">(10.1) Mampu menganalisis permasalahan pengelolaan data dan informasi yang bersifat kompleks dengan wawasan multidisiplin untuk merancang serta mengimplementasikan solusi berbasis basis data yang sesuai dengan kebutuhan organisasi atau bisnis.
</t>
  </si>
  <si>
    <t>Mampu mengimplementasikan skema basis data dan menyusun query SQL untuk mendefinisikan, memanipulasi, dan menampilkan data sesuai dengan studi kasus.</t>
  </si>
  <si>
    <t>Observasi (Praktik/ Tugas), Quiz, Unjuk Kerja (Presentasi), Tes Tulis (UAS)</t>
  </si>
  <si>
    <t>Ketepatan perintah SQL-DDL untuk mengubah, menghapus basis data, tabel, dan relasi sesuai studi kasus yang diberikan; Ketepatan perintah SQL-DML untuk menambah, menghapus, dan mengubah data pada  basis data, sesuai studi kasus yang diberikan; Ketepatan perintah SQL-DQL untuk menampilkan kembali data yang tersimpan dalam basis data sesuai studi kasus yang diberikan; Ketepatan perintah SELECT untuk menampilkan data pada multi table pada basis data sesuai studi kasus yang diberikan</t>
  </si>
  <si>
    <t>Mampu menganalisis kebutuhan data, merancang skema basis data, dan menyusun query SQL secara efisien untuk mengelola basis data sesuai dengan studi kasus.</t>
  </si>
  <si>
    <t>Observasi (Praktik/ Tugas), Tes Lisan (Tugas Kelompok), Quiz, Unjuk Kerja (Presentasi)</t>
  </si>
  <si>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</si>
  <si>
    <t xml:space="preserve">Mampu mengimplementasikan perancangan skema basis data dan implementasi melalui query SQL sesuai dengan studi kasus.
</t>
  </si>
  <si>
    <t>Observasi (Praktik/ Tugas), Quiz, Tes Tulis (UAS), Tes Lisan (Tugas Kelompok)</t>
  </si>
  <si>
    <t>Mahasiswa mampu mengimplementasikan permasalahan pengelolaan data dan informasi yang bersifat kompleks dengan wawasan multidisiplin untuk merancang serta mengimplementasikan solusi sesuai konteks Sistem Informasi Manajemen dan capaian CPMK1001.</t>
  </si>
  <si>
    <t xml:space="preserve">Mahasiswa mampu menganalisis, mengoptimalkan, memigrasikan, mencadangkan, memulihkan, serta mengintegrasikan basis data dengan aplikasi untuk menjaga efisiensi, integritas, dan ketersediaan data dalam konteks organisasi atau bisnis.
</t>
  </si>
  <si>
    <t>Observasi (Praktik/ Tugas), Unjuk Kerja (Presentasi), Tes Tulis (UAS), Tes Lisan (Tugas Kelompok)</t>
  </si>
  <si>
    <t>Ketepatan Analisis Permasalahan dan Konteks Organisasi (30%), Kualitas Solusi Basis Data yang Diusulkan (50%), Keterpaduan Argumen dan Kejelasan Penyajian (20%)</t>
  </si>
  <si>
    <t>CPMK10.2</t>
  </si>
  <si>
    <t xml:space="preserve">(10.2) Mampu merancang, menerapkan, dan mengevaluasi mekanisme keamanan jaringan untuk melindungi data, layanan, dan sumber daya jaringan dengan mempertimbangkan aspek teknis, operasional, dan kebijakan organisasi.
</t>
  </si>
  <si>
    <t xml:space="preserve">Mampu merancang dan mengevaluasi mekanisme perlindungan data serta sumber daya menggunakan monitoring dan logging.
</t>
  </si>
  <si>
    <t>Ketepatan penggunaan alat monitoring, pemahaman fungsi SIEM, dan rencana Backup/Recovery.</t>
  </si>
  <si>
    <t>CPMK10.3</t>
  </si>
  <si>
    <t xml:space="preserve">(10.3) Mampu menganalisis permasalahan kompleks pada infrastruktur dan layanan jaringan komputer untuk merancang, mengonfigurasi, dan mengelola solusi jaringan on-premise dan cloud yang andal, aman, dan scalable sesuai kebutuhan organisasi.
</t>
  </si>
  <si>
    <t xml:space="preserve">Mampu menganalisis permasalahan kompleks dan mengelola solusi optimasi jaringan yang aman dan scalable.
</t>
  </si>
  <si>
    <t>Ketepatan mengidentifikasi bottleneck dan melakukan pengaturan kinerja (QoS/Traffic Shaping).</t>
  </si>
  <si>
    <t>Mampu merancang, mengonfigurasi, dan mengelola solusi jaringan kompleks serta High Availability (HA) pada lingkungan on-premise maupun cloud.</t>
  </si>
  <si>
    <t>Kemampuan merancang arsitektur jaringan virtual yang fungsional, mencakup ketepatan konfigurasi subnet, tabel rute, dan efektivitas aturan firewall dalam mengamankan trafik.
Kemampuan merancang mekanisme redundansi sistem, keberhasilan simulasi failover yang minim downtime, serta ketajaman analisis efisiensi penggunaan sumber daya/energi.</t>
  </si>
  <si>
    <t>CPMK10.4</t>
  </si>
  <si>
    <t xml:space="preserve">(10.4) Mampu menganalisis permasalahan kompleks berbasis data dan visual untuk merancang serta menerapkan teknik visualisasi dan representasi grafis yang efektif dalam mendukung pemahaman, analisis, dan pengambilan keputusan.
</t>
  </si>
  <si>
    <t>Mahasiswa mampu merancang permasalahan kompleks berbasis data dan visual untuk merancang serta menerapkan teknik visualisasi dan representasi grafis yang efektif dalam mendukung sesuai konteks Business Intelligence dan capaian CPMK1004.</t>
  </si>
  <si>
    <t xml:space="preserve">Mahasiswa mampu menganalisis karakteristik visual citra serta menerapkan teknik pengolahan citra dasar untuk meningkatkan kualitas dan representasi informasi visual.
</t>
  </si>
  <si>
    <t>Quiz, Observasi (Praktik/ Tugas), Tes Tulis (UTS)</t>
  </si>
  <si>
    <t>Ketepanan mengidentifikasi metode perbaikan citra sesuai dengan kebutuhan permasalahan, Dampak teknik yang dihgunakan terhadap kualitas citra dijelaskan dengan tepat, Alasan pemilihan teknik disampaikan secara logis</t>
  </si>
  <si>
    <t>CPMK10.5</t>
  </si>
  <si>
    <t xml:space="preserve">(10.5) Mampu mengembangkan dan mengevaluasi solusi sistem cerdas berdasarkan aspek kinerja, keandalan, interpretabilitas, dan kesesuaian solusi terhadap kebutuhan domain aplikasi.
</t>
  </si>
  <si>
    <t xml:space="preserve">Mahasiswa mampu menerapkan metode pemrosesan citra lanjutan untuk melakukan analisis, segmentasi, dan ekstraksi informasi dari citra digital.
</t>
  </si>
  <si>
    <t>Karakteristik dan pola visual citra dianalisis dengan tepat, Objek pada citra tersegmentasi dengan baik dan konsisten, Fitur yang diekstraksi relevan dengan tujuan analisis</t>
  </si>
  <si>
    <t>Mahasiswa mampu mengevaluasi kinerja, keandalan, dan kesesuaian solusi sistem cerdas pada kasus yang memerlukan sistem pendukung keputusan.</t>
  </si>
  <si>
    <t>Quiz, Observasi (Praktik/ Tugas), Unjuk Kerja (Presentasi), Tes Tulis (UTS), Tes Lisan (Tugas Kelompok)</t>
  </si>
  <si>
    <t>Mampu mengembangkan dan mengevaluasi solusi sistem cerdas terapan pada berbagai domain aplikasi nyata dengan mempertimbangkan aspek reliabilitas, interpretabilitas, dan kebutuhan stakeholder.</t>
  </si>
  <si>
    <t>Presentasi Proyek, Dokumentasi, UAS</t>
  </si>
  <si>
    <t>Kemampuan komunikasi, fungsionalitas produk, dan kesesuaian solusi terhadap domain</t>
  </si>
  <si>
    <t>Mahasiswa mampu mengevaluasi mengembangkan dan mengevaluasi solusi sistem cerdas berdasarkan aspek kinerja, keandalan, interpretabilitas, dan kesesuaian solusi terhadap kebutuhan domain aplikasi sesuai konteks Pembelajaran Mesin dan capaian CPMK1005.</t>
  </si>
  <si>
    <t>CPMK10.6</t>
  </si>
  <si>
    <t xml:space="preserve">(10.6) Mampu mengevaluasi dan mengembangkan aplikasi berbasis web dan mobile dengan mempertimbangkan aspek arsitektur, performa, integrasi layanan, dan pengalaman pengguna.
</t>
  </si>
  <si>
    <t>Mahasiswa mampu mengevaluasi menggunakan metode pengembangan aplikasi berbasis website sebagai sebuah solusi pemecahan masalah sesuai konteks Pemrograman Web Lanjut dan capaian CPMK10.6.</t>
  </si>
  <si>
    <t>Observasi (Praktik/ Tugas), Unjuk Kerja (Presentasi), Quiz, Partisipasi</t>
  </si>
  <si>
    <t>kemampuan menganalisis kasus, kemampuan menjelaskan proses bisnis, kemampuan pemrogaman</t>
  </si>
  <si>
    <t>Mahasiswa mampu mengevaluasi konsep pemrograman pada perangkat mobile sesuai konteks Pemrograman Mobile dan capaian CPMK10.6.</t>
  </si>
  <si>
    <t>Observasi (Praktik/ Tugas), Unjuk Kerja (Presentasi), Tes Lisan (Tugas Kelompok)</t>
  </si>
  <si>
    <t>CPMK10.7</t>
  </si>
  <si>
    <t xml:space="preserve">(10.7) Mampu menganalisis persoalan komputasi numerik yang kompleks dengan memanfaatkan konsep struktur diskrit (logika, relasi, fungsi, graf, dan matriks) untuk merumuskan dan memilih solusi numerik yang tepat.
</t>
  </si>
  <si>
    <t>Mahasiswa mampu memodelkan, memilih, dan menerapkan metode penyelesaian numerik yang tepat untuk sistem persamaan linear, persamaan non-linear, diferensiasi numerik, integrasi numerik, interpolasi, dan regresi, serta mengevaluasi hasilnya untuk menentukan solusi yang paling sesuai.</t>
  </si>
  <si>
    <t>Tes Tulis (UTS), Quiz, Tes Tulis (UAS), Observasi (Praktik/ Tugas)</t>
  </si>
  <si>
    <t>CPMK10.8</t>
  </si>
  <si>
    <t xml:space="preserve">(10.8) Mampu mengintegrasikan dan mengevaluasi hasil analisis dan desain sistem ke dalam pengembangan sistem dengan mempertimbangkan aspek teknis dan organisasi.
</t>
  </si>
  <si>
    <t xml:space="preserve">Mahasiswa mampu mengevaluasi mengintegrasikan dan mengevaluasi hasil analisis dan desain sistem ke dalam pengembangan sistem dengan mempertimbangkan aspek teknis dan organisasi sesuai konteks Skripsi dan capaian CPMK1008.
</t>
  </si>
  <si>
    <t>Mampu mengintegrasikan hasil analisis dan desain sistem ke dalam proses pengembangan sistem secara konsisten.</t>
  </si>
  <si>
    <t xml:space="preserve">Mampu mengevaluasi pengembangan sistem dengan mempertimbangkan aspek teknis dan organisasi.
</t>
  </si>
  <si>
    <t>CPMK10.9</t>
  </si>
  <si>
    <t xml:space="preserve">(10.9) Mampu mengkaji persoalan kompleks dan mengidentifikasi tahapan penyelesaian yang tepat berdasarkan kaidah ilmiah untuk menyelesaikan permasalahan pada bidang informatika.
</t>
  </si>
  <si>
    <t xml:space="preserve">Mahasiswa mampu mengkaji persoalan kompleks dan mengidentifikasi tahapan penyelesaian yang tepat berdasarkan kaidah ilmiah untuk menyelesaikan permasalahan pada bidang informatika sesuai konteks Skripsi dan capaian CPMK1009.
</t>
  </si>
  <si>
    <t>Mahasiswa mampu mengkaji persoalan kompleks dan mengidentifikasi tahapan penyelesaian yang tepat berdasarkan kaidah ilmiah untuk menyelesaikan permasalahan pada bidang informatika sesuai konteks Metodologi Penelitian dan capaian CPMK1009.</t>
  </si>
  <si>
    <t>Jadwal Asesmen Capaian Pembelajaran Program</t>
  </si>
  <si>
    <t>Mampu menunjukkan profesionalisme melalui penerapan etika profesi TI, keselamatan kerja, kewirausahaan bertanggung jawab, rekayasa perangkat lunak ramah lingkungan, dan disiplin dalam penelitian maupun penerapan aplikasi teknologi</t>
  </si>
  <si>
    <t>Mahasiswa mampu mengimplementasikan teori, konsep, dan prinsip ilmu keselamatan dan kesehatan kerja dalam rangka menerapkan derajat kesehatan pada para pekerja.</t>
  </si>
  <si>
    <t>X
X</t>
  </si>
  <si>
    <t>Setiap pertemuan kuliah</t>
  </si>
  <si>
    <t>X</t>
  </si>
  <si>
    <t>Setiap Pertemuan Kuliah</t>
  </si>
  <si>
    <t>setiap pertemuan magang</t>
  </si>
  <si>
    <t>Mahasiswa mengetahui perundang-undangan yang menjadi dasar semua kebijakan yang berhubungan dengan keselamatan dan kesehatan kerja.</t>
  </si>
  <si>
    <t>Mahasiswa mengerti lingkup kesehatan, lingkungan, keselamatan, asuransi dan organisasi kerja yang menjadi bagian dari sebuah sistem tenaga kerja.</t>
  </si>
  <si>
    <t>Mahasiswa mampu menunjukkan profesionalisme melalui penerapan etika profesi TI, keselamatan kerja, kewirausahaan bertanggung jawab, rekayasa perangkat lunak ramah lingkungan, dan sesuai konteks Kewirausahaan Berbasis Teknologi dan capaian CPMK101.</t>
  </si>
  <si>
    <t>Mampu menginternalisasi nilai ketakwaan kepada Tuhan YME, Pancasila, kewarganegaraan, dan menunjukkan pembelajaran sepanjang hayat melalui disiplin diri, tanggung jawab sosial, dan adaptasi karir profesional</t>
  </si>
  <si>
    <t>Mahasiswa mampu menganalisis hakikat penciptaan manusia melalui pemahaman konsep agama dan Tauhid untuk membentuk karakter yang jujur, disiplin, dan bertakwa dalam interaksi akademik maupun sosial.</t>
  </si>
  <si>
    <t>Mahasiswa mampu mengevaluasi persoalan lingkungan dan perkembangan ilmu pengetahuan melalui aktualisasi akhlak Islam sebagai bentuk tanggung jawab sosial dan pengambilan keputusan etis di lingkungan kampus.</t>
  </si>
  <si>
    <t>Mahasiswa mampu memproyeksikan strategi adaptasi karir yang profesional dengan mengintegrasikan etos kerja dan prinsip ekonomi syariah di tengah dinamika masyarakat Islam sebagai wujud pembelajaran sepanjang hayat.</t>
  </si>
  <si>
    <t>- Pertemuan ke-4
- Tengah Semester
- Pertemuan ke-12
- Akhir semester</t>
  </si>
  <si>
    <t>Mahasiswa mampu menginternalisasi nilai ketakwaan kepada Tuhan YME, Pancasila, kewarganegaraan, dan menunjukkan pembelajaran sepanjang hayat melalui disiplin diri, tanggung jawab sesuai konteks Komunikasi Dan Etika Profesi dan capaian CPMK102.</t>
  </si>
  <si>
    <t>HAM</t>
  </si>
  <si>
    <t>Mahasiswa mampu menginternalisasi nilai ketakwaan kepada Tuhan YME, Pancasila, kewarganegaraan, dan menunjukkan pembelajaran sepanjang hayat melalui disiplin diri, tanggung jawab sesuai konteks Magang dan capaian CPMK102.</t>
  </si>
  <si>
    <t>15%: kasus HAM, korupsi, dan</t>
  </si>
  <si>
    <t>Mampu merancang dan mendokumentasikan rencana manajemen proyek pengembangan aplikasi multi-platform dengan menerapkan metodologi pengembangan perangkat lunak yang tepat</t>
  </si>
  <si>
    <t>pembangunan</t>
  </si>
  <si>
    <t>Mampu menerapkan prinsip dan metode User Experience (UX) Design untuk merancang prototipe antarmuka aplikasi multi-platform yang interaktif</t>
  </si>
  <si>
    <t>Mahasiswa mampu membuat wireframe dan prototipe antarmuka menggunakan tools desain UI secara sistematis dan konsisten.</t>
  </si>
  <si>
    <t>Mahasiswa mampu menerapkan prinsip usability, accessibility, dan desain visual dalam perancangan antarmuka pengguna.</t>
  </si>
  <si>
    <t>Mampu merancang skema dan arsitektur manajemen data yang efektif dan terstruktur untuk mendukung solusi aplikasi multi-platform dengan mempertimbangkan integritas data, kebutuhan informasi stakeholder, serta efisiensi dalam operasi query dan skalabilitas sistem</t>
  </si>
  <si>
    <t>Mampu mengimplementasikan perancangan model dan skema basis data konseptual dan logikal melalui kegiatan praktikum dengan memperhatikan integritas data dan prinsip normalisasi.</t>
  </si>
  <si>
    <t>Mampu menganalisis kebutuhan komputasi dari sebuah solusi IoT multi-platform dan arsitektur terdistribusi</t>
  </si>
  <si>
    <t>Mampu menerapkan prinsip dan pola desain perangkat lunak untuk membuat blueprint arsitektural dan komponen solusi aplikasi multi-platform yang modular, dapat dipelihara (maintainable), dan dapat diperluas (scalable)</t>
  </si>
  <si>
    <t>Mampu merealisasikan blueprint menjadi komponen aplikasi yang modular, maintainable, dan sesuai standar kode.</t>
  </si>
  <si>
    <t>Mampu menganalisis karakteristik dan kebutuhan sumber daya dari aplikasi multi-platform, lalu merancang strategi manajemen sumber daya sistem (seperti memori, proses, I/O, dan jaringan) yang optimal dengan mempertimbangkan arsitektur dan mekanisme sistem operasi</t>
  </si>
  <si>
    <t xml:space="preserve">Mampu menerapkan solusi teknologi komputasi dan infrastruktur digital dengan mempertimbangkan berbagai teknik/pendekatan yang sesuai dengan kebutuhan.
</t>
  </si>
  <si>
    <t>Mampu menganalisis kompleksitas permasalahan komputasi kemudian memilih dan merancang struktur data serta algoritma yang optimal</t>
  </si>
  <si>
    <t>Mampu menganalisis kebutuhan komputasi dari solusi aplikasi multi-platform dan memilih arsitektur computing system yang sesuai dengan mempertimbangkan interaksi antara hardware, sistem operasi, dan aplikasi</t>
  </si>
  <si>
    <t>Mahasiswa mampu merancang struktur dan komponen perangkat lunak berorientasi objek menggunakan class diagram dan advanced class diagram UML sebagai blueprint desain yang modular, maintainable, dan scalable.</t>
  </si>
  <si>
    <t>Mahasiswa mampu menganalisis kebutuhan sistem dan alur proses aplikasi melalui use case, activity diagram, dan deployment diagram untuk menggambarkan keterkaitan proses bisnis, sistem, dan lingkungan eksekusi.</t>
  </si>
  <si>
    <t>Mampu memilih dan menerapkan arsitektur serta teknologi pengembangan berbasis platform yang tepat untuk mengimplementasikan solusi aplikasi multi-platform, dengan mempertimbangkan karakteristik teknis, pola desain, dan framework spesifik platform guna memenuhi kebutuhan fungsional, skalabilitas, dan pengalaman pengguna</t>
  </si>
  <si>
    <t>Mampu menerapkan prinsip fundamental rekayasa perangkat lunak dan paradigma berorientasi objek dalam merancang spesifikasi teknis dan blueprint arsitektural untuk solusi aplikasi multi-platform yang memenuhi kebutuhan</t>
  </si>
  <si>
    <t>Mampu menerapkan metodologi analisis dan desain sistem secara terstruktur untuk mentransformasi kebutuhan stakeholder menjadi spesifikasi teknis yang komprehensif bagi pengembangan aplikasi multi-platform, dengan menghasilkan artefak desain yang mencakup aspek fungsional, non-fungsional, dan arsitektural yang dapat diimplementasikan</t>
  </si>
  <si>
    <t>Mampu mentransformasi kebutuhan menjadi desain teknis menggunakan pemodelan sistem (UML/Diagram).</t>
  </si>
  <si>
    <t>Mampu merancang, mengimplementasikan,  menguji, melakukan deployment, dan memelihara, serta menjamin mutu perangkat lunak yang menjawab permasalahan dan memenuhi kebutuhan stakeholder</t>
  </si>
  <si>
    <t>Mahasiswa mampu mengimplementasikan metodologi analisis dan desain sistem secara terstruktur untuk mentransformasi kebutuhan stakeholder menjadi spesifikasi teknis yang komprehensif bagi sesuai konteks Skripsi dan capaian CPMK211.</t>
  </si>
  <si>
    <t>Mampu mengelola diri dan bekerja sama secara profesional dengan menerapkan etika profesi, komunikasi efektif lisan dan tertulis, serta mempresentasikan ide dan hasil kerja secara bertanggung jawab dalam konteks akademik dan praktik profesional.</t>
  </si>
  <si>
    <t>Mampu mengelola tim dan proyek secara efektif melalui perencanaan, koordinasi, komunikasi, dan presentasi hasil proyek dengan menerapkan prinsip-prinsip manajemen proyek untuk menyelesaikan permasalahan nyata.</t>
  </si>
  <si>
    <t>Mampu mengembangkan diri secara berkelanjutan melalui komunikasi lisan dan tertulis yang efektif dalam konteks akademik dan profesional, presentasi diri dan ide secara percaya diri, serta pengelolaan karir dan kinerja di lingkungan kerja nyata.</t>
  </si>
  <si>
    <t>Mahasiswa mampu berkomunikasi secara mandiri dengan menggunakan bahasa Inggris secara lisan dan tulisan dalam konteks Teknik Informatika.</t>
  </si>
  <si>
    <t>Mahasiswa mampu menyusun rencana pengembangan karir sesuai dengan kebutuhan industri, secara lisan dan tertulis.</t>
  </si>
  <si>
    <t>Mahasiswa mampu mempresentasikan potensi diri secara akademik dan profesional dalam konteks dunia kerja.</t>
  </si>
  <si>
    <t>Mampu menganalisis permasalahan kompleks dan menyusun solusi rasional berbasis data dalam bentuk deskripsi ilmiah yang terstruktur.</t>
  </si>
  <si>
    <t>Mahasiswa mampu menganalisis argumen dan permasalahan secara kritis melalui identifikasi fakta, klaim, bias, kesalahan penalaran, serta penerapan berbagai bentuk penalaran logis dan statistik.</t>
  </si>
  <si>
    <t>Mahasiswa mampu menyusun dan mengevaluasi solusi permasalahan secara ilmiah dengan mengintegrasikan data, argumen logis, dan kreativitas terstruktur dalam bentuk proposal dan presentasi.</t>
  </si>
  <si>
    <t>Mampu merencanakan dan mengorganisasi dokumentasi proyek teknologi informasi secara sistematis dalam bentuk laporan teknis yang memenuhi kaidah ilmiah.</t>
  </si>
  <si>
    <t>Mampu merumuskan masalah penelitian, menentukan metode yang tepat, serta menyusun proposal dan deskripsi saintifik penelitian sebagai dasar penulisan skripsi atau artikel ilmiah.</t>
  </si>
  <si>
    <t>Mampu mengelola proyek teknologi informasi secara profesional dengan mengoptimalkan sumber daya yang tersedia</t>
  </si>
  <si>
    <t>Mampu melaksanakan penelitian sesuai metode ilmiah dan menyusun deskripsi saintifik hasil penelitian dalam bentuk skripsi, laporan tugas akhir, atau artikel ilmiah yang memenuhi standar akademik.</t>
  </si>
  <si>
    <t>Mampu merancang dan menerapkan kebijakan serta prosedur manajemen keamanan untuk infrastruktur jaringan dan layanan cloud dengan memilih pendekatan yang sesuai kebutuhan operasional.</t>
  </si>
  <si>
    <t>Mampu menyusun kebijakan manajemen akses dan prosedur keamanan operasional untuk infrastruktur dan cloud.</t>
  </si>
  <si>
    <t>Mampu mengidentifikasi, menganalisis, dan menerapkan prinsip serta teknik keamanan untuk menangani isu-isu kerentanan pada sistem operasi, jaringan, dan lingkungan cloud.</t>
  </si>
  <si>
    <t>Mahasiswa mampu menjelaskan dan memanfaatkan konsep arsitektur sistem komputasi serta organisasi perangkat keras dan perangkat lunak dalam memilih solusi teknologi informasi yang tepat untuk kebutuhan infrastruktur digital.</t>
  </si>
  <si>
    <t>Memiliki pemahaman yang memadai terkait cara kerja sistem komputer dan berbagai teknik/pendekatan berbasis komputasi untuk memecahkan masalah  stakeholder</t>
  </si>
  <si>
    <t>Mahasiswa mampu menganalisis analisis isu keamanan sistem operasi, jaringan, dan cloud sesuai konteks Sistem Operasi dan capaian CPMK502.</t>
  </si>
  <si>
    <t>Mampu mengidentifikasi serta menganalisis kerentanan sistem dan ancaman siber pada lingkungan jaringan dan cloud.</t>
  </si>
  <si>
    <t>Mampu mengidentifikasi dan menerapkan prinsip keamanan jaringan untuk menangani ancaman pada infrastruktur cloud.</t>
  </si>
  <si>
    <t>Memiliki kompetensi untuk menganalisis persoalan kompleks untuk mengidentifikasi solusi bidang informatika/ilmu komputer dengan mempertimbangkan wawasan ilmu multidisiplin</t>
  </si>
  <si>
    <t>Mampu mengonfigurasi fitur manajemen sumber daya dan layanan cloud (PaaS/SaaS) untuk mendukung kebutuhan sistem komputasi dan IoT.</t>
  </si>
  <si>
    <t>Mampu merancang dan mengonfigurasi solusi komputasi paralel dan terdistribusi yang mendukung kebutuhan pemrosesan IoT, Big Data, dan layanan berbasis cloud.</t>
  </si>
  <si>
    <t>Mahasiswa mampu menganalisis dan menerapkan solusi komputasi paralel-terdistribusi untuk IoT, big data, dan cloud sesuai konteks Big Data dan capaian CPMK503.</t>
  </si>
  <si>
    <t>Mampu membangun dan mengelola infrastruktur jaringan komputer dengan memilih arsitektur, protokol, dan teknik konfigurasi yang sesuai kebutuhan sistem.</t>
  </si>
  <si>
    <t>Mampu membangun infrastruktur jaringan aman melalui desain arsitektur, segmentasi, dan konfigurasi gateway.</t>
  </si>
  <si>
    <t>Mampu menerapkan teknologi dan mekanisme keamanan jaringan secara tepat guna dalam melindungi infrastruktur digital dari ancaman aktual.</t>
  </si>
  <si>
    <t>Menerapkan mekanisme teknologi keamanan (firewall &amp; pengamanan akses) untuk melindungi infrastruktur dari ancaman aktual.</t>
  </si>
  <si>
    <t>Mampu menerapkan prinsip information assurance dan teknik keamanan perangkat lunak untuk memastikan keandalan, integritas, dan ketahanan sistem terhadap risiko.</t>
  </si>
  <si>
    <t>Mahasiswa mampu mengevaluasi mengenal konsep dasar algoritma serta mampu menganalisis permasalahan sederhana ke dalam bentuk algoritma sesuai konteks Penjaminan Mutu Perangkat Lunak dan capaian CPMK508.</t>
  </si>
  <si>
    <t>Mampu merancang dan mengelola layanan komputasi virtual secara efisien dengan mempertimbangkan kebutuhan performa, skalabilitas, dan keberlanjutan energi.</t>
  </si>
  <si>
    <t>Mampu merancang layanan komputasi virtual berbasis container dan serverless dengan mempertimbangkan performa dan skalabilitas.</t>
  </si>
  <si>
    <t>Mampu mengelola operasional cloud yang efisien dengan mempertimbangkan aspek keberlanjutan energi (Green Computing) dan otomatisasi (CI/CD).</t>
  </si>
  <si>
    <t>Mampu merancang dan menjamin mutu pengalaman pengguna (UX) melalui pembuatan prototipe yang menjawab permasalahan interaksi pengguna</t>
  </si>
  <si>
    <t>Mampu merancang komponen perangkat lunak secara sistematis menggunakan pola desain yang sesuai dengan kebutuhan stakeholder</t>
  </si>
  <si>
    <t>Mampu merancang arsitektur sistem dan memilih pola desain (Design Patterns) yang sistematis.</t>
  </si>
  <si>
    <t>Mahasiswa mampu memodelkan interaksi dan perilaku objek dalam sistem menggunakan sequence diagram dan state machine diagram sebagai dasar perancangan arsitektur perangkat lunak.</t>
  </si>
  <si>
    <t>Mampu merancang arsitektur dan komponen perangkat lunak secara sistematis dengan menerapkan pola desain yang sesuai.</t>
  </si>
  <si>
    <t>Mampu mengimplementasikan dan melakukan deployment aplikasi perangkat lunak pada platform web, mobile, atau framework secara fungsional</t>
  </si>
  <si>
    <t>Mampu mengimplementasikan prinsip dasar pengembangan dan memelihara kualitas kode program agar tetap bersih, efisien, dan berkelanjutan</t>
  </si>
  <si>
    <t>Mahasiswa mampu mengevaluasi prinsip dasar pengembangan dan memelihara kualitas kode program agar tetap bersih, efisien, dan berkelanjutan sesuai konteks Penjaminan Mutu Perangkat Lunak dan capaian CPMK605.</t>
  </si>
  <si>
    <t>Mampu mengelola proses deployment dan menyusun rencana memelihara perangkat lunak sesuai dengan metodologi siklus hidup pengembangan (SDLC)</t>
  </si>
  <si>
    <t>Mampu menganalisis kebutuhan organisasi untuk merancang serta mengimplementasikan solusi sistem informasi terintegrasi yang kompleks</t>
  </si>
  <si>
    <t>Mampu menganalisis kebutuhan organisasi dan melakukan elisitasi untuk menghasilkan spesifikasi kebutuhan.</t>
  </si>
  <si>
    <t>Mahasiswa mampu mengimplementasikan kebutuhan organisasi untuk merancang serta mengimplementasikan solusi sistem informasi terintegrasi yang kompleks sesuai konteks Praktikum Pemrograman Berbasis Objek dan capaian CPMK607.</t>
  </si>
  <si>
    <t>Mahasiswa mampu mengimplementasikan kebutuhan organisasi untuk merancang serta mengimplementasikan solusi sistem informasi terintegrasi yang kompleks sesuai konteks Magang dan capaian CPMK607.</t>
  </si>
  <si>
    <t>Mahasiswa mampu mengimplementasikan kebutuhan organisasi untuk merancang serta mengimplementasikan solusi sistem informasi terintegrasi yang kompleks sesuai konteks Skripsi dan capaian CPMK607.</t>
  </si>
  <si>
    <t>Mampu merencanakan strategi pengujian serta menjamin mutu perangkat lunak melalui teknik verifikasi dan validasi yang terukur</t>
  </si>
  <si>
    <t>Mahasiswa mampu mengevaluasi merencanakan strategi pengujian serta menjamin mutu perangkat lunak melalui teknik verifikasi dan validasi yang terukur sesuai konteks Penjaminan Mutu Perangkat Lunak dan capaian CPMK608.</t>
  </si>
  <si>
    <t>Mampu merancang model pemodelan perangkat lunak yang akurat untuk memastikan desain teknis memenuhi seluruh spesifikasi kebutuhan stakeholder</t>
  </si>
  <si>
    <t>Mampu merancang, mengimplementasikan, dan mengevaluasi sistem manajemen data yang handal untuk mendukung kebutuhan penyimpanan dan pengelolaan informasi</t>
  </si>
  <si>
    <t>Mampu mengimplementasikan skema basis data dan mengeksekusi query SQL untuk mengelola data sesuai studi kasus melalui kegiatan praktikum.</t>
  </si>
  <si>
    <t>Mahasiswa mampu merancang, membangun, dan memanipulasi basis data menggunakan SQL lanjutan (DDL, DML, indeks, view, fungsi, stored procedure, trigger, transaction, full-text search, dan JSON/JSONB) untuk menghasilkan sistem manajemen data yang handal.</t>
  </si>
  <si>
    <t>Mampu merancang dan mengimplementasikan pemrosesan data berskala besar menggunakan arsitektur komputasi paralel dan terdistribusi untuk mengoptimalkan kinerja analisis data</t>
  </si>
  <si>
    <t>Mahasiswa mampu merancang pemrosesan data skala besar dengan arsitektur paralel-terdistribusi sesuai konteks Big Data dan capaian CPMK702.</t>
  </si>
  <si>
    <t>Mampu memilih dan mengimplementasikan struktur data serta algoritma yang efisien untuk mendukung pengolahan data dan pengembangan sistem</t>
  </si>
  <si>
    <t>Mampu menganalisis kebutuhan pemecahan masalah dan mengembangkan program menggunakan berbagai bahasa dan paradigma pemrograman secara tepat guna</t>
  </si>
  <si>
    <t>Mahasiswa mampu mengembangkan program yang efisien dan modular dengan menerapkan struktur data Array serta pengorganisasian kode menggunakan Fungsi.</t>
  </si>
  <si>
    <t>Mahasiswa mampu menciptakan program yang modular menggunakan fungsi dan mengelola sekumpulan data melalui array untuk menghasilkan solusi yang efisien.</t>
  </si>
  <si>
    <t>Mahasiswa mampu mengimplementasikan kebutuhan pemecahan masalah dan mengembangkan program menggunakan berbagai bahasa dan paradigma pemrograman secara tepat guna sesuai konteks Desain &amp; Pemrograman Web dan capaian CPMK704.</t>
  </si>
  <si>
    <t>Mampu merancang dan mengimplementasikan teknik pengolahan citra dan visualisasi data secara efektif untuk mengeksplorasi dan merepresentasikan pola informasi</t>
  </si>
  <si>
    <t>Mampu merancang, mengimplementasikan, dan mengevaluasi sistem cerdas dengan menerapkan algoritma kecerdasan artifisial dan pembelajaran mesin untuk pemodelan, analisis data, dan pengambilan keputusan</t>
  </si>
  <si>
    <t>Mampu merancang representasi pengetahuan dan model agen cerdas untuk mengidentifikasi solusi pada domain permasalahan tertentu.</t>
  </si>
  <si>
    <t>Mahasiswa mampu menganalisis q sesuai konteks Kecerdasan Artifisial dan capaian CPMK706.</t>
  </si>
  <si>
    <t>Mahasiswa mampu merancang dan mengimplementasikan metode deteksi objek sesuai dengan kebutuhan permasalahan yang dihadapi.</t>
  </si>
  <si>
    <t>Mahasiswa mampu memodelkan, mensimulasikan, dan menganalisis permasalahan menggunakan metode statistika komputasi dan pendekatan numerik</t>
  </si>
  <si>
    <t>Mahasiswa mampu merancang memodelkan, mensimulasikan, dan menganalisis permasalahan menggunakan metode statistika komputasi dan pendekatan numerik sesuai konteks Statistik Komputasi dan capaian CPMK707.</t>
  </si>
  <si>
    <t>Mampu menerapkan konsep struktur data dalam perancangan dan implementasi algoritma untuk menghasilkan solusi komputasi yang efisien</t>
  </si>
  <si>
    <t>Mampu menyusun dan mempresentasikan rencana proyek teknologi informasi yang komprehensif, mencakup estimasi, penjadwalan, alokasi sumber daya, dan manajemen risiko untuk diimplementasikan dalam sebuah proyek.</t>
  </si>
  <si>
    <t>Mampu mengelola proses rekayasa perangkat lunak dan desain antarmuka (UI/UX) dalam siklus hidup proyek, termasuk penerapan metodologi pengembangan dan prinsip penjaminan mutu (SQA) untuk menghasilkan produk yang berkualitas dan berpusat pada pengguna.</t>
  </si>
  <si>
    <t>Mahasiswa mampu menganalisis kebutuhan dan permasalahan pengguna melalui teknik user research sederhana (persona, user journey, skenario penggunaan).</t>
  </si>
  <si>
    <t>Mahasiswa mampu merancang struktur dan alur antarmuka (information architecture &amp; user flow) yang sesuai dengan kebutuhan dan tujuan pengguna.</t>
  </si>
  <si>
    <t>Mampu menerapkan metodologi pengembangan preskriptif yang tepat (Prototyping/Spiral/RUP) sesuai karakteristik masalah.</t>
  </si>
  <si>
    <t>Mampu mengelola siklus hidup pasca-rilis melalui pemeliharaan (Maintenance) dan evolusi sistem.</t>
  </si>
  <si>
    <t>Mampu merancang dan mengevaluasi desain antarmuka (UI/UX) dengan menerapkan prinsip penjaminan mutu (SQA) untuk menghasilkan produk yang berkualitas dan berpusat pada pengguna.</t>
  </si>
  <si>
    <t>Mampu melaksanakan, memonitor, dan mengendalikan jalannya proyek menggunakan alat bantu (tools) manajemen, serta mengelola dinamika tim untuk mencapai tujuan proyek secara efisien.</t>
  </si>
  <si>
    <t>Mampu mengelola dinamika dan kinerja tim proyek secara profesional untuk mencapai tujuan proyek secara efisien.</t>
  </si>
  <si>
    <t>Mampu mendemonstrasikan pengelolaan proyek secara utuh dalam konteks proyek penelitian mandiri atau lingkungan kerja industri, dengan menerapkan seluruh prinsip manajemen, rekayasa, dan optimalisasi sumber daya.</t>
  </si>
  <si>
    <t>Mahasiswa mampu menganalisis dan menerapkan mendemonstrasikan pengelolaan proyek secara utuh dalam konteks proyek penelitian mandiri atau lingkungan kerja industri, dengan menerapkan seluruh prinsip sesuai konteks Magang dan capaian CPMK804.</t>
  </si>
  <si>
    <t>Mahasiswa mampu menganalisis dan menerapkan mendemonstrasikan pengelolaan proyek secara utuh dalam konteks proyek penelitian mandiri atau lingkungan kerja industri, dengan menerapkan seluruh prinsip sesuai konteks Skripsi dan capaian CPMK804.</t>
  </si>
  <si>
    <t>(G-1) Kemampuan mengidentifikasi dan merumuskan permasalahan bidang teknologi komputer sesuai literatur teknis,
(G-2) Kemampuan menyelesaikan dan menganalisis permasalahan bidang informatika.</t>
  </si>
  <si>
    <t>Mahasiswa mampu menjelaskan dan menganalisis cara kerja sistem komputer beserta komponen utamanya.</t>
  </si>
  <si>
    <t>Mahasiswa mampu menguasai prinsip matematika, ilmu alam dan struktur diskrit serta menerapkan pendekatan komputasional sebagai dasar analisis terhadap permasalahan.</t>
  </si>
  <si>
    <t>Mahasiswa mampu menerapkan algoritma komputasional berbasis struktur diskrit dalam menyelesaikan perhitungan sistematis.</t>
  </si>
  <si>
    <t>Mahasiswa mampu menganalisis masalah nyata menggunakan pendekatan komputasi untuk menghasilkan solusi yang optimal.</t>
  </si>
  <si>
    <t>Mahasiswa mampu menyelesaikan sistem persamaan linier menggunakan metode eliminasi dan representasi matriks, serta memvalidasi hasil secara komputasional.</t>
  </si>
  <si>
    <t>Mahasiswa mampu menerapkan operasi matriks (invers, transpose, determinan) untuk menyelesaikan permasalahan.</t>
  </si>
  <si>
    <t>Mahasiswa mampu menerapkan konsep vektor dan ruang vektor untuk interpretasi geometri dan komputasi dasar pada konteks informatika.</t>
  </si>
  <si>
    <t>Mahasiswa mampu menjelaskan prinsip logika komputasi, teknik dasar pemrograman dan algoritma untuk menganalisis dan menyelesaikan permasalahan.</t>
  </si>
  <si>
    <t>Mahasiswa mampu merancang alur logika penyelesaian masalah menggunakan instrumen Flowchart dan Pseudocode dengan menerapkan prinsip urutan (sequence).</t>
  </si>
  <si>
    <t>Mahasiswa mampu mengoperasikan perangkat lunak pemrograman (IDE) dan menyusun kode program sederhana menggunakan tipe data, variabel, dan ekspresi yang tepat.</t>
  </si>
  <si>
    <t>Mahasiswa mampu mengimplementasikan rancangan flowchart dan pseudocode ke dalam sintaks bahasa pemrograman menggunakan prinsip urutan (sequence).</t>
  </si>
  <si>
    <t>Mahasiswa mampu menguraikan prinsip kerja sistem paralel–terdistribusi yang dimanfaatkan untuk pemrosesan data skala besar.</t>
  </si>
  <si>
    <t>Mahasiswa mampu menganalisis dan menerapkan sistem paralel-terdistribusi untuk pemrosesan data skala besar sesuai konteks Big Data dan capaian CPMK904.</t>
  </si>
  <si>
    <t>Mahasiswa mampu menjelaskan konsep virtualisasi dan layanan komputasi awan, serta menerapkan teknik dasar penyediaan dan pengelolaan layanan cloud sesuai kebutuhan sistem komputasi.</t>
  </si>
  <si>
    <t>Mampu menjelaskan konsep virtualisasi dan karakteristik layanan cloud (IaaS, PaaS, SaaS) serta melakukan teknik dasar penyediaan (provisioning) instance.</t>
  </si>
  <si>
    <t>Mampu menganalisis permasalahan pengelolaan data dan informasi yang bersifat kompleks dengan wawasan multidisiplin untuk merancang serta mengimplementasikan solusi berbasis basis data yang sesuai dengan kebutuhan organisasi atau bisnis.</t>
  </si>
  <si>
    <t>Mampu mengimplementasikan perancangan skema basis data dan implementasi melalui query SQL sesuai dengan studi kasus.</t>
  </si>
  <si>
    <t>Mahasiswa mampu menganalisis, mengoptimalkan, memigrasikan, mencadangkan, memulihkan, serta mengintegrasikan basis data dengan aplikasi untuk menjaga efisiensi, integritas, dan ketersediaan data dalam konteks organisasi atau bisnis.</t>
  </si>
  <si>
    <t>Mampu merancang, menerapkan, dan mengevaluasi mekanisme keamanan jaringan untuk melindungi data, layanan, dan sumber daya jaringan dengan mempertimbangkan aspek teknis, operasional, dan kebijakan organisasi.</t>
  </si>
  <si>
    <t>Mampu merancang dan mengevaluasi mekanisme perlindungan data serta sumber daya menggunakan monitoring dan logging.</t>
  </si>
  <si>
    <t>Mampu menganalisis permasalahan kompleks pada infrastruktur dan layanan jaringan komputer untuk merancang, mengonfigurasi, dan mengelola solusi jaringan on-premise dan cloud yang andal, aman, dan scalable sesuai kebutuhan organisasi.</t>
  </si>
  <si>
    <t>Mampu menganalisis permasalahan kompleks dan mengelola solusi optimasi jaringan yang aman dan scalable.</t>
  </si>
  <si>
    <t>Mampu menganalisis permasalahan kompleks berbasis data dan visual untuk merancang serta menerapkan teknik visualisasi dan representasi grafis yang efektif dalam mendukung pemahaman, analisis, dan pengambilan keputusan.</t>
  </si>
  <si>
    <t>Mahasiswa mampu menganalisis karakteristik visual citra serta menerapkan teknik pengolahan citra dasar untuk meningkatkan kualitas dan representasi informasi visual.</t>
  </si>
  <si>
    <t>Mampu mengembangkan dan mengevaluasi solusi sistem cerdas berdasarkan aspek kinerja, keandalan, interpretabilitas, dan kesesuaian solusi terhadap kebutuhan domain aplikasi.</t>
  </si>
  <si>
    <t>Mahasiswa mampu menerapkan metode pemrosesan citra lanjutan untuk melakukan analisis, segmentasi, dan ekstraksi informasi dari citra digital.</t>
  </si>
  <si>
    <t>Mampu mengevaluasi dan mengembangkan aplikasi berbasis web dan mobile dengan mempertimbangkan aspek arsitektur, performa, integrasi layanan, dan pengalaman pengguna.</t>
  </si>
  <si>
    <t>Mampu menganalisis persoalan komputasi numerik yang kompleks dengan memanfaatkan konsep struktur diskrit (logika, relasi, fungsi, graf, dan matriks) untuk merumuskan dan memilih solusi numerik yang tepat.</t>
  </si>
  <si>
    <t>Mampu mengintegrasikan dan mengevaluasi hasil analisis dan desain sistem ke dalam pengembangan sistem dengan mempertimbangkan aspek teknis dan organisasi.</t>
  </si>
  <si>
    <t>Mampu mengevaluasi pengembangan sistem dengan mempertimbangkan aspek teknis dan organisasi.</t>
  </si>
  <si>
    <t>Mahasiswa mampu mengevaluasi mengintegrasikan dan mengevaluasi hasil analisis dan desain sistem ke dalam pengembangan sistem dengan mempertimbangkan aspek teknis dan organisasi sesuai konteks Skripsi dan capaian CPMK1008.</t>
  </si>
  <si>
    <t>Mampu mengkaji persoalan kompleks dan mengidentifikasi tahapan penyelesaian yang tepat berdasarkan kaidah ilmiah untuk menyelesaikan permasalahan pada bidang informatika.</t>
  </si>
  <si>
    <t>Mahasiswa mampu mengkaji persoalan kompleks dan mengidentifikasi tahapan penyelesaian yang tepat berdasarkan kaidah ilmiah untuk menyelesaikan permasalahan pada bidang informatika sesuai konteks Skripsi dan capaian CPMK1009.</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</si>
</sst>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d-m-yyyy"/>
    <numFmt numFmtId="165" formatCode="dd-mm-yyyy"/>
    <numFmt numFmtId="166" formatCode="mmm-d"/>
    <numFmt numFmtId="167" formatCode="d-mmm-yy"/>
    <numFmt numFmtId="168" formatCode="d mmmm yyyy"/>
    <numFmt numFmtId="169" formatCode="d mmmm"/>
    <numFmt numFmtId="170" formatCode="d-mmmm-yy"/>
  </numFmts>
  <fonts count="61">
    <font>
      <sz val="10.0"/>
      <color rgb="FF000000"/>
      <name val="Arial"/>
      <scheme val="minor"/>
    </font>
    <font>
      <b/>
      <color theme="1"/>
      <name val="Tahoma"/>
    </font>
    <font>
      <color theme="1"/>
      <name val="Tahoma"/>
    </font>
    <font>
      <color theme="1"/>
      <name val="Arial"/>
    </font>
    <font/>
    <font>
      <color theme="1"/>
      <name val="Arial"/>
      <scheme val="minor"/>
    </font>
    <font>
      <sz val="11.0"/>
      <color theme="1"/>
      <name val="Arial"/>
    </font>
    <font>
      <sz val="11.0"/>
      <color rgb="FF000000"/>
      <name val="Arial"/>
    </font>
    <font>
      <sz val="9.0"/>
      <color theme="1"/>
      <name val="Calibri"/>
    </font>
    <font>
      <sz val="9.0"/>
      <color theme="1"/>
      <name val="Arial"/>
      <scheme val="minor"/>
    </font>
    <font>
      <b/>
      <color theme="1"/>
      <name val="Arial"/>
      <scheme val="minor"/>
    </font>
    <font>
      <b/>
      <sz val="9.0"/>
      <color rgb="FF000000"/>
      <name val="Arial"/>
    </font>
    <font>
      <sz val="9.0"/>
      <color rgb="FF000000"/>
      <name val="Arial"/>
    </font>
    <font>
      <sz val="11.0"/>
      <color theme="1"/>
      <name val="Calibri"/>
    </font>
    <font>
      <sz val="12.0"/>
      <color theme="1"/>
      <name val="Calibri"/>
    </font>
    <font>
      <sz val="12.0"/>
      <color rgb="FF434343"/>
      <name val="Calibri"/>
    </font>
    <font>
      <sz val="11.0"/>
      <color rgb="FF434343"/>
      <name val="Calibri"/>
    </font>
    <font>
      <b/>
      <sz val="11.0"/>
      <color theme="1"/>
      <name val="Calibri"/>
    </font>
    <font>
      <b/>
      <sz val="10.0"/>
      <color rgb="FF000000"/>
      <name val="Calibri"/>
    </font>
    <font>
      <sz val="10.0"/>
      <color theme="1"/>
      <name val="Calibri"/>
    </font>
    <font>
      <b/>
      <sz val="10.0"/>
      <color theme="1"/>
      <name val="Calibri"/>
    </font>
    <font>
      <sz val="10.0"/>
      <color rgb="FF000000"/>
      <name val="Calibri"/>
    </font>
    <font>
      <sz val="10.0"/>
      <color rgb="FF1F1F1F"/>
      <name val="Calibri"/>
    </font>
    <font>
      <b/>
      <sz val="10.0"/>
      <color rgb="FF1F1F1F"/>
      <name val="Calibri"/>
    </font>
    <font>
      <b/>
      <sz val="14.0"/>
      <color theme="1"/>
      <name val="Calibri"/>
    </font>
    <font>
      <sz val="11.0"/>
      <color rgb="FF980000"/>
      <name val="Calibri"/>
    </font>
    <font>
      <b/>
      <sz val="12.0"/>
      <color rgb="FF000000"/>
      <name val="Arial"/>
    </font>
    <font>
      <b/>
      <u/>
      <sz val="12.0"/>
      <color rgb="FF000000"/>
      <name val="Arial"/>
    </font>
    <font>
      <u/>
      <color theme="1"/>
      <name val="Arial"/>
      <scheme val="minor"/>
    </font>
    <font>
      <b/>
      <i/>
      <sz val="12.0"/>
      <color rgb="FF000000"/>
      <name val="Arial"/>
    </font>
    <font>
      <i/>
      <sz val="12.0"/>
      <color rgb="FF000000"/>
      <name val="Arial"/>
    </font>
    <font>
      <b/>
      <sz val="11.0"/>
      <color rgb="FF000000"/>
      <name val="Arial"/>
    </font>
    <font>
      <sz val="10.0"/>
      <color rgb="FF000000"/>
      <name val="Arial"/>
    </font>
    <font>
      <sz val="10.0"/>
      <color theme="1"/>
      <name val="Arial"/>
    </font>
    <font>
      <b/>
      <sz val="11.0"/>
      <color theme="1"/>
      <name val="Arial"/>
    </font>
    <font>
      <sz val="11.0"/>
      <color rgb="FF000000"/>
      <name val="Calibri"/>
    </font>
    <font>
      <i/>
      <color theme="1"/>
      <name val="Arial"/>
    </font>
    <font>
      <b/>
      <sz val="10.0"/>
      <color rgb="FF000000"/>
      <name val="Arial"/>
    </font>
    <font>
      <sz val="10.0"/>
      <color theme="1"/>
      <name val="Arial"/>
      <scheme val="minor"/>
    </font>
    <font>
      <b/>
      <u/>
      <sz val="10.0"/>
      <color rgb="FF000000"/>
      <name val="Arial"/>
    </font>
    <font>
      <u/>
      <sz val="10.0"/>
      <color theme="1"/>
      <name val="Arial"/>
      <scheme val="minor"/>
    </font>
    <font>
      <b/>
      <i/>
      <sz val="10.0"/>
      <color rgb="FF000000"/>
      <name val="Arial"/>
    </font>
    <font>
      <u/>
      <sz val="10.0"/>
      <color rgb="FF0000FF"/>
      <name val="Arial"/>
    </font>
    <font>
      <u/>
      <sz val="10.0"/>
      <color rgb="FF0000FF"/>
      <name val="Arial"/>
    </font>
    <font>
      <b/>
      <sz val="10.0"/>
      <color theme="1"/>
      <name val="Arial"/>
      <scheme val="minor"/>
    </font>
    <font>
      <u/>
      <sz val="10.0"/>
      <color rgb="FF0000FF"/>
    </font>
    <font>
      <u/>
      <sz val="10.0"/>
      <color rgb="FF0000FF"/>
      <name val="Calibri"/>
    </font>
    <font>
      <u/>
      <sz val="10.0"/>
      <color rgb="FF0000FF"/>
      <name val="Calibri"/>
    </font>
    <font>
      <u/>
      <sz val="10.0"/>
      <color rgb="FF0563C1"/>
      <name val="Calibri"/>
    </font>
    <font>
      <u/>
      <sz val="10.0"/>
      <color rgb="FF467886"/>
      <name val="Calibri"/>
    </font>
    <font>
      <u/>
      <sz val="10.0"/>
      <color rgb="FF1155CC"/>
      <name val="Calibri"/>
    </font>
    <font>
      <u/>
      <sz val="10.0"/>
      <color rgb="FF0000FF"/>
      <name val="Calibri"/>
    </font>
    <font>
      <u/>
      <sz val="10.0"/>
      <color rgb="FF0000FF"/>
      <name val="Calibri"/>
    </font>
    <font>
      <u/>
      <sz val="10.0"/>
      <color rgb="FF0000FF"/>
      <name val="Calibri"/>
    </font>
    <font>
      <u/>
      <sz val="10.0"/>
      <color rgb="FF0000FF"/>
      <name val="Calibri"/>
    </font>
    <font>
      <u/>
      <sz val="10.0"/>
      <color rgb="FF1155CC"/>
      <name val="Calibri"/>
    </font>
    <font>
      <u/>
      <sz val="10.0"/>
      <color rgb="FF0000FF"/>
      <name val="Calibri"/>
    </font>
    <font>
      <sz val="10.0"/>
      <color theme="1"/>
      <name val="Tahoma"/>
    </font>
    <font>
      <b/>
      <color theme="1"/>
      <name val="Arial"/>
    </font>
    <font>
      <b/>
      <sz val="11.0"/>
      <color rgb="FF000000"/>
      <name val="Calibri"/>
    </font>
    <font>
      <sz val="8.0"/>
      <color rgb="FF000000"/>
      <name val="Arial"/>
    </font>
  </fonts>
  <fills count="27">
    <fill>
      <patternFill patternType="none"/>
    </fill>
    <fill>
      <patternFill patternType="lightGray"/>
    </fill>
    <fill>
      <patternFill patternType="solid">
        <fgColor rgb="FFFFC000"/>
        <bgColor rgb="FFFFC000"/>
      </patternFill>
    </fill>
    <fill>
      <patternFill patternType="solid">
        <fgColor rgb="FFB7E1CD"/>
        <bgColor rgb="FFB7E1CD"/>
      </patternFill>
    </fill>
    <fill>
      <patternFill patternType="solid">
        <fgColor rgb="FFCCCCCC"/>
        <bgColor rgb="FFCCCCCC"/>
      </patternFill>
    </fill>
    <fill>
      <patternFill patternType="solid">
        <fgColor rgb="FFFFFFFF"/>
        <bgColor rgb="FFFFFFFF"/>
      </patternFill>
    </fill>
    <fill>
      <patternFill patternType="solid">
        <fgColor rgb="FFFF0000"/>
        <bgColor rgb="FFFF0000"/>
      </patternFill>
    </fill>
    <fill>
      <patternFill patternType="solid">
        <fgColor rgb="FFFFFF00"/>
        <bgColor rgb="FFFFFF00"/>
      </patternFill>
    </fill>
    <fill>
      <patternFill patternType="solid">
        <fgColor rgb="FFFCE5CD"/>
        <bgColor rgb="FFFCE5CD"/>
      </patternFill>
    </fill>
    <fill>
      <patternFill patternType="solid">
        <fgColor rgb="FFCFE2F3"/>
        <bgColor rgb="FFCFE2F3"/>
      </patternFill>
    </fill>
    <fill>
      <patternFill patternType="solid">
        <fgColor rgb="FFD5A6BD"/>
        <bgColor rgb="FFD5A6BD"/>
      </patternFill>
    </fill>
    <fill>
      <patternFill patternType="solid">
        <fgColor theme="6"/>
        <bgColor theme="6"/>
      </patternFill>
    </fill>
    <fill>
      <patternFill patternType="solid">
        <fgColor rgb="FFC0C0C0"/>
        <bgColor rgb="FFC0C0C0"/>
      </patternFill>
    </fill>
    <fill>
      <patternFill patternType="solid">
        <fgColor rgb="FFDD7E6B"/>
        <bgColor rgb="FFDD7E6B"/>
      </patternFill>
    </fill>
    <fill>
      <patternFill patternType="solid">
        <fgColor rgb="FFB6D7A8"/>
        <bgColor rgb="FFB6D7A8"/>
      </patternFill>
    </fill>
    <fill>
      <patternFill patternType="solid">
        <fgColor rgb="FF00FFFF"/>
        <bgColor rgb="FF00FFFF"/>
      </patternFill>
    </fill>
    <fill>
      <patternFill patternType="solid">
        <fgColor rgb="FF92D050"/>
        <bgColor rgb="FF92D050"/>
      </patternFill>
    </fill>
    <fill>
      <patternFill patternType="solid">
        <fgColor rgb="FFF4B084"/>
        <bgColor rgb="FFF4B084"/>
      </patternFill>
    </fill>
    <fill>
      <patternFill patternType="solid">
        <fgColor rgb="FFFFFF66"/>
        <bgColor rgb="FFFFFF66"/>
      </patternFill>
    </fill>
    <fill>
      <patternFill patternType="solid">
        <fgColor rgb="FF8497B0"/>
        <bgColor rgb="FF8497B0"/>
      </patternFill>
    </fill>
    <fill>
      <patternFill patternType="solid">
        <fgColor rgb="FFBFBFBF"/>
        <bgColor rgb="FFBFBFBF"/>
      </patternFill>
    </fill>
    <fill>
      <patternFill patternType="solid">
        <fgColor rgb="FFB7B7B7"/>
        <bgColor rgb="FFB7B7B7"/>
      </patternFill>
    </fill>
    <fill>
      <patternFill patternType="solid">
        <fgColor rgb="FFA5A5A5"/>
        <bgColor rgb="FFA5A5A5"/>
      </patternFill>
    </fill>
    <fill>
      <patternFill patternType="solid">
        <fgColor rgb="FF999999"/>
        <bgColor rgb="FF999999"/>
      </patternFill>
    </fill>
    <fill>
      <patternFill patternType="solid">
        <fgColor rgb="FFFCF5FC"/>
        <bgColor rgb="FFFCF5FC"/>
      </patternFill>
    </fill>
    <fill>
      <patternFill patternType="solid">
        <fgColor rgb="FFFFF2CC"/>
        <bgColor rgb="FFFFF2CC"/>
      </patternFill>
    </fill>
    <fill>
      <patternFill patternType="solid">
        <fgColor rgb="FFF4CCCC"/>
        <bgColor rgb="FFF4CCCC"/>
      </patternFill>
    </fill>
  </fills>
  <borders count="20">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right style="thin">
        <color rgb="FF000000"/>
      </right>
      <bottom style="thin">
        <color rgb="FF000000"/>
      </bottom>
    </border>
    <border>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left style="thin">
        <color rgb="FF000000"/>
      </left>
      <right style="thin">
        <color rgb="FF000000"/>
      </right>
    </border>
    <border>
      <right style="thin">
        <color rgb="FF000000"/>
      </right>
      <top style="thin">
        <color rgb="FF000000"/>
      </top>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bottom style="thin">
        <color rgb="FF000000"/>
      </bottom>
    </border>
    <border>
      <left style="thin">
        <color rgb="FF000000"/>
      </left>
      <right style="medium">
        <color rgb="FF000000"/>
      </right>
    </border>
    <border>
      <right style="medium">
        <color rgb="FF000000"/>
      </right>
    </border>
    <border>
      <left style="thin">
        <color rgb="FF000000"/>
      </left>
      <right style="medium">
        <color rgb="FF000000"/>
      </right>
      <bottom style="medium">
        <color rgb="FF000000"/>
      </bottom>
    </border>
    <border>
      <right style="medium">
        <color rgb="FF000000"/>
      </right>
      <bottom style="medium">
        <color rgb="FF000000"/>
      </bottom>
    </border>
    <border>
      <left style="thin">
        <color rgb="FF000000"/>
      </left>
    </border>
  </borders>
  <cellStyleXfs count="1">
    <xf borderId="0" fillId="0" fontId="0" numFmtId="0" applyAlignment="1" applyFont="1"/>
  </cellStyleXfs>
  <cellXfs count="598">
    <xf borderId="0" fillId="0" fontId="0" numFmtId="0" xfId="0" applyAlignment="1" applyFont="1">
      <alignment readingOrder="0" shrinkToFit="0" vertical="bottom" wrapText="0"/>
    </xf>
    <xf borderId="1" fillId="2" fontId="1" numFmtId="0" xfId="0" applyAlignment="1" applyBorder="1" applyFill="1" applyFont="1">
      <alignment horizontal="center"/>
    </xf>
    <xf borderId="2" fillId="2" fontId="1" numFmtId="0" xfId="0" applyAlignment="1" applyBorder="1" applyFont="1">
      <alignment horizontal="center"/>
    </xf>
    <xf borderId="3" fillId="3" fontId="2" numFmtId="0" xfId="0" applyAlignment="1" applyBorder="1" applyFill="1" applyFont="1">
      <alignment horizontal="center" shrinkToFit="0" wrapText="1"/>
    </xf>
    <xf borderId="1" fillId="3" fontId="2" numFmtId="0" xfId="0" applyAlignment="1" applyBorder="1" applyFont="1">
      <alignment horizontal="center" shrinkToFit="0" wrapText="1"/>
    </xf>
    <xf borderId="2" fillId="3" fontId="2" numFmtId="0" xfId="0" applyAlignment="1" applyBorder="1" applyFont="1">
      <alignment shrinkToFit="0" wrapText="1"/>
    </xf>
    <xf borderId="4" fillId="3" fontId="2" numFmtId="0" xfId="0" applyAlignment="1" applyBorder="1" applyFont="1">
      <alignment shrinkToFit="0" wrapText="1"/>
    </xf>
    <xf borderId="3" fillId="3" fontId="2" numFmtId="0" xfId="0" applyAlignment="1" applyBorder="1" applyFont="1">
      <alignment horizontal="center" shrinkToFit="0" wrapText="1"/>
    </xf>
    <xf borderId="1" fillId="3" fontId="3" numFmtId="0" xfId="0" applyAlignment="1" applyBorder="1" applyFont="1">
      <alignment shrinkToFit="0" wrapText="1"/>
    </xf>
    <xf borderId="4" fillId="0" fontId="4" numFmtId="0" xfId="0" applyBorder="1" applyFont="1"/>
    <xf borderId="5" fillId="3" fontId="2" numFmtId="0" xfId="0" applyAlignment="1" applyBorder="1" applyFont="1">
      <alignment shrinkToFit="0" wrapText="1"/>
    </xf>
    <xf borderId="5" fillId="0" fontId="4" numFmtId="0" xfId="0" applyBorder="1" applyFont="1"/>
    <xf borderId="0" fillId="0" fontId="5" numFmtId="0" xfId="0" applyAlignment="1" applyFont="1">
      <alignment readingOrder="0"/>
    </xf>
    <xf borderId="0" fillId="0" fontId="5" numFmtId="0" xfId="0" applyAlignment="1" applyFont="1">
      <alignment readingOrder="0" shrinkToFit="0" vertical="top" wrapText="1"/>
    </xf>
    <xf borderId="0" fillId="0" fontId="6" numFmtId="0" xfId="0" applyAlignment="1" applyFont="1">
      <alignment horizontal="center" shrinkToFit="0" vertical="bottom" wrapText="0"/>
    </xf>
    <xf borderId="0" fillId="0" fontId="6" numFmtId="0" xfId="0" applyAlignment="1" applyFont="1">
      <alignment horizontal="center" vertical="bottom"/>
    </xf>
    <xf borderId="0" fillId="0" fontId="3" numFmtId="0" xfId="0" applyAlignment="1" applyFont="1">
      <alignment horizontal="center" vertical="bottom"/>
    </xf>
    <xf borderId="0" fillId="0" fontId="5" numFmtId="0" xfId="0" applyAlignment="1" applyFont="1">
      <alignment horizontal="center"/>
    </xf>
    <xf borderId="6" fillId="0" fontId="6" numFmtId="0" xfId="0" applyAlignment="1" applyBorder="1" applyFont="1">
      <alignment readingOrder="0" vertical="top"/>
    </xf>
    <xf borderId="6" fillId="0" fontId="6" numFmtId="0" xfId="0" applyAlignment="1" applyBorder="1" applyFont="1">
      <alignment vertical="top"/>
    </xf>
    <xf borderId="2" fillId="4" fontId="6" numFmtId="0" xfId="0" applyAlignment="1" applyBorder="1" applyFill="1" applyFont="1">
      <alignment readingOrder="0" shrinkToFit="0" vertical="top" wrapText="1"/>
    </xf>
    <xf borderId="5" fillId="0" fontId="6" numFmtId="0" xfId="0" applyAlignment="1" applyBorder="1" applyFont="1">
      <alignment readingOrder="0" shrinkToFit="0" vertical="top" wrapText="1"/>
    </xf>
    <xf borderId="5" fillId="0" fontId="6" numFmtId="0" xfId="0" applyAlignment="1" applyBorder="1" applyFont="1">
      <alignment shrinkToFit="0" vertical="top" wrapText="1"/>
    </xf>
    <xf borderId="1" fillId="0" fontId="6" numFmtId="0" xfId="0" applyAlignment="1" applyBorder="1" applyFont="1">
      <alignment shrinkToFit="0" vertical="top" wrapText="1"/>
    </xf>
    <xf borderId="0" fillId="0" fontId="6" numFmtId="0" xfId="0" applyAlignment="1" applyFont="1">
      <alignment shrinkToFit="0" vertical="top" wrapText="1"/>
    </xf>
    <xf borderId="0" fillId="0" fontId="3" numFmtId="0" xfId="0" applyAlignment="1" applyFont="1">
      <alignment vertical="top"/>
    </xf>
    <xf borderId="3" fillId="0" fontId="6" numFmtId="0" xfId="0" applyAlignment="1" applyBorder="1" applyFont="1">
      <alignment horizontal="center" shrinkToFit="0" vertical="bottom" wrapText="1"/>
    </xf>
    <xf borderId="5" fillId="5" fontId="6" numFmtId="0" xfId="0" applyAlignment="1" applyBorder="1" applyFill="1" applyFont="1">
      <alignment readingOrder="0" shrinkToFit="0" vertical="top" wrapText="1"/>
    </xf>
    <xf borderId="0" fillId="0" fontId="6" numFmtId="0" xfId="0" applyAlignment="1" applyFont="1">
      <alignment horizontal="center" readingOrder="0" vertical="center"/>
    </xf>
    <xf borderId="0" fillId="0" fontId="6" numFmtId="0" xfId="0" applyAlignment="1" applyFont="1">
      <alignment horizontal="center" vertical="center"/>
    </xf>
    <xf borderId="0" fillId="0" fontId="3" numFmtId="0" xfId="0" applyFont="1"/>
    <xf borderId="0" fillId="0" fontId="3" numFmtId="0" xfId="0" applyAlignment="1" applyFont="1">
      <alignment horizontal="center"/>
    </xf>
    <xf borderId="3" fillId="0" fontId="6" numFmtId="0" xfId="0" applyAlignment="1" applyBorder="1" applyFont="1">
      <alignment horizontal="center" readingOrder="0" shrinkToFit="0" vertical="bottom" wrapText="1"/>
    </xf>
    <xf borderId="1" fillId="0" fontId="6" numFmtId="0" xfId="0" applyAlignment="1" applyBorder="1" applyFont="1">
      <alignment readingOrder="0" shrinkToFit="0" vertical="top" wrapText="1"/>
    </xf>
    <xf borderId="1" fillId="5" fontId="7" numFmtId="0" xfId="0" applyAlignment="1" applyBorder="1" applyFont="1">
      <alignment horizontal="left" readingOrder="0" shrinkToFit="0" wrapText="1"/>
    </xf>
    <xf borderId="0" fillId="0" fontId="6" numFmtId="0" xfId="0" applyAlignment="1" applyFont="1">
      <alignment horizontal="left" readingOrder="0" vertical="center"/>
    </xf>
    <xf borderId="1" fillId="0" fontId="6" numFmtId="0" xfId="0" applyAlignment="1" applyBorder="1" applyFont="1">
      <alignment horizontal="left" readingOrder="0" shrinkToFit="0" vertical="center" wrapText="1"/>
    </xf>
    <xf borderId="0" fillId="0" fontId="6" numFmtId="0" xfId="0" applyFont="1"/>
    <xf borderId="0" fillId="0" fontId="6" numFmtId="0" xfId="0" applyAlignment="1" applyFont="1">
      <alignment readingOrder="0" vertical="bottom"/>
    </xf>
    <xf borderId="0" fillId="0" fontId="6" numFmtId="0" xfId="0" applyAlignment="1" applyFont="1">
      <alignment readingOrder="0" shrinkToFit="0" vertical="bottom" wrapText="1"/>
    </xf>
    <xf borderId="0" fillId="0" fontId="6" numFmtId="0" xfId="0" applyAlignment="1" applyFont="1">
      <alignment horizontal="center" readingOrder="0"/>
    </xf>
    <xf borderId="0" fillId="0" fontId="6" numFmtId="0" xfId="0" applyAlignment="1" applyFont="1">
      <alignment horizontal="center"/>
    </xf>
    <xf borderId="0" fillId="0" fontId="6" numFmtId="0" xfId="0" applyAlignment="1" applyFont="1">
      <alignment vertical="bottom"/>
    </xf>
    <xf borderId="6" fillId="0" fontId="3" numFmtId="0" xfId="0" applyAlignment="1" applyBorder="1" applyFont="1">
      <alignment readingOrder="0" vertical="top"/>
    </xf>
    <xf borderId="0" fillId="0" fontId="5" numFmtId="0" xfId="0" applyAlignment="1" applyFont="1">
      <alignment vertical="top"/>
    </xf>
    <xf borderId="3" fillId="0" fontId="8" numFmtId="0" xfId="0" applyAlignment="1" applyBorder="1" applyFont="1">
      <alignment horizontal="center" shrinkToFit="0" vertical="bottom" wrapText="1"/>
    </xf>
    <xf borderId="0" fillId="0" fontId="5" numFmtId="0" xfId="0" applyAlignment="1" applyFont="1">
      <alignment horizontal="center" vertical="center"/>
    </xf>
    <xf borderId="0" fillId="0" fontId="5" numFmtId="0" xfId="0" applyAlignment="1" applyFont="1">
      <alignment horizontal="center" readingOrder="0" vertical="center"/>
    </xf>
    <xf borderId="0" fillId="0" fontId="9" numFmtId="0" xfId="0" applyFont="1"/>
    <xf borderId="3" fillId="0" fontId="8" numFmtId="0" xfId="0" applyAlignment="1" applyBorder="1" applyFont="1">
      <alignment horizontal="center" readingOrder="0" shrinkToFit="0" vertical="bottom" wrapText="1"/>
    </xf>
    <xf borderId="0" fillId="6" fontId="5" numFmtId="0" xfId="0" applyAlignment="1" applyFill="1" applyFont="1">
      <alignment horizontal="center" readingOrder="0" vertical="center"/>
    </xf>
    <xf borderId="0" fillId="0" fontId="5" numFmtId="0" xfId="0" applyAlignment="1" applyFont="1">
      <alignment horizontal="center" readingOrder="0"/>
    </xf>
    <xf borderId="7" fillId="0" fontId="10" numFmtId="0" xfId="0" applyAlignment="1" applyBorder="1" applyFont="1">
      <alignment horizontal="center" readingOrder="0" shrinkToFit="0" vertical="center" wrapText="1"/>
    </xf>
    <xf borderId="8" fillId="0" fontId="10" numFmtId="0" xfId="0" applyAlignment="1" applyBorder="1" applyFont="1">
      <alignment horizontal="center" readingOrder="0" shrinkToFit="0" vertical="top" wrapText="1"/>
    </xf>
    <xf borderId="9" fillId="0" fontId="4" numFmtId="0" xfId="0" applyBorder="1" applyFont="1"/>
    <xf borderId="2" fillId="0" fontId="4" numFmtId="0" xfId="0" applyBorder="1" applyFont="1"/>
    <xf borderId="3" fillId="0" fontId="4" numFmtId="0" xfId="0" applyBorder="1" applyFont="1"/>
    <xf borderId="1" fillId="0" fontId="11" numFmtId="0" xfId="0" applyAlignment="1" applyBorder="1" applyFont="1">
      <alignment horizontal="center" readingOrder="0" shrinkToFit="0" vertical="center" wrapText="1"/>
    </xf>
    <xf borderId="1" fillId="0" fontId="5" numFmtId="0" xfId="0" applyAlignment="1" applyBorder="1" applyFont="1">
      <alignment horizontal="left" shrinkToFit="0" vertical="top" wrapText="1"/>
    </xf>
    <xf borderId="1" fillId="0" fontId="11" numFmtId="0" xfId="0" applyAlignment="1" applyBorder="1" applyFont="1">
      <alignment horizontal="left" readingOrder="0" shrinkToFit="0" wrapText="1"/>
    </xf>
    <xf borderId="1" fillId="0" fontId="12" numFmtId="0" xfId="0" applyAlignment="1" applyBorder="1" applyFont="1">
      <alignment horizontal="left" readingOrder="0" shrinkToFit="0" wrapText="1"/>
    </xf>
    <xf borderId="1" fillId="5" fontId="13" numFmtId="0" xfId="0" applyAlignment="1" applyBorder="1" applyFont="1">
      <alignment horizontal="center" vertical="bottom"/>
    </xf>
    <xf borderId="5" fillId="0" fontId="13" numFmtId="0" xfId="0" applyAlignment="1" applyBorder="1" applyFont="1">
      <alignment horizontal="center" readingOrder="0" shrinkToFit="0" vertical="bottom" wrapText="1"/>
    </xf>
    <xf borderId="5" fillId="0" fontId="13" numFmtId="0" xfId="0" applyAlignment="1" applyBorder="1" applyFont="1">
      <alignment readingOrder="0" shrinkToFit="0" vertical="bottom" wrapText="1"/>
    </xf>
    <xf borderId="1" fillId="0" fontId="5" numFmtId="0" xfId="0" applyAlignment="1" applyBorder="1" applyFont="1">
      <alignment horizontal="center" readingOrder="0" shrinkToFit="0" vertical="top" wrapText="1"/>
    </xf>
    <xf borderId="1" fillId="0" fontId="5" numFmtId="0" xfId="0" applyAlignment="1" applyBorder="1" applyFont="1">
      <alignment horizontal="center" shrinkToFit="0" vertical="center" wrapText="1"/>
    </xf>
    <xf borderId="5" fillId="0" fontId="13" numFmtId="0" xfId="0" applyAlignment="1" applyBorder="1" applyFont="1">
      <alignment horizontal="center" readingOrder="0" vertical="center"/>
    </xf>
    <xf borderId="5" fillId="0" fontId="13" numFmtId="0" xfId="0" applyAlignment="1" applyBorder="1" applyFont="1">
      <alignment horizontal="center" readingOrder="0" vertical="bottom"/>
    </xf>
    <xf borderId="1" fillId="0" fontId="5" numFmtId="0" xfId="0" applyAlignment="1" applyBorder="1" applyFont="1">
      <alignment horizontal="center" readingOrder="0" shrinkToFit="0" vertical="center" wrapText="1"/>
    </xf>
    <xf borderId="5" fillId="0" fontId="13" numFmtId="0" xfId="0" applyAlignment="1" applyBorder="1" applyFont="1">
      <alignment horizontal="center" vertical="center"/>
    </xf>
    <xf borderId="0" fillId="0" fontId="5" numFmtId="0" xfId="0" applyFont="1"/>
    <xf borderId="3" fillId="0" fontId="13" numFmtId="0" xfId="0" applyAlignment="1" applyBorder="1" applyFont="1">
      <alignment horizontal="center" vertical="bottom"/>
    </xf>
    <xf borderId="5" fillId="0" fontId="13" numFmtId="0" xfId="0" applyAlignment="1" applyBorder="1" applyFont="1">
      <alignment readingOrder="0" vertical="bottom"/>
    </xf>
    <xf borderId="1" fillId="0" fontId="13" numFmtId="0" xfId="0" applyAlignment="1" applyBorder="1" applyFont="1">
      <alignment horizontal="center" vertical="center"/>
    </xf>
    <xf borderId="3" fillId="5" fontId="13" numFmtId="0" xfId="0" applyAlignment="1" applyBorder="1" applyFont="1">
      <alignment horizontal="center" vertical="bottom"/>
    </xf>
    <xf borderId="1" fillId="0" fontId="5" numFmtId="0" xfId="0" applyBorder="1" applyFont="1"/>
    <xf borderId="1" fillId="0" fontId="10" numFmtId="0" xfId="0" applyAlignment="1" applyBorder="1" applyFont="1">
      <alignment horizontal="left" readingOrder="0" shrinkToFit="0" vertical="top" wrapText="1"/>
    </xf>
    <xf borderId="5" fillId="5" fontId="13" numFmtId="0" xfId="0" applyAlignment="1" applyBorder="1" applyFont="1">
      <alignment horizontal="center" readingOrder="0" vertical="bottom"/>
    </xf>
    <xf borderId="5" fillId="5" fontId="13" numFmtId="0" xfId="0" applyAlignment="1" applyBorder="1" applyFont="1">
      <alignment readingOrder="0" vertical="bottom"/>
    </xf>
    <xf borderId="5" fillId="0" fontId="14" numFmtId="0" xfId="0" applyAlignment="1" applyBorder="1" applyFont="1">
      <alignment horizontal="center" readingOrder="0" vertical="center"/>
    </xf>
    <xf borderId="5" fillId="0" fontId="13" numFmtId="0" xfId="0" applyAlignment="1" applyBorder="1" applyFont="1">
      <alignment horizontal="center" vertical="bottom"/>
    </xf>
    <xf borderId="5" fillId="0" fontId="15" numFmtId="0" xfId="0" applyAlignment="1" applyBorder="1" applyFont="1">
      <alignment horizontal="center" readingOrder="0" vertical="bottom"/>
    </xf>
    <xf borderId="5" fillId="0" fontId="14" numFmtId="0" xfId="0" applyAlignment="1" applyBorder="1" applyFont="1">
      <alignment horizontal="center" readingOrder="0" vertical="bottom"/>
    </xf>
    <xf borderId="5" fillId="0" fontId="16" numFmtId="0" xfId="0" applyAlignment="1" applyBorder="1" applyFont="1">
      <alignment horizontal="center" vertical="bottom"/>
    </xf>
    <xf borderId="5" fillId="0" fontId="16" numFmtId="0" xfId="0" applyAlignment="1" applyBorder="1" applyFont="1">
      <alignment horizontal="center" readingOrder="0" vertical="bottom"/>
    </xf>
    <xf borderId="3" fillId="5" fontId="13" numFmtId="0" xfId="0" applyAlignment="1" applyBorder="1" applyFont="1">
      <alignment horizontal="center" readingOrder="0" vertical="bottom"/>
    </xf>
    <xf borderId="5" fillId="0" fontId="13" numFmtId="0" xfId="0" applyAlignment="1" applyBorder="1" applyFont="1">
      <alignment horizontal="center"/>
    </xf>
    <xf borderId="5" fillId="0" fontId="13" numFmtId="0" xfId="0" applyAlignment="1" applyBorder="1" applyFont="1">
      <alignment horizontal="center" readingOrder="0"/>
    </xf>
    <xf borderId="6" fillId="5" fontId="17" numFmtId="0" xfId="0" applyAlignment="1" applyBorder="1" applyFont="1">
      <alignment horizontal="left" readingOrder="0" vertical="bottom"/>
    </xf>
    <xf borderId="1" fillId="0" fontId="5" numFmtId="0" xfId="0" applyAlignment="1" applyBorder="1" applyFont="1">
      <alignment horizontal="center"/>
    </xf>
    <xf borderId="1" fillId="0" fontId="13" numFmtId="0" xfId="0" applyAlignment="1" applyBorder="1" applyFont="1">
      <alignment horizontal="center" vertical="bottom"/>
    </xf>
    <xf borderId="3" fillId="0" fontId="5" numFmtId="0" xfId="0" applyAlignment="1" applyBorder="1" applyFont="1">
      <alignment horizontal="left" readingOrder="0" shrinkToFit="0" vertical="top" wrapText="1"/>
    </xf>
    <xf borderId="5" fillId="0" fontId="5" numFmtId="0" xfId="0" applyAlignment="1" applyBorder="1" applyFont="1">
      <alignment horizontal="center" shrinkToFit="0" vertical="center" wrapText="1"/>
    </xf>
    <xf borderId="3" fillId="0" fontId="5" numFmtId="0" xfId="0" applyAlignment="1" applyBorder="1" applyFont="1">
      <alignment horizontal="left" shrinkToFit="0" vertical="top" wrapText="1"/>
    </xf>
    <xf borderId="5" fillId="5" fontId="13" numFmtId="0" xfId="0" applyAlignment="1" applyBorder="1" applyFont="1">
      <alignment horizontal="left" readingOrder="0" vertical="bottom"/>
    </xf>
    <xf borderId="5" fillId="5" fontId="13" numFmtId="0" xfId="0" applyAlignment="1" applyBorder="1" applyFont="1">
      <alignment horizontal="center" vertical="bottom"/>
    </xf>
    <xf borderId="5" fillId="5" fontId="13" numFmtId="0" xfId="0" applyAlignment="1" applyBorder="1" applyFont="1">
      <alignment vertical="bottom"/>
    </xf>
    <xf borderId="3" fillId="5" fontId="13" numFmtId="0" xfId="0" applyAlignment="1" applyBorder="1" applyFont="1">
      <alignment horizontal="right" vertical="bottom"/>
    </xf>
    <xf borderId="3" fillId="5" fontId="14" numFmtId="0" xfId="0" applyAlignment="1" applyBorder="1" applyFont="1">
      <alignment horizontal="center" readingOrder="0"/>
    </xf>
    <xf borderId="5" fillId="5" fontId="13" numFmtId="0" xfId="0" applyAlignment="1" applyBorder="1" applyFont="1">
      <alignment horizontal="center" readingOrder="0"/>
    </xf>
    <xf borderId="5" fillId="5" fontId="13" numFmtId="0" xfId="0" applyAlignment="1" applyBorder="1" applyFont="1">
      <alignment readingOrder="0"/>
    </xf>
    <xf borderId="3" fillId="5" fontId="13" numFmtId="0" xfId="0" applyAlignment="1" applyBorder="1" applyFont="1">
      <alignment horizontal="center"/>
    </xf>
    <xf borderId="3" fillId="5" fontId="14" numFmtId="0" xfId="0" applyAlignment="1" applyBorder="1" applyFont="1">
      <alignment horizontal="center" readingOrder="0" vertical="bottom"/>
    </xf>
    <xf borderId="1" fillId="0" fontId="12" numFmtId="0" xfId="0" applyAlignment="1" applyBorder="1" applyFont="1">
      <alignment horizontal="right" readingOrder="0" shrinkToFit="0" wrapText="1"/>
    </xf>
    <xf borderId="8" fillId="7" fontId="11" numFmtId="0" xfId="0" applyAlignment="1" applyBorder="1" applyFill="1" applyFont="1">
      <alignment horizontal="right" readingOrder="0" shrinkToFit="0" wrapText="1"/>
    </xf>
    <xf borderId="1" fillId="0" fontId="10" numFmtId="0" xfId="0" applyAlignment="1" applyBorder="1" applyFont="1">
      <alignment horizontal="center" shrinkToFit="0" vertical="top" wrapText="1"/>
    </xf>
    <xf borderId="0" fillId="0" fontId="5" numFmtId="0" xfId="0" applyAlignment="1" applyFont="1">
      <alignment horizontal="left"/>
    </xf>
    <xf borderId="8" fillId="0" fontId="11" numFmtId="0" xfId="0" applyAlignment="1" applyBorder="1" applyFont="1">
      <alignment horizontal="right" readingOrder="0" shrinkToFit="0" wrapText="1"/>
    </xf>
    <xf borderId="1" fillId="0" fontId="10" numFmtId="10" xfId="0" applyAlignment="1" applyBorder="1" applyFont="1" applyNumberFormat="1">
      <alignment horizontal="center" shrinkToFit="0" vertical="top" wrapText="1"/>
    </xf>
    <xf borderId="0" fillId="7" fontId="5" numFmtId="0" xfId="0" applyAlignment="1" applyFont="1">
      <alignment readingOrder="0"/>
    </xf>
    <xf borderId="8" fillId="0" fontId="11" numFmtId="0" xfId="0" applyAlignment="1" applyBorder="1" applyFont="1">
      <alignment horizontal="center" readingOrder="0" shrinkToFit="0" wrapText="1"/>
    </xf>
    <xf borderId="1" fillId="0" fontId="11" numFmtId="0" xfId="0" applyAlignment="1" applyBorder="1" applyFont="1">
      <alignment horizontal="center" readingOrder="0" shrinkToFit="0" wrapText="1"/>
    </xf>
    <xf borderId="0" fillId="8" fontId="5" numFmtId="0" xfId="0" applyAlignment="1" applyFill="1" applyFont="1">
      <alignment readingOrder="0"/>
    </xf>
    <xf borderId="0" fillId="0" fontId="5" numFmtId="10" xfId="0" applyAlignment="1" applyFont="1" applyNumberFormat="1">
      <alignment horizontal="center"/>
    </xf>
    <xf borderId="0" fillId="9" fontId="5" numFmtId="0" xfId="0" applyAlignment="1" applyFill="1" applyFont="1">
      <alignment readingOrder="0"/>
    </xf>
    <xf borderId="8" fillId="8" fontId="11" numFmtId="0" xfId="0" applyAlignment="1" applyBorder="1" applyFont="1">
      <alignment horizontal="right" readingOrder="0" shrinkToFit="0" wrapText="1"/>
    </xf>
    <xf borderId="0" fillId="10" fontId="5" numFmtId="0" xfId="0" applyAlignment="1" applyFill="1" applyFont="1">
      <alignment readingOrder="0"/>
    </xf>
    <xf borderId="0" fillId="11" fontId="5" numFmtId="0" xfId="0" applyAlignment="1" applyFill="1" applyFont="1">
      <alignment readingOrder="0"/>
    </xf>
    <xf borderId="0" fillId="12" fontId="5" numFmtId="0" xfId="0" applyAlignment="1" applyFill="1" applyFont="1">
      <alignment readingOrder="0"/>
    </xf>
    <xf borderId="8" fillId="9" fontId="11" numFmtId="0" xfId="0" applyAlignment="1" applyBorder="1" applyFont="1">
      <alignment horizontal="right" readingOrder="0" shrinkToFit="0" wrapText="1"/>
    </xf>
    <xf borderId="8" fillId="10" fontId="11" numFmtId="0" xfId="0" applyAlignment="1" applyBorder="1" applyFont="1">
      <alignment horizontal="right" readingOrder="0" shrinkToFit="0" wrapText="1"/>
    </xf>
    <xf borderId="8" fillId="11" fontId="11" numFmtId="0" xfId="0" applyAlignment="1" applyBorder="1" applyFont="1">
      <alignment horizontal="right" readingOrder="0" shrinkToFit="0" wrapText="1"/>
    </xf>
    <xf borderId="8" fillId="12" fontId="11" numFmtId="0" xfId="0" applyAlignment="1" applyBorder="1" applyFont="1">
      <alignment horizontal="right" readingOrder="0" shrinkToFit="0" wrapText="1"/>
    </xf>
    <xf borderId="8" fillId="13" fontId="11" numFmtId="0" xfId="0" applyAlignment="1" applyBorder="1" applyFill="1" applyFont="1">
      <alignment horizontal="right" readingOrder="0" shrinkToFit="0" wrapText="1"/>
    </xf>
    <xf borderId="8" fillId="14" fontId="11" numFmtId="0" xfId="0" applyAlignment="1" applyBorder="1" applyFill="1" applyFont="1">
      <alignment horizontal="right" readingOrder="0" shrinkToFit="0" wrapText="1"/>
    </xf>
    <xf borderId="8" fillId="15" fontId="11" numFmtId="0" xfId="0" applyAlignment="1" applyBorder="1" applyFill="1" applyFont="1">
      <alignment horizontal="right" readingOrder="0" shrinkToFit="0" wrapText="1"/>
    </xf>
    <xf borderId="8" fillId="16" fontId="11" numFmtId="0" xfId="0" applyAlignment="1" applyBorder="1" applyFill="1" applyFont="1">
      <alignment horizontal="right" readingOrder="0" shrinkToFit="0" wrapText="1"/>
    </xf>
    <xf borderId="7" fillId="0" fontId="18" numFmtId="0" xfId="0" applyAlignment="1" applyBorder="1" applyFont="1">
      <alignment horizontal="center" readingOrder="0" shrinkToFit="0" vertical="center" wrapText="1"/>
    </xf>
    <xf borderId="8" fillId="0" fontId="18" numFmtId="0" xfId="0" applyAlignment="1" applyBorder="1" applyFont="1">
      <alignment horizontal="center" readingOrder="0" shrinkToFit="0" vertical="center" wrapText="1"/>
    </xf>
    <xf borderId="10" fillId="0" fontId="4" numFmtId="0" xfId="0" applyBorder="1" applyFont="1"/>
    <xf borderId="1" fillId="0" fontId="18" numFmtId="0" xfId="0" applyAlignment="1" applyBorder="1" applyFont="1">
      <alignment horizontal="center" readingOrder="0" shrinkToFit="0" vertical="center" wrapText="1"/>
    </xf>
    <xf borderId="10" fillId="17" fontId="19" numFmtId="0" xfId="0" applyAlignment="1" applyBorder="1" applyFill="1" applyFont="1">
      <alignment horizontal="center" readingOrder="0" shrinkToFit="0" vertical="top" wrapText="1"/>
    </xf>
    <xf borderId="5" fillId="17" fontId="19" numFmtId="0" xfId="0" applyAlignment="1" applyBorder="1" applyFont="1">
      <alignment readingOrder="0" shrinkToFit="0" vertical="top" wrapText="1"/>
    </xf>
    <xf borderId="1" fillId="0" fontId="19" numFmtId="0" xfId="0" applyAlignment="1" applyBorder="1" applyFont="1">
      <alignment horizontal="center" readingOrder="0" shrinkToFit="0" vertical="center" wrapText="1"/>
    </xf>
    <xf borderId="2" fillId="0" fontId="19" numFmtId="0" xfId="0" applyAlignment="1" applyBorder="1" applyFont="1">
      <alignment horizontal="center" readingOrder="0" shrinkToFit="0" vertical="center" wrapText="1"/>
    </xf>
    <xf borderId="2" fillId="0" fontId="19" numFmtId="0" xfId="0" applyAlignment="1" applyBorder="1" applyFont="1">
      <alignment horizontal="center" vertical="center"/>
    </xf>
    <xf borderId="2" fillId="0" fontId="19" numFmtId="0" xfId="0" applyAlignment="1" applyBorder="1" applyFont="1">
      <alignment horizontal="center" shrinkToFit="0" vertical="center" wrapText="1"/>
    </xf>
    <xf borderId="2" fillId="0" fontId="19" numFmtId="0" xfId="0" applyAlignment="1" applyBorder="1" applyFont="1">
      <alignment horizontal="center" vertical="center"/>
    </xf>
    <xf borderId="2" fillId="0" fontId="20" numFmtId="0" xfId="0" applyAlignment="1" applyBorder="1" applyFont="1">
      <alignment horizontal="center" readingOrder="0" vertical="center"/>
    </xf>
    <xf borderId="1" fillId="0" fontId="20" numFmtId="0" xfId="0" applyAlignment="1" applyBorder="1" applyFont="1">
      <alignment horizontal="center" vertical="center"/>
    </xf>
    <xf borderId="2" fillId="0" fontId="20" numFmtId="0" xfId="0" applyAlignment="1" applyBorder="1" applyFont="1">
      <alignment horizontal="center" vertical="center"/>
    </xf>
    <xf borderId="7" fillId="17" fontId="19" numFmtId="0" xfId="0" applyAlignment="1" applyBorder="1" applyFont="1">
      <alignment horizontal="center" readingOrder="0" shrinkToFit="0" vertical="center" wrapText="1"/>
    </xf>
    <xf borderId="11" fillId="17" fontId="19" numFmtId="0" xfId="0" applyAlignment="1" applyBorder="1" applyFont="1">
      <alignment readingOrder="0" shrinkToFit="0" vertical="top" wrapText="1"/>
    </xf>
    <xf borderId="1" fillId="5" fontId="21" numFmtId="0" xfId="0" applyAlignment="1" applyBorder="1" applyFont="1">
      <alignment horizontal="center" readingOrder="0" shrinkToFit="0" vertical="bottom" wrapText="0"/>
    </xf>
    <xf borderId="1" fillId="0" fontId="21" numFmtId="0" xfId="0" applyAlignment="1" applyBorder="1" applyFont="1">
      <alignment horizontal="center" readingOrder="0" shrinkToFit="0" vertical="bottom" wrapText="0"/>
    </xf>
    <xf borderId="1" fillId="0" fontId="19" numFmtId="0" xfId="0" applyAlignment="1" applyBorder="1" applyFont="1">
      <alignment horizontal="center" vertical="bottom"/>
    </xf>
    <xf borderId="5" fillId="0" fontId="19" numFmtId="0" xfId="0" applyAlignment="1" applyBorder="1" applyFont="1">
      <alignment horizontal="center" readingOrder="0" vertical="center"/>
    </xf>
    <xf borderId="5" fillId="0" fontId="19" numFmtId="0" xfId="0" applyAlignment="1" applyBorder="1" applyFont="1">
      <alignment horizontal="center" vertical="center"/>
    </xf>
    <xf borderId="5" fillId="0" fontId="19" numFmtId="0" xfId="0" applyAlignment="1" applyBorder="1" applyFont="1">
      <alignment horizontal="center" shrinkToFit="0" vertical="center" wrapText="1"/>
    </xf>
    <xf borderId="5" fillId="0" fontId="19" numFmtId="0" xfId="0" applyAlignment="1" applyBorder="1" applyFont="1">
      <alignment horizontal="center" shrinkToFit="0" vertical="center" wrapText="1"/>
    </xf>
    <xf borderId="10" fillId="16" fontId="19" numFmtId="0" xfId="0" applyAlignment="1" applyBorder="1" applyFont="1">
      <alignment horizontal="center" readingOrder="0" shrinkToFit="0" vertical="center" wrapText="1"/>
    </xf>
    <xf borderId="4" fillId="16" fontId="19" numFmtId="0" xfId="0" applyAlignment="1" applyBorder="1" applyFont="1">
      <alignment readingOrder="0" shrinkToFit="0" vertical="center" wrapText="1"/>
    </xf>
    <xf borderId="3" fillId="5" fontId="22" numFmtId="0" xfId="0" applyAlignment="1" applyBorder="1" applyFont="1">
      <alignment horizontal="center" readingOrder="0" vertical="center"/>
    </xf>
    <xf borderId="5" fillId="0" fontId="19" numFmtId="0" xfId="0" applyAlignment="1" applyBorder="1" applyFont="1">
      <alignment horizontal="center" vertical="center"/>
    </xf>
    <xf borderId="5" fillId="0" fontId="19" numFmtId="0" xfId="0" applyAlignment="1" applyBorder="1" applyFont="1">
      <alignment horizontal="center" readingOrder="0" shrinkToFit="0" vertical="center" wrapText="1"/>
    </xf>
    <xf borderId="1" fillId="0" fontId="19" numFmtId="0" xfId="0" applyAlignment="1" applyBorder="1" applyFont="1">
      <alignment horizontal="center" vertical="center"/>
    </xf>
    <xf borderId="1" fillId="0" fontId="19" numFmtId="0" xfId="0" applyAlignment="1" applyBorder="1" applyFont="1">
      <alignment horizontal="center" readingOrder="0" vertical="center"/>
    </xf>
    <xf borderId="3" fillId="0" fontId="19" numFmtId="0" xfId="0" applyAlignment="1" applyBorder="1" applyFont="1">
      <alignment horizontal="center" readingOrder="0" shrinkToFit="0" vertical="center" wrapText="1"/>
    </xf>
    <xf borderId="1" fillId="0" fontId="19" numFmtId="0" xfId="0" applyAlignment="1" applyBorder="1" applyFont="1">
      <alignment horizontal="center" vertical="center"/>
    </xf>
    <xf borderId="7" fillId="18" fontId="19" numFmtId="0" xfId="0" applyAlignment="1" applyBorder="1" applyFill="1" applyFont="1">
      <alignment horizontal="center" readingOrder="0" shrinkToFit="0" vertical="center" wrapText="1"/>
    </xf>
    <xf borderId="11" fillId="18" fontId="19" numFmtId="0" xfId="0" applyAlignment="1" applyBorder="1" applyFont="1">
      <alignment readingOrder="0" shrinkToFit="0" vertical="top" wrapText="1"/>
    </xf>
    <xf borderId="1" fillId="0" fontId="19" numFmtId="0" xfId="0" applyAlignment="1" applyBorder="1" applyFont="1">
      <alignment horizontal="center"/>
    </xf>
    <xf borderId="1" fillId="5" fontId="22" numFmtId="0" xfId="0" applyAlignment="1" applyBorder="1" applyFont="1">
      <alignment horizontal="center" readingOrder="0" vertical="center"/>
    </xf>
    <xf borderId="1" fillId="0" fontId="19" numFmtId="0" xfId="0" applyAlignment="1" applyBorder="1" applyFont="1">
      <alignment horizontal="center" shrinkToFit="0" vertical="center" wrapText="1"/>
    </xf>
    <xf borderId="1" fillId="0" fontId="19" numFmtId="0" xfId="0" applyAlignment="1" applyBorder="1" applyFont="1">
      <alignment horizontal="center" shrinkToFit="0" vertical="center" wrapText="1"/>
    </xf>
    <xf borderId="10" fillId="18" fontId="19" numFmtId="0" xfId="0" applyAlignment="1" applyBorder="1" applyFont="1">
      <alignment horizontal="center" readingOrder="0" shrinkToFit="0" vertical="center" wrapText="1"/>
    </xf>
    <xf borderId="4" fillId="18" fontId="19" numFmtId="0" xfId="0" applyAlignment="1" applyBorder="1" applyFont="1">
      <alignment readingOrder="0" shrinkToFit="0" vertical="top" wrapText="1"/>
    </xf>
    <xf borderId="1" fillId="5" fontId="19" numFmtId="0" xfId="0" applyAlignment="1" applyBorder="1" applyFont="1">
      <alignment horizontal="center" vertical="bottom"/>
    </xf>
    <xf borderId="10" fillId="19" fontId="19" numFmtId="0" xfId="0" applyAlignment="1" applyBorder="1" applyFill="1" applyFont="1">
      <alignment horizontal="center" readingOrder="0" shrinkToFit="0" vertical="center" wrapText="1"/>
    </xf>
    <xf borderId="4" fillId="19" fontId="19" numFmtId="0" xfId="0" applyAlignment="1" applyBorder="1" applyFont="1">
      <alignment readingOrder="0" shrinkToFit="0" vertical="center" wrapText="1"/>
    </xf>
    <xf borderId="7" fillId="19" fontId="19" numFmtId="0" xfId="0" applyAlignment="1" applyBorder="1" applyFont="1">
      <alignment horizontal="center" readingOrder="0" shrinkToFit="0" vertical="center" wrapText="1"/>
    </xf>
    <xf borderId="11" fillId="19" fontId="19" numFmtId="0" xfId="0" applyAlignment="1" applyBorder="1" applyFont="1">
      <alignment readingOrder="0" shrinkToFit="0" vertical="top" wrapText="1"/>
    </xf>
    <xf borderId="11" fillId="19" fontId="19" numFmtId="0" xfId="0" applyAlignment="1" applyBorder="1" applyFont="1">
      <alignment readingOrder="0" shrinkToFit="0" vertical="center" wrapText="1"/>
    </xf>
    <xf borderId="1" fillId="0" fontId="19" numFmtId="0" xfId="0" applyAlignment="1" applyBorder="1" applyFont="1">
      <alignment horizontal="center" vertical="bottom"/>
    </xf>
    <xf borderId="1" fillId="0" fontId="20" numFmtId="0" xfId="0" applyAlignment="1" applyBorder="1" applyFont="1">
      <alignment horizontal="center" vertical="center"/>
    </xf>
    <xf borderId="1" fillId="5" fontId="23" numFmtId="0" xfId="0" applyAlignment="1" applyBorder="1" applyFont="1">
      <alignment horizontal="center" readingOrder="0" vertical="center"/>
    </xf>
    <xf borderId="10" fillId="19" fontId="19" numFmtId="0" xfId="0" applyAlignment="1" applyBorder="1" applyFont="1">
      <alignment horizontal="center" readingOrder="0" shrinkToFit="0" vertical="top" wrapText="1"/>
    </xf>
    <xf borderId="4" fillId="19" fontId="19" numFmtId="0" xfId="0" applyAlignment="1" applyBorder="1" applyFont="1">
      <alignment readingOrder="0" shrinkToFit="0" vertical="top" wrapText="1"/>
    </xf>
    <xf borderId="3" fillId="19" fontId="19" numFmtId="0" xfId="0" applyAlignment="1" applyBorder="1" applyFont="1">
      <alignment horizontal="center" readingOrder="0" shrinkToFit="0" vertical="top" wrapText="1"/>
    </xf>
    <xf borderId="1" fillId="5" fontId="21" numFmtId="0" xfId="0" applyAlignment="1" applyBorder="1" applyFont="1">
      <alignment horizontal="center" readingOrder="0" vertical="center"/>
    </xf>
    <xf borderId="7" fillId="0" fontId="21" numFmtId="0" xfId="0" applyAlignment="1" applyBorder="1" applyFont="1">
      <alignment horizontal="center" readingOrder="0" vertical="center"/>
    </xf>
    <xf borderId="7" fillId="0" fontId="19" numFmtId="0" xfId="0" applyAlignment="1" applyBorder="1" applyFont="1">
      <alignment readingOrder="0" shrinkToFit="0" vertical="center" wrapText="1"/>
    </xf>
    <xf borderId="7" fillId="0" fontId="19" numFmtId="0" xfId="0" applyAlignment="1" applyBorder="1" applyFont="1">
      <alignment horizontal="center" readingOrder="0" shrinkToFit="0" vertical="center" wrapText="1"/>
    </xf>
    <xf borderId="8" fillId="0" fontId="21" numFmtId="0" xfId="0" applyAlignment="1" applyBorder="1" applyFont="1">
      <alignment horizontal="center" readingOrder="0" shrinkToFit="0" vertical="center" wrapText="1"/>
    </xf>
    <xf borderId="0" fillId="0" fontId="19" numFmtId="0" xfId="0" applyFont="1"/>
    <xf borderId="1" fillId="0" fontId="21" numFmtId="0" xfId="0" applyAlignment="1" applyBorder="1" applyFont="1">
      <alignment horizontal="center" readingOrder="0" shrinkToFit="0" vertical="center" wrapText="1"/>
    </xf>
    <xf borderId="1" fillId="0" fontId="21" numFmtId="0" xfId="0" applyAlignment="1" applyBorder="1" applyFont="1">
      <alignment readingOrder="0" shrinkToFit="0" vertical="bottom" wrapText="0"/>
    </xf>
    <xf borderId="1" fillId="0" fontId="19" numFmtId="0" xfId="0" applyAlignment="1" applyBorder="1" applyFont="1">
      <alignment horizontal="center" shrinkToFit="0" vertical="top" wrapText="1"/>
    </xf>
    <xf borderId="1" fillId="0" fontId="19" numFmtId="0" xfId="0" applyAlignment="1" applyBorder="1" applyFont="1">
      <alignment horizontal="center" readingOrder="0" vertical="top"/>
    </xf>
    <xf borderId="1" fillId="0" fontId="19" numFmtId="0" xfId="0" applyAlignment="1" applyBorder="1" applyFont="1">
      <alignment horizontal="center" vertical="top"/>
    </xf>
    <xf borderId="1" fillId="0" fontId="19" numFmtId="0" xfId="0" applyAlignment="1" applyBorder="1" applyFont="1">
      <alignment horizontal="center" readingOrder="0" shrinkToFit="0" vertical="top" wrapText="1"/>
    </xf>
    <xf borderId="1" fillId="0" fontId="19" numFmtId="0" xfId="0" applyBorder="1" applyFont="1"/>
    <xf borderId="1" fillId="0" fontId="21" numFmtId="0" xfId="0" applyAlignment="1" applyBorder="1" applyFont="1">
      <alignment horizontal="center" shrinkToFit="0" vertical="bottom" wrapText="0"/>
    </xf>
    <xf borderId="1" fillId="0" fontId="19" numFmtId="0" xfId="0" applyAlignment="1" applyBorder="1" applyFont="1">
      <alignment horizontal="center" readingOrder="0"/>
    </xf>
    <xf borderId="0" fillId="0" fontId="19" numFmtId="0" xfId="0" applyAlignment="1" applyFont="1">
      <alignment horizontal="center"/>
    </xf>
    <xf borderId="0" fillId="0" fontId="19" numFmtId="0" xfId="0" applyAlignment="1" applyFont="1">
      <alignment horizontal="center" readingOrder="0"/>
    </xf>
    <xf borderId="12" fillId="5" fontId="13" numFmtId="0" xfId="0" applyAlignment="1" applyBorder="1" applyFont="1">
      <alignment horizontal="center" vertical="bottom"/>
    </xf>
    <xf borderId="13" fillId="5" fontId="13" numFmtId="0" xfId="0" applyAlignment="1" applyBorder="1" applyFont="1">
      <alignment horizontal="center" vertical="bottom"/>
    </xf>
    <xf borderId="13" fillId="5" fontId="13" numFmtId="0" xfId="0" applyAlignment="1" applyBorder="1" applyFont="1">
      <alignment vertical="bottom"/>
    </xf>
    <xf borderId="5" fillId="5" fontId="13" numFmtId="0" xfId="0" applyAlignment="1" applyBorder="1" applyFont="1">
      <alignment horizontal="center" vertical="bottom"/>
    </xf>
    <xf borderId="5" fillId="5" fontId="13" numFmtId="0" xfId="0" applyAlignment="1" applyBorder="1" applyFont="1">
      <alignment vertical="bottom"/>
    </xf>
    <xf borderId="5" fillId="0" fontId="13" numFmtId="0" xfId="0" applyAlignment="1" applyBorder="1" applyFont="1">
      <alignment horizontal="center" vertical="bottom"/>
    </xf>
    <xf borderId="5" fillId="0" fontId="13" numFmtId="0" xfId="0" applyAlignment="1" applyBorder="1" applyFont="1">
      <alignment vertical="bottom"/>
    </xf>
    <xf borderId="5" fillId="0" fontId="13" numFmtId="0" xfId="0" applyAlignment="1" applyBorder="1" applyFont="1">
      <alignment vertical="bottom"/>
    </xf>
    <xf borderId="5" fillId="5" fontId="13" numFmtId="0" xfId="0" applyAlignment="1" applyBorder="1" applyFont="1">
      <alignment horizontal="center" vertical="center"/>
    </xf>
    <xf borderId="5" fillId="5" fontId="16" numFmtId="0" xfId="0" applyAlignment="1" applyBorder="1" applyFont="1">
      <alignment horizontal="center" vertical="bottom"/>
    </xf>
    <xf borderId="3" fillId="5" fontId="17" numFmtId="0" xfId="0" applyAlignment="1" applyBorder="1" applyFont="1">
      <alignment horizontal="center" vertical="bottom"/>
    </xf>
    <xf borderId="2" fillId="0" fontId="13" numFmtId="0" xfId="0" applyAlignment="1" applyBorder="1" applyFont="1">
      <alignment vertical="bottom"/>
    </xf>
    <xf borderId="5" fillId="5" fontId="13" numFmtId="0" xfId="0" applyAlignment="1" applyBorder="1" applyFont="1">
      <alignment horizontal="center"/>
    </xf>
    <xf borderId="5" fillId="5" fontId="13" numFmtId="0" xfId="0" applyBorder="1" applyFont="1"/>
    <xf borderId="5" fillId="0" fontId="13" numFmtId="0" xfId="0" applyBorder="1" applyFont="1"/>
    <xf borderId="3" fillId="0" fontId="13" numFmtId="0" xfId="0" applyAlignment="1" applyBorder="1" applyFont="1">
      <alignment horizontal="center"/>
    </xf>
    <xf borderId="6" fillId="5" fontId="13" numFmtId="0" xfId="0" applyBorder="1" applyFont="1"/>
    <xf borderId="12" fillId="5" fontId="13" numFmtId="0" xfId="0" applyAlignment="1" applyBorder="1" applyFont="1">
      <alignment horizontal="right" vertical="bottom"/>
    </xf>
    <xf borderId="5" fillId="5" fontId="13" numFmtId="0" xfId="0" applyAlignment="1" applyBorder="1" applyFont="1">
      <alignment shrinkToFit="0" wrapText="1"/>
    </xf>
    <xf borderId="0" fillId="0" fontId="24" numFmtId="0" xfId="0" applyAlignment="1" applyFont="1">
      <alignment horizontal="center" vertical="bottom"/>
    </xf>
    <xf borderId="0" fillId="0" fontId="13" numFmtId="0" xfId="0" applyAlignment="1" applyFont="1">
      <alignment vertical="bottom"/>
    </xf>
    <xf borderId="6" fillId="0" fontId="13" numFmtId="0" xfId="0" applyAlignment="1" applyBorder="1" applyFont="1">
      <alignment vertical="bottom"/>
    </xf>
    <xf borderId="14" fillId="0" fontId="17" numFmtId="0" xfId="0" applyAlignment="1" applyBorder="1" applyFont="1">
      <alignment horizontal="right" vertical="bottom"/>
    </xf>
    <xf borderId="5" fillId="0" fontId="17" numFmtId="0" xfId="0" applyAlignment="1" applyBorder="1" applyFont="1">
      <alignment horizontal="right" vertical="bottom"/>
    </xf>
    <xf borderId="15" fillId="12" fontId="17" numFmtId="0" xfId="0" applyAlignment="1" applyBorder="1" applyFont="1">
      <alignment horizontal="center" vertical="bottom"/>
    </xf>
    <xf borderId="16" fillId="12" fontId="17" numFmtId="0" xfId="0" applyAlignment="1" applyBorder="1" applyFont="1">
      <alignment horizontal="center" vertical="bottom"/>
    </xf>
    <xf borderId="6" fillId="12" fontId="17" numFmtId="0" xfId="0" applyAlignment="1" applyBorder="1" applyFont="1">
      <alignment horizontal="center" vertical="bottom"/>
    </xf>
    <xf borderId="6" fillId="20" fontId="17" numFmtId="0" xfId="0" applyAlignment="1" applyBorder="1" applyFill="1" applyFont="1">
      <alignment horizontal="center" vertical="bottom"/>
    </xf>
    <xf borderId="17" fillId="0" fontId="4" numFmtId="0" xfId="0" applyBorder="1" applyFont="1"/>
    <xf borderId="18" fillId="0" fontId="4" numFmtId="0" xfId="0" applyBorder="1" applyFont="1"/>
    <xf borderId="5" fillId="12" fontId="17" numFmtId="0" xfId="0" applyAlignment="1" applyBorder="1" applyFont="1">
      <alignment horizontal="center" vertical="bottom"/>
    </xf>
    <xf borderId="0" fillId="0" fontId="13" numFmtId="0" xfId="0" applyAlignment="1" applyFont="1">
      <alignment horizontal="right" vertical="bottom"/>
    </xf>
    <xf borderId="5" fillId="6" fontId="13" numFmtId="0" xfId="0" applyAlignment="1" applyBorder="1" applyFont="1">
      <alignment vertical="bottom"/>
    </xf>
    <xf borderId="0" fillId="0" fontId="13" numFmtId="0" xfId="0" applyAlignment="1" applyFont="1">
      <alignment shrinkToFit="0" vertical="bottom" wrapText="0"/>
    </xf>
    <xf borderId="14" fillId="12" fontId="17" numFmtId="0" xfId="0" applyAlignment="1" applyBorder="1" applyFont="1">
      <alignment horizontal="center" vertical="bottom"/>
    </xf>
    <xf borderId="6" fillId="0" fontId="4" numFmtId="0" xfId="0" applyBorder="1" applyFont="1"/>
    <xf borderId="5" fillId="12" fontId="13" numFmtId="0" xfId="0" applyAlignment="1" applyBorder="1" applyFont="1">
      <alignment vertical="bottom"/>
    </xf>
    <xf borderId="15" fillId="20" fontId="17" numFmtId="0" xfId="0" applyAlignment="1" applyBorder="1" applyFont="1">
      <alignment horizontal="center" vertical="bottom"/>
    </xf>
    <xf borderId="16" fillId="20" fontId="17" numFmtId="0" xfId="0" applyAlignment="1" applyBorder="1" applyFont="1">
      <alignment horizontal="center" vertical="bottom"/>
    </xf>
    <xf borderId="5" fillId="20" fontId="17" numFmtId="0" xfId="0" applyAlignment="1" applyBorder="1" applyFont="1">
      <alignment horizontal="center" vertical="bottom"/>
    </xf>
    <xf borderId="5" fillId="20" fontId="17" numFmtId="0" xfId="0" applyAlignment="1" applyBorder="1" applyFont="1">
      <alignment vertical="bottom"/>
    </xf>
    <xf borderId="0" fillId="5" fontId="13" numFmtId="0" xfId="0" applyAlignment="1" applyFont="1">
      <alignment vertical="bottom"/>
    </xf>
    <xf borderId="14" fillId="20" fontId="17" numFmtId="0" xfId="0" applyAlignment="1" applyBorder="1" applyFont="1">
      <alignment horizontal="center" vertical="bottom"/>
    </xf>
    <xf borderId="5" fillId="20" fontId="13" numFmtId="0" xfId="0" applyAlignment="1" applyBorder="1" applyFont="1">
      <alignment vertical="bottom"/>
    </xf>
    <xf borderId="15" fillId="21" fontId="17" numFmtId="0" xfId="0" applyAlignment="1" applyBorder="1" applyFill="1" applyFont="1">
      <alignment horizontal="center" vertical="bottom"/>
    </xf>
    <xf borderId="16" fillId="21" fontId="17" numFmtId="0" xfId="0" applyAlignment="1" applyBorder="1" applyFont="1">
      <alignment horizontal="center" vertical="bottom"/>
    </xf>
    <xf borderId="16" fillId="21" fontId="17" numFmtId="0" xfId="0" applyAlignment="1" applyBorder="1" applyFont="1">
      <alignment vertical="bottom"/>
    </xf>
    <xf borderId="6" fillId="21" fontId="17" numFmtId="0" xfId="0" applyAlignment="1" applyBorder="1" applyFont="1">
      <alignment horizontal="center" vertical="bottom"/>
    </xf>
    <xf borderId="5" fillId="21" fontId="17" numFmtId="0" xfId="0" applyAlignment="1" applyBorder="1" applyFont="1">
      <alignment horizontal="center" vertical="bottom"/>
    </xf>
    <xf borderId="14" fillId="22" fontId="17" numFmtId="0" xfId="0" applyAlignment="1" applyBorder="1" applyFill="1" applyFont="1">
      <alignment horizontal="center" vertical="bottom"/>
    </xf>
    <xf borderId="5" fillId="22" fontId="13" numFmtId="0" xfId="0" applyAlignment="1" applyBorder="1" applyFont="1">
      <alignment vertical="bottom"/>
    </xf>
    <xf borderId="5" fillId="22" fontId="17" numFmtId="0" xfId="0" applyAlignment="1" applyBorder="1" applyFont="1">
      <alignment horizontal="center" vertical="bottom"/>
    </xf>
    <xf borderId="6" fillId="6" fontId="13" numFmtId="0" xfId="0" applyAlignment="1" applyBorder="1" applyFont="1">
      <alignment shrinkToFit="0" vertical="bottom" wrapText="0"/>
    </xf>
    <xf borderId="0" fillId="6" fontId="13" numFmtId="0" xfId="0" applyAlignment="1" applyFont="1">
      <alignment vertical="bottom"/>
    </xf>
    <xf borderId="6" fillId="5" fontId="13" numFmtId="0" xfId="0" applyAlignment="1" applyBorder="1" applyFont="1">
      <alignment vertical="bottom"/>
    </xf>
    <xf borderId="2" fillId="0" fontId="13" numFmtId="0" xfId="0" applyAlignment="1" applyBorder="1" applyFont="1">
      <alignment horizontal="center" vertical="bottom"/>
    </xf>
    <xf borderId="2" fillId="0" fontId="16" numFmtId="0" xfId="0" applyAlignment="1" applyBorder="1" applyFont="1">
      <alignment horizontal="center" vertical="bottom"/>
    </xf>
    <xf borderId="2" fillId="0" fontId="3" numFmtId="0" xfId="0" applyAlignment="1" applyBorder="1" applyFont="1">
      <alignment vertical="bottom"/>
    </xf>
    <xf borderId="5" fillId="0" fontId="3" numFmtId="0" xfId="0" applyAlignment="1" applyBorder="1" applyFont="1">
      <alignment vertical="bottom"/>
    </xf>
    <xf borderId="6" fillId="0" fontId="17" numFmtId="0" xfId="0" applyAlignment="1" applyBorder="1" applyFont="1">
      <alignment horizontal="right"/>
    </xf>
    <xf borderId="6" fillId="0" fontId="3" numFmtId="0" xfId="0" applyBorder="1" applyFont="1"/>
    <xf borderId="0" fillId="0" fontId="3" numFmtId="0" xfId="0" applyAlignment="1" applyFont="1">
      <alignment vertical="bottom"/>
    </xf>
    <xf borderId="10" fillId="21" fontId="17" numFmtId="0" xfId="0" applyAlignment="1" applyBorder="1" applyFont="1">
      <alignment horizontal="center"/>
    </xf>
    <xf borderId="4" fillId="21" fontId="17" numFmtId="0" xfId="0" applyAlignment="1" applyBorder="1" applyFont="1">
      <alignment horizontal="center"/>
    </xf>
    <xf borderId="6" fillId="21" fontId="17" numFmtId="0" xfId="0" applyAlignment="1" applyBorder="1" applyFont="1">
      <alignment horizontal="center"/>
    </xf>
    <xf borderId="4" fillId="20" fontId="17" numFmtId="0" xfId="0" applyAlignment="1" applyBorder="1" applyFont="1">
      <alignment horizontal="center" shrinkToFit="0" wrapText="1"/>
    </xf>
    <xf borderId="5" fillId="21" fontId="17" numFmtId="0" xfId="0" applyAlignment="1" applyBorder="1" applyFont="1">
      <alignment horizontal="center"/>
    </xf>
    <xf borderId="5" fillId="5" fontId="3" numFmtId="0" xfId="0" applyBorder="1" applyFont="1"/>
    <xf borderId="5" fillId="0" fontId="13" numFmtId="0" xfId="0" applyAlignment="1" applyBorder="1" applyFont="1">
      <alignment horizontal="center" shrinkToFit="0" wrapText="1"/>
    </xf>
    <xf borderId="5" fillId="5" fontId="17" numFmtId="0" xfId="0" applyAlignment="1" applyBorder="1" applyFont="1">
      <alignment vertical="bottom"/>
    </xf>
    <xf borderId="5" fillId="5" fontId="17" numFmtId="0" xfId="0" applyAlignment="1" applyBorder="1" applyFont="1">
      <alignment horizontal="center" vertical="bottom"/>
    </xf>
    <xf borderId="5" fillId="5" fontId="3" numFmtId="0" xfId="0" applyAlignment="1" applyBorder="1" applyFont="1">
      <alignment vertical="bottom"/>
    </xf>
    <xf borderId="14" fillId="16" fontId="17" numFmtId="0" xfId="0" applyBorder="1" applyFont="1"/>
    <xf borderId="5" fillId="16" fontId="3" numFmtId="0" xfId="0" applyBorder="1" applyFont="1"/>
    <xf borderId="5" fillId="5" fontId="25" numFmtId="0" xfId="0" applyAlignment="1" applyBorder="1" applyFont="1">
      <alignment horizontal="center"/>
    </xf>
    <xf borderId="14" fillId="22" fontId="17" numFmtId="0" xfId="0" applyAlignment="1" applyBorder="1" applyFont="1">
      <alignment horizontal="center"/>
    </xf>
    <xf borderId="5" fillId="22" fontId="3" numFmtId="0" xfId="0" applyBorder="1" applyFont="1"/>
    <xf borderId="5" fillId="22" fontId="17" numFmtId="0" xfId="0" applyAlignment="1" applyBorder="1" applyFont="1">
      <alignment horizontal="center"/>
    </xf>
    <xf borderId="6" fillId="0" fontId="17" numFmtId="0" xfId="0" applyAlignment="1" applyBorder="1" applyFont="1">
      <alignment horizontal="right" vertical="bottom"/>
    </xf>
    <xf borderId="6" fillId="0" fontId="3" numFmtId="0" xfId="0" applyAlignment="1" applyBorder="1" applyFont="1">
      <alignment vertical="bottom"/>
    </xf>
    <xf borderId="10" fillId="22" fontId="17" numFmtId="0" xfId="0" applyAlignment="1" applyBorder="1" applyFont="1">
      <alignment horizontal="center"/>
    </xf>
    <xf borderId="4" fillId="22" fontId="17" numFmtId="0" xfId="0" applyAlignment="1" applyBorder="1" applyFont="1">
      <alignment horizontal="center"/>
    </xf>
    <xf borderId="6" fillId="22" fontId="17" numFmtId="0" xfId="0" applyAlignment="1" applyBorder="1" applyFont="1">
      <alignment horizontal="center"/>
    </xf>
    <xf borderId="4" fillId="22" fontId="17" numFmtId="0" xfId="0" applyAlignment="1" applyBorder="1" applyFont="1">
      <alignment horizontal="center" shrinkToFit="0" wrapText="1"/>
    </xf>
    <xf borderId="5" fillId="0" fontId="3" numFmtId="0" xfId="0" applyBorder="1" applyFont="1"/>
    <xf borderId="5" fillId="23" fontId="3" numFmtId="0" xfId="0" applyBorder="1" applyFill="1" applyFont="1"/>
    <xf borderId="5" fillId="23" fontId="17" numFmtId="0" xfId="0" applyAlignment="1" applyBorder="1" applyFont="1">
      <alignment horizontal="center"/>
    </xf>
    <xf borderId="4" fillId="23" fontId="17" numFmtId="0" xfId="0" applyAlignment="1" applyBorder="1" applyFont="1">
      <alignment horizontal="center"/>
    </xf>
    <xf borderId="6" fillId="16" fontId="17" numFmtId="0" xfId="0" applyAlignment="1" applyBorder="1" applyFont="1">
      <alignment vertical="bottom"/>
    </xf>
    <xf borderId="6" fillId="5" fontId="3" numFmtId="0" xfId="0" applyAlignment="1" applyBorder="1" applyFont="1">
      <alignment vertical="bottom"/>
    </xf>
    <xf borderId="4" fillId="0" fontId="3" numFmtId="0" xfId="0" applyAlignment="1" applyBorder="1" applyFont="1">
      <alignment vertical="bottom"/>
    </xf>
    <xf borderId="0" fillId="5" fontId="17" numFmtId="0" xfId="0" applyAlignment="1" applyFont="1">
      <alignment horizontal="center" vertical="bottom"/>
    </xf>
    <xf borderId="6" fillId="0" fontId="17" numFmtId="0" xfId="0" applyAlignment="1" applyBorder="1" applyFont="1">
      <alignment horizontal="center" vertical="bottom"/>
    </xf>
    <xf borderId="4" fillId="0" fontId="17" numFmtId="0" xfId="0" applyAlignment="1" applyBorder="1" applyFont="1">
      <alignment horizontal="center" vertical="bottom"/>
    </xf>
    <xf borderId="5" fillId="0" fontId="17" numFmtId="0" xfId="0" applyAlignment="1" applyBorder="1" applyFont="1">
      <alignment horizontal="center" vertical="bottom"/>
    </xf>
    <xf borderId="0" fillId="5" fontId="17" numFmtId="0" xfId="0" applyAlignment="1" applyFont="1">
      <alignment vertical="bottom"/>
    </xf>
    <xf borderId="0" fillId="5" fontId="3" numFmtId="0" xfId="0" applyAlignment="1" applyFont="1">
      <alignment vertical="bottom"/>
    </xf>
    <xf borderId="5" fillId="0" fontId="13" numFmtId="9" xfId="0" applyAlignment="1" applyBorder="1" applyFont="1" applyNumberFormat="1">
      <alignment horizontal="center" vertical="bottom"/>
    </xf>
    <xf borderId="0" fillId="0" fontId="26" numFmtId="0" xfId="0" applyAlignment="1" applyFont="1">
      <alignment horizontal="center" readingOrder="0" vertical="top"/>
    </xf>
    <xf borderId="0" fillId="0" fontId="26" numFmtId="0" xfId="0" applyAlignment="1" applyFont="1">
      <alignment readingOrder="0"/>
    </xf>
    <xf borderId="0" fillId="0" fontId="5" numFmtId="0" xfId="0" applyFont="1"/>
    <xf borderId="0" fillId="0" fontId="5" numFmtId="0" xfId="0" applyAlignment="1" applyFont="1">
      <alignment horizontal="center"/>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horizontal="center" readingOrder="0" vertical="top"/>
    </xf>
    <xf borderId="0" fillId="0" fontId="29" numFmtId="0" xfId="0" applyAlignment="1" applyFont="1">
      <alignment readingOrder="0"/>
    </xf>
    <xf borderId="0" fillId="0" fontId="29" numFmtId="0" xfId="0" applyAlignment="1" applyFont="1">
      <alignment horizontal="center" vertical="top"/>
    </xf>
    <xf borderId="0" fillId="0" fontId="29" numFmtId="0" xfId="0" applyFont="1"/>
    <xf borderId="0" fillId="0" fontId="30" numFmtId="0" xfId="0" applyAlignment="1" applyFont="1">
      <alignment horizontal="center" readingOrder="0" vertical="top"/>
    </xf>
    <xf borderId="0" fillId="0" fontId="30" numFmtId="0" xfId="0" applyAlignment="1" applyFont="1">
      <alignment readingOrder="0"/>
    </xf>
    <xf borderId="0" fillId="0" fontId="30" numFmtId="0" xfId="0" applyAlignment="1" applyFont="1">
      <alignment horizontal="center" vertical="top"/>
    </xf>
    <xf borderId="0" fillId="0" fontId="30" numFmtId="0" xfId="0" applyFont="1"/>
    <xf borderId="7" fillId="0" fontId="31" numFmtId="0" xfId="0" applyAlignment="1" applyBorder="1" applyFont="1">
      <alignment horizontal="center" readingOrder="0" shrinkToFit="0" vertical="center" wrapText="1"/>
    </xf>
    <xf borderId="8" fillId="0" fontId="31" numFmtId="0" xfId="0" applyAlignment="1" applyBorder="1" applyFont="1">
      <alignment horizontal="center" readingOrder="0" shrinkToFit="0" vertical="center" wrapText="1"/>
    </xf>
    <xf borderId="0" fillId="0" fontId="32" numFmtId="0" xfId="0" applyAlignment="1" applyFont="1">
      <alignment horizontal="center" readingOrder="0" shrinkToFit="0" wrapText="1"/>
    </xf>
    <xf borderId="1" fillId="0" fontId="31" numFmtId="0" xfId="0" applyAlignment="1" applyBorder="1" applyFont="1">
      <alignment horizontal="center" readingOrder="0" shrinkToFit="0" vertical="center" wrapText="1"/>
    </xf>
    <xf borderId="0" fillId="0" fontId="33" numFmtId="0" xfId="0" applyFont="1"/>
    <xf borderId="7" fillId="0" fontId="7" numFmtId="0" xfId="0" applyAlignment="1" applyBorder="1" applyFont="1">
      <alignment horizontal="center" readingOrder="0" shrinkToFit="0" vertical="center" wrapText="1"/>
    </xf>
    <xf borderId="7" fillId="0" fontId="7" numFmtId="0" xfId="0" applyAlignment="1" applyBorder="1" applyFont="1">
      <alignment horizontal="left" readingOrder="0" shrinkToFit="0" vertical="center" wrapText="1"/>
    </xf>
    <xf borderId="1" fillId="0" fontId="34" numFmtId="0" xfId="0" applyAlignment="1" applyBorder="1" applyFont="1">
      <alignment horizontal="center" readingOrder="0" shrinkToFit="0" vertical="center" wrapText="1"/>
    </xf>
    <xf borderId="1" fillId="0" fontId="31" numFmtId="0" xfId="0" applyAlignment="1" applyBorder="1" applyFont="1">
      <alignment horizontal="center" shrinkToFit="0" vertical="center" wrapText="1"/>
    </xf>
    <xf borderId="1" fillId="0" fontId="31" numFmtId="2" xfId="0" applyAlignment="1" applyBorder="1" applyFont="1" applyNumberFormat="1">
      <alignment horizontal="center" shrinkToFit="0" vertical="center" wrapText="1"/>
    </xf>
    <xf borderId="0" fillId="0" fontId="33" numFmtId="0" xfId="0" applyAlignment="1" applyFont="1">
      <alignment horizontal="center"/>
    </xf>
    <xf borderId="1" fillId="0" fontId="34" numFmtId="0" xfId="0" applyAlignment="1" applyBorder="1" applyFont="1">
      <alignment horizontal="center" shrinkToFit="0" vertical="center" wrapText="1"/>
    </xf>
    <xf borderId="1" fillId="5" fontId="7" numFmtId="0" xfId="0" applyAlignment="1" applyBorder="1" applyFont="1">
      <alignment readingOrder="0" shrinkToFit="0" vertical="center" wrapText="0"/>
    </xf>
    <xf borderId="1" fillId="0" fontId="7" numFmtId="0" xfId="0" applyAlignment="1" applyBorder="1" applyFont="1">
      <alignment horizontal="center" readingOrder="0" shrinkToFit="0" vertical="center" wrapText="1"/>
    </xf>
    <xf borderId="1" fillId="0" fontId="7" numFmtId="0" xfId="0" applyAlignment="1" applyBorder="1" applyFont="1">
      <alignment horizontal="center" shrinkToFit="0" vertical="center" wrapText="1"/>
    </xf>
    <xf borderId="1" fillId="0" fontId="6" numFmtId="0" xfId="0" applyAlignment="1" applyBorder="1" applyFont="1">
      <alignment horizontal="center" vertical="center"/>
    </xf>
    <xf borderId="1" fillId="0" fontId="7" numFmtId="0" xfId="0" applyAlignment="1" applyBorder="1" applyFont="1">
      <alignment horizontal="left" readingOrder="0" shrinkToFit="0" vertical="center" wrapText="1"/>
    </xf>
    <xf borderId="7" fillId="0" fontId="6" numFmtId="0" xfId="0" applyAlignment="1" applyBorder="1" applyFont="1">
      <alignment horizontal="center" readingOrder="0" vertical="center"/>
    </xf>
    <xf borderId="7" fillId="0" fontId="6" numFmtId="0" xfId="0" applyAlignment="1" applyBorder="1" applyFont="1">
      <alignment readingOrder="0" vertical="center"/>
    </xf>
    <xf borderId="1" fillId="0" fontId="34" numFmtId="0" xfId="0" applyAlignment="1" applyBorder="1" applyFont="1">
      <alignment horizontal="center" vertical="center"/>
    </xf>
    <xf borderId="1" fillId="0" fontId="34" numFmtId="0" xfId="0" applyAlignment="1" applyBorder="1" applyFont="1">
      <alignment vertical="center"/>
    </xf>
    <xf borderId="1" fillId="0" fontId="6" numFmtId="0" xfId="0" applyAlignment="1" applyBorder="1" applyFont="1">
      <alignment readingOrder="0" vertical="center"/>
    </xf>
    <xf borderId="1" fillId="0" fontId="6" numFmtId="0" xfId="0" applyAlignment="1" applyBorder="1" applyFont="1">
      <alignment horizontal="center" readingOrder="0" vertical="center"/>
    </xf>
    <xf borderId="1" fillId="0" fontId="6" numFmtId="0" xfId="0" applyAlignment="1" applyBorder="1" applyFont="1">
      <alignment vertical="center"/>
    </xf>
    <xf borderId="7" fillId="0" fontId="35" numFmtId="0" xfId="0" applyAlignment="1" applyBorder="1" applyFont="1">
      <alignment readingOrder="0" shrinkToFit="0" vertical="center" wrapText="0"/>
    </xf>
    <xf borderId="1" fillId="0" fontId="35" numFmtId="0" xfId="0" applyAlignment="1" applyBorder="1" applyFont="1">
      <alignment readingOrder="0" shrinkToFit="0" vertical="center" wrapText="0"/>
    </xf>
    <xf borderId="7" fillId="0" fontId="6" numFmtId="0" xfId="0" applyAlignment="1" applyBorder="1" applyFont="1">
      <alignment horizontal="center" readingOrder="0" shrinkToFit="0" vertical="center" wrapText="0"/>
    </xf>
    <xf borderId="1" fillId="0" fontId="34" numFmtId="0" xfId="0" applyAlignment="1" applyBorder="1" applyFont="1">
      <alignment horizontal="center" readingOrder="0" vertical="center"/>
    </xf>
    <xf borderId="0" fillId="0" fontId="3" numFmtId="0" xfId="0" applyAlignment="1" applyFont="1">
      <alignment horizontal="center" shrinkToFit="0" vertical="top" wrapText="0"/>
    </xf>
    <xf borderId="0" fillId="0" fontId="3" numFmtId="0" xfId="0" applyAlignment="1" applyFont="1">
      <alignment shrinkToFit="0" vertical="bottom" wrapText="0"/>
    </xf>
    <xf borderId="0" fillId="0" fontId="36" numFmtId="0" xfId="0" applyAlignment="1" applyFont="1">
      <alignment horizontal="center" shrinkToFit="0" vertical="top" wrapText="0"/>
    </xf>
    <xf borderId="0" fillId="0" fontId="36" numFmtId="0" xfId="0" applyAlignment="1" applyFont="1">
      <alignment shrinkToFit="0" vertical="bottom" wrapText="0"/>
    </xf>
    <xf borderId="0" fillId="0" fontId="5" numFmtId="0" xfId="0" applyAlignment="1" applyFont="1">
      <alignment horizontal="center" vertical="top"/>
    </xf>
    <xf borderId="0" fillId="0" fontId="37" numFmtId="0" xfId="0" applyAlignment="1" applyFont="1">
      <alignment readingOrder="0"/>
    </xf>
    <xf borderId="0" fillId="0" fontId="38" numFmtId="0" xfId="0" applyFont="1"/>
    <xf borderId="0" fillId="0" fontId="38" numFmtId="0" xfId="0" applyAlignment="1" applyFont="1">
      <alignment horizontal="center"/>
    </xf>
    <xf borderId="0" fillId="0" fontId="38" numFmtId="0" xfId="0" applyFont="1"/>
    <xf borderId="0" fillId="0" fontId="39" numFmtId="0" xfId="0" applyAlignment="1" applyFont="1">
      <alignment readingOrder="0"/>
    </xf>
    <xf borderId="0" fillId="0" fontId="40" numFmtId="0" xfId="0" applyAlignment="1" applyFont="1">
      <alignment readingOrder="0"/>
    </xf>
    <xf borderId="0" fillId="0" fontId="41" numFmtId="0" xfId="0" applyAlignment="1" applyFont="1">
      <alignment readingOrder="0"/>
    </xf>
    <xf borderId="0" fillId="0" fontId="38" numFmtId="0" xfId="0" applyAlignment="1" applyFont="1">
      <alignment horizontal="center"/>
    </xf>
    <xf borderId="0" fillId="0" fontId="41" numFmtId="0" xfId="0" applyFont="1"/>
    <xf borderId="0" fillId="0" fontId="42" numFmtId="0" xfId="0" applyAlignment="1" applyFont="1">
      <alignment readingOrder="0"/>
    </xf>
    <xf borderId="0" fillId="0" fontId="18" numFmtId="0" xfId="0" applyAlignment="1" applyFont="1">
      <alignment horizontal="center" readingOrder="0" shrinkToFit="0" vertical="bottom" wrapText="0"/>
    </xf>
    <xf borderId="0" fillId="0" fontId="38" numFmtId="0" xfId="0" applyAlignment="1" applyFont="1">
      <alignment horizontal="center" readingOrder="0"/>
    </xf>
    <xf borderId="0" fillId="5" fontId="43" numFmtId="0" xfId="0" applyAlignment="1" applyFont="1">
      <alignment readingOrder="0"/>
    </xf>
    <xf borderId="7" fillId="0" fontId="18" numFmtId="0" xfId="0" applyAlignment="1" applyBorder="1" applyFont="1">
      <alignment horizontal="center" readingOrder="0" shrinkToFit="0" vertical="center" wrapText="0"/>
    </xf>
    <xf borderId="8" fillId="0" fontId="44" numFmtId="0" xfId="0" applyAlignment="1" applyBorder="1" applyFont="1">
      <alignment horizontal="center" readingOrder="0"/>
    </xf>
    <xf borderId="1" fillId="0" fontId="44" numFmtId="0" xfId="0" applyAlignment="1" applyBorder="1" applyFont="1">
      <alignment horizontal="center" readingOrder="0"/>
    </xf>
    <xf borderId="1" fillId="0" fontId="21" numFmtId="0" xfId="0" applyAlignment="1" applyBorder="1" applyFont="1">
      <alignment horizontal="center" readingOrder="0" shrinkToFit="0" vertical="bottom" wrapText="0"/>
    </xf>
    <xf borderId="1" fillId="0" fontId="21" numFmtId="0" xfId="0" applyAlignment="1" applyBorder="1" applyFont="1">
      <alignment readingOrder="0" shrinkToFit="0" vertical="bottom" wrapText="0"/>
    </xf>
    <xf borderId="1" fillId="0" fontId="21" numFmtId="164" xfId="0" applyAlignment="1" applyBorder="1" applyFont="1" applyNumberFormat="1">
      <alignment horizontal="center" readingOrder="0" shrinkToFit="0" vertical="bottom" wrapText="0"/>
    </xf>
    <xf borderId="1" fillId="0" fontId="21" numFmtId="165" xfId="0" applyAlignment="1" applyBorder="1" applyFont="1" applyNumberFormat="1">
      <alignment horizontal="center" readingOrder="0" shrinkToFit="0" vertical="bottom" wrapText="0"/>
    </xf>
    <xf borderId="0" fillId="0" fontId="21" numFmtId="0" xfId="0" applyAlignment="1" applyFont="1">
      <alignment readingOrder="0" shrinkToFit="0" vertical="bottom" wrapText="0"/>
    </xf>
    <xf borderId="0" fillId="0" fontId="45" numFmtId="0" xfId="0" applyAlignment="1" applyFont="1">
      <alignment readingOrder="0"/>
    </xf>
    <xf borderId="7" fillId="0" fontId="18" numFmtId="0" xfId="0" applyAlignment="1" applyBorder="1" applyFont="1">
      <alignment horizontal="center" readingOrder="0" shrinkToFit="0" vertical="top" wrapText="0"/>
    </xf>
    <xf borderId="8" fillId="0" fontId="18" numFmtId="0" xfId="0" applyAlignment="1" applyBorder="1" applyFont="1">
      <alignment horizontal="center" readingOrder="0"/>
    </xf>
    <xf borderId="1" fillId="0" fontId="18" numFmtId="0" xfId="0" applyAlignment="1" applyBorder="1" applyFont="1">
      <alignment horizontal="center" readingOrder="0"/>
    </xf>
    <xf borderId="1" fillId="0" fontId="21" numFmtId="0" xfId="0" applyAlignment="1" applyBorder="1" applyFont="1">
      <alignment horizontal="center" readingOrder="0" shrinkToFit="0" vertical="top" wrapText="0"/>
    </xf>
    <xf borderId="1" fillId="0" fontId="21" numFmtId="0" xfId="0" applyAlignment="1" applyBorder="1" applyFont="1">
      <alignment readingOrder="0" shrinkToFit="0" vertical="top" wrapText="0"/>
    </xf>
    <xf borderId="1" fillId="0" fontId="21" numFmtId="0" xfId="0" applyAlignment="1" applyBorder="1" applyFont="1">
      <alignment horizontal="right" vertical="bottom"/>
    </xf>
    <xf borderId="1" fillId="0" fontId="21" numFmtId="0" xfId="0" applyAlignment="1" applyBorder="1" applyFont="1">
      <alignment readingOrder="0" vertical="bottom"/>
    </xf>
    <xf borderId="1" fillId="0" fontId="21" numFmtId="0" xfId="0" applyAlignment="1" applyBorder="1" applyFont="1">
      <alignment horizontal="center" vertical="bottom"/>
    </xf>
    <xf borderId="1" fillId="0" fontId="21" numFmtId="0" xfId="0" applyAlignment="1" applyBorder="1" applyFont="1">
      <alignment shrinkToFit="0" vertical="bottom" wrapText="0"/>
    </xf>
    <xf borderId="1" fillId="0" fontId="21" numFmtId="0" xfId="0" applyAlignment="1" applyBorder="1" applyFont="1">
      <alignment horizontal="center" vertical="bottom"/>
    </xf>
    <xf borderId="7" fillId="0" fontId="21" numFmtId="0" xfId="0" applyAlignment="1" applyBorder="1" applyFont="1">
      <alignment horizontal="center" readingOrder="0" shrinkToFit="0" vertical="top" wrapText="0"/>
    </xf>
    <xf borderId="7" fillId="0" fontId="21" numFmtId="0" xfId="0" applyAlignment="1" applyBorder="1" applyFont="1">
      <alignment readingOrder="0" shrinkToFit="0" vertical="top" wrapText="0"/>
    </xf>
    <xf borderId="1" fillId="0" fontId="19" numFmtId="0" xfId="0" applyAlignment="1" applyBorder="1" applyFont="1">
      <alignment readingOrder="0" vertical="bottom"/>
    </xf>
    <xf borderId="1" fillId="0" fontId="19" numFmtId="0" xfId="0" applyAlignment="1" applyBorder="1" applyFont="1">
      <alignment vertical="bottom"/>
    </xf>
    <xf borderId="1" fillId="0" fontId="19" numFmtId="165" xfId="0" applyAlignment="1" applyBorder="1" applyFont="1" applyNumberFormat="1">
      <alignment horizontal="center" vertical="bottom"/>
    </xf>
    <xf borderId="0" fillId="0" fontId="21" numFmtId="165" xfId="0" applyAlignment="1" applyFont="1" applyNumberFormat="1">
      <alignment readingOrder="0" shrinkToFit="0" vertical="bottom" wrapText="0"/>
    </xf>
    <xf borderId="1" fillId="0" fontId="19" numFmtId="164" xfId="0" applyAlignment="1" applyBorder="1" applyFont="1" applyNumberFormat="1">
      <alignment horizontal="center" vertical="bottom"/>
    </xf>
    <xf borderId="1" fillId="0" fontId="21" numFmtId="0" xfId="0" applyAlignment="1" applyBorder="1" applyFont="1">
      <alignment vertical="bottom"/>
    </xf>
    <xf borderId="1" fillId="5" fontId="19" numFmtId="0" xfId="0" applyAlignment="1" applyBorder="1" applyFont="1">
      <alignment readingOrder="0" vertical="bottom"/>
    </xf>
    <xf borderId="1" fillId="0" fontId="19" numFmtId="0" xfId="0" applyAlignment="1" applyBorder="1" applyFont="1">
      <alignment horizontal="center" readingOrder="0" vertical="bottom"/>
    </xf>
    <xf borderId="1" fillId="0" fontId="21" numFmtId="0" xfId="0" applyAlignment="1" applyBorder="1" applyFont="1">
      <alignment horizontal="center"/>
    </xf>
    <xf borderId="1" fillId="0" fontId="21" numFmtId="0" xfId="0" applyAlignment="1" applyBorder="1" applyFont="1">
      <alignment readingOrder="0"/>
    </xf>
    <xf borderId="1" fillId="0" fontId="21" numFmtId="0" xfId="0" applyBorder="1" applyFont="1"/>
    <xf borderId="1" fillId="5" fontId="19" numFmtId="0" xfId="0" applyAlignment="1" applyBorder="1" applyFont="1">
      <alignment vertical="bottom"/>
    </xf>
    <xf borderId="7" fillId="0" fontId="21" numFmtId="0" xfId="0" applyAlignment="1" applyBorder="1" applyFont="1">
      <alignment vertical="top"/>
    </xf>
    <xf borderId="7" fillId="0" fontId="21" numFmtId="0" xfId="0" applyAlignment="1" applyBorder="1" applyFont="1">
      <alignment horizontal="right" vertical="top"/>
    </xf>
    <xf borderId="1" fillId="0" fontId="19" numFmtId="0" xfId="0" applyAlignment="1" applyBorder="1" applyFont="1">
      <alignment readingOrder="0"/>
    </xf>
    <xf borderId="7" fillId="0" fontId="21" numFmtId="0" xfId="0" applyAlignment="1" applyBorder="1" applyFont="1">
      <alignment shrinkToFit="0" vertical="top" wrapText="0"/>
    </xf>
    <xf borderId="1" fillId="0" fontId="21" numFmtId="0" xfId="0" applyAlignment="1" applyBorder="1" applyFont="1">
      <alignment shrinkToFit="0" vertical="top" wrapText="0"/>
    </xf>
    <xf borderId="1" fillId="5" fontId="21" numFmtId="0" xfId="0" applyAlignment="1" applyBorder="1" applyFont="1">
      <alignment horizontal="left" readingOrder="0"/>
    </xf>
    <xf borderId="0" fillId="0" fontId="46" numFmtId="0" xfId="0" applyAlignment="1" applyFont="1">
      <alignment readingOrder="0"/>
    </xf>
    <xf borderId="1" fillId="0" fontId="20" numFmtId="0" xfId="0" applyAlignment="1" applyBorder="1" applyFont="1">
      <alignment horizontal="center" readingOrder="0"/>
    </xf>
    <xf borderId="0" fillId="0" fontId="44" numFmtId="0" xfId="0" applyAlignment="1" applyFont="1">
      <alignment horizontal="center"/>
    </xf>
    <xf borderId="0" fillId="0" fontId="44" numFmtId="0" xfId="0" applyFont="1"/>
    <xf borderId="1" fillId="0" fontId="21" numFmtId="0" xfId="0" applyAlignment="1" applyBorder="1" applyFont="1">
      <alignment horizontal="center" readingOrder="0"/>
    </xf>
    <xf borderId="1" fillId="0" fontId="21" numFmtId="0" xfId="0" applyAlignment="1" applyBorder="1" applyFont="1">
      <alignment horizontal="left" readingOrder="0" shrinkToFit="0" vertical="bottom" wrapText="0"/>
    </xf>
    <xf borderId="1" fillId="0" fontId="19" numFmtId="0" xfId="0" applyAlignment="1" applyBorder="1" applyFont="1">
      <alignment horizontal="left" readingOrder="0"/>
    </xf>
    <xf borderId="7" fillId="0" fontId="21" numFmtId="0" xfId="0" applyAlignment="1" applyBorder="1" applyFont="1">
      <alignment horizontal="center" readingOrder="0" vertical="top"/>
    </xf>
    <xf borderId="7" fillId="0" fontId="21" numFmtId="0" xfId="0" applyAlignment="1" applyBorder="1" applyFont="1">
      <alignment horizontal="left" readingOrder="0" shrinkToFit="0" vertical="top" wrapText="0"/>
    </xf>
    <xf borderId="0" fillId="0" fontId="32" numFmtId="0" xfId="0" applyFont="1"/>
    <xf borderId="1" fillId="0" fontId="32" numFmtId="0" xfId="0" applyAlignment="1" applyBorder="1" applyFont="1">
      <alignment horizontal="center" readingOrder="0"/>
    </xf>
    <xf borderId="0" fillId="0" fontId="21" numFmtId="0" xfId="0" applyAlignment="1" applyFont="1">
      <alignment readingOrder="0" shrinkToFit="0" vertical="bottom" wrapText="0"/>
    </xf>
    <xf borderId="0" fillId="0" fontId="21" numFmtId="0" xfId="0" applyAlignment="1" applyFont="1">
      <alignment shrinkToFit="0" vertical="bottom" wrapText="0"/>
    </xf>
    <xf borderId="0" fillId="0" fontId="21" numFmtId="0" xfId="0" applyAlignment="1" applyFont="1">
      <alignment horizontal="center" shrinkToFit="0" vertical="bottom" wrapText="0"/>
    </xf>
    <xf borderId="1" fillId="0" fontId="18" numFmtId="0" xfId="0" applyAlignment="1" applyBorder="1" applyFont="1">
      <alignment horizontal="center" readingOrder="0" shrinkToFit="0" vertical="bottom" wrapText="0"/>
    </xf>
    <xf borderId="1" fillId="0" fontId="21" numFmtId="0" xfId="0" applyAlignment="1" applyBorder="1" applyFont="1">
      <alignment horizontal="center" readingOrder="0" shrinkToFit="0" vertical="top" wrapText="0"/>
    </xf>
    <xf borderId="1" fillId="0" fontId="21" numFmtId="0" xfId="0" applyAlignment="1" applyBorder="1" applyFont="1">
      <alignment readingOrder="0" shrinkToFit="0" vertical="top" wrapText="0"/>
    </xf>
    <xf borderId="1" fillId="0" fontId="21" numFmtId="0" xfId="0" applyAlignment="1" applyBorder="1" applyFont="1">
      <alignment shrinkToFit="0" vertical="bottom" wrapText="0"/>
    </xf>
    <xf borderId="1" fillId="0" fontId="21" numFmtId="0" xfId="0" applyAlignment="1" applyBorder="1" applyFont="1">
      <alignment horizontal="center" shrinkToFit="0" vertical="bottom" wrapText="0"/>
    </xf>
    <xf borderId="1" fillId="0" fontId="38" numFmtId="0" xfId="0" applyAlignment="1" applyBorder="1" applyFont="1">
      <alignment horizontal="center"/>
    </xf>
    <xf borderId="7" fillId="0" fontId="21" numFmtId="0" xfId="0" applyAlignment="1" applyBorder="1" applyFont="1">
      <alignment horizontal="center" readingOrder="0" shrinkToFit="0" vertical="top" wrapText="0"/>
    </xf>
    <xf borderId="7" fillId="0" fontId="21" numFmtId="0" xfId="0" applyAlignment="1" applyBorder="1" applyFont="1">
      <alignment readingOrder="0" shrinkToFit="0" vertical="top" wrapText="0"/>
    </xf>
    <xf borderId="1" fillId="0" fontId="21" numFmtId="0" xfId="0" applyAlignment="1" applyBorder="1" applyFont="1">
      <alignment readingOrder="0" vertical="top"/>
    </xf>
    <xf borderId="1" fillId="0" fontId="21" numFmtId="0" xfId="0" applyBorder="1" applyFont="1"/>
    <xf borderId="1" fillId="0" fontId="21" numFmtId="0" xfId="0" applyAlignment="1" applyBorder="1" applyFont="1">
      <alignment horizontal="center"/>
    </xf>
    <xf borderId="1" fillId="0" fontId="21" numFmtId="0" xfId="0" applyAlignment="1" applyBorder="1" applyFont="1">
      <alignment readingOrder="0"/>
    </xf>
    <xf borderId="1" fillId="0" fontId="21" numFmtId="0" xfId="0" applyAlignment="1" applyBorder="1" applyFont="1">
      <alignment horizontal="center" readingOrder="0"/>
    </xf>
    <xf borderId="1" fillId="0" fontId="21" numFmtId="0" xfId="0" applyAlignment="1" applyBorder="1" applyFont="1">
      <alignment horizontal="left" readingOrder="0"/>
    </xf>
    <xf borderId="1" fillId="0" fontId="21" numFmtId="0" xfId="0" applyAlignment="1" applyBorder="1" applyFont="1">
      <alignment horizontal="center" shrinkToFit="0" wrapText="0"/>
    </xf>
    <xf borderId="1" fillId="0" fontId="21" numFmtId="0" xfId="0" applyAlignment="1" applyBorder="1" applyFont="1">
      <alignment horizontal="center" readingOrder="0" shrinkToFit="0" wrapText="0"/>
    </xf>
    <xf borderId="1" fillId="0" fontId="21" numFmtId="0" xfId="0" applyAlignment="1" applyBorder="1" applyFont="1">
      <alignment readingOrder="0" shrinkToFit="0" wrapText="0"/>
    </xf>
    <xf borderId="1" fillId="0" fontId="21" numFmtId="0" xfId="0" applyAlignment="1" applyBorder="1" applyFont="1">
      <alignment horizontal="center" readingOrder="0" vertical="top"/>
    </xf>
    <xf borderId="7" fillId="0" fontId="21" numFmtId="0" xfId="0" applyAlignment="1" applyBorder="1" applyFont="1">
      <alignment readingOrder="0" vertical="top"/>
    </xf>
    <xf borderId="1" fillId="0" fontId="21" numFmtId="0" xfId="0" applyAlignment="1" applyBorder="1" applyFont="1">
      <alignment horizontal="center" readingOrder="0" vertical="bottom"/>
    </xf>
    <xf borderId="1" fillId="0" fontId="21" numFmtId="0" xfId="0" applyAlignment="1" applyBorder="1" applyFont="1">
      <alignment readingOrder="0" vertical="bottom"/>
    </xf>
    <xf borderId="0" fillId="0" fontId="47" numFmtId="0" xfId="0" applyAlignment="1" applyFont="1">
      <alignment readingOrder="0" shrinkToFit="0" vertical="bottom" wrapText="0"/>
    </xf>
    <xf borderId="0" fillId="0" fontId="21" numFmtId="0" xfId="0" applyAlignment="1" applyFont="1">
      <alignment readingOrder="0"/>
    </xf>
    <xf borderId="0" fillId="0" fontId="21" numFmtId="0" xfId="0" applyAlignment="1" applyFont="1">
      <alignment horizontal="center" readingOrder="0"/>
    </xf>
    <xf borderId="0" fillId="0" fontId="21" numFmtId="0" xfId="0" applyAlignment="1" applyFont="1">
      <alignment horizontal="center" readingOrder="0" vertical="bottom"/>
    </xf>
    <xf borderId="7" fillId="0" fontId="19" numFmtId="0" xfId="0" applyAlignment="1" applyBorder="1" applyFont="1">
      <alignment horizontal="center" readingOrder="0" shrinkToFit="0" vertical="top" wrapText="0"/>
    </xf>
    <xf borderId="1" fillId="5" fontId="21" numFmtId="0" xfId="0" applyAlignment="1" applyBorder="1" applyFont="1">
      <alignment readingOrder="0" shrinkToFit="0" vertical="bottom" wrapText="0"/>
    </xf>
    <xf borderId="1" fillId="0" fontId="19" numFmtId="0" xfId="0" applyAlignment="1" applyBorder="1" applyFont="1">
      <alignment horizontal="center" readingOrder="0" shrinkToFit="0" wrapText="0"/>
    </xf>
    <xf borderId="1" fillId="0" fontId="38" numFmtId="0" xfId="0" applyAlignment="1" applyBorder="1" applyFont="1">
      <alignment horizontal="center" readingOrder="0"/>
    </xf>
    <xf borderId="1" fillId="5" fontId="21" numFmtId="0" xfId="0" applyAlignment="1" applyBorder="1" applyFont="1">
      <alignment horizontal="center" readingOrder="0" shrinkToFit="0" vertical="bottom" wrapText="0"/>
    </xf>
    <xf borderId="7" fillId="5" fontId="21" numFmtId="0" xfId="0" applyAlignment="1" applyBorder="1" applyFont="1">
      <alignment readingOrder="0" shrinkToFit="0" vertical="top" wrapText="0"/>
    </xf>
    <xf borderId="1" fillId="0" fontId="20" numFmtId="0" xfId="0" applyAlignment="1" applyBorder="1" applyFont="1">
      <alignment horizontal="center" shrinkToFit="0" vertical="bottom" wrapText="0"/>
    </xf>
    <xf borderId="2" fillId="0" fontId="20" numFmtId="0" xfId="0" applyAlignment="1" applyBorder="1" applyFont="1">
      <alignment horizontal="center" shrinkToFit="0" vertical="bottom" wrapText="0"/>
    </xf>
    <xf borderId="0" fillId="0" fontId="13" numFmtId="0" xfId="0" applyAlignment="1" applyFont="1">
      <alignment horizontal="center" vertical="bottom"/>
    </xf>
    <xf borderId="3" fillId="0" fontId="19" numFmtId="0" xfId="0" applyAlignment="1" applyBorder="1" applyFont="1">
      <alignment horizontal="center" shrinkToFit="0" vertical="bottom" wrapText="0"/>
    </xf>
    <xf borderId="5" fillId="0" fontId="19" numFmtId="0" xfId="0" applyAlignment="1" applyBorder="1" applyFont="1">
      <alignment shrinkToFit="0" vertical="bottom" wrapText="0"/>
    </xf>
    <xf borderId="5" fillId="0" fontId="19" numFmtId="0" xfId="0" applyAlignment="1" applyBorder="1" applyFont="1">
      <alignment horizontal="center" shrinkToFit="0" vertical="bottom" wrapText="0"/>
    </xf>
    <xf borderId="6" fillId="0" fontId="19" numFmtId="0" xfId="0" applyAlignment="1" applyBorder="1" applyFont="1">
      <alignment shrinkToFit="0" vertical="bottom" wrapText="0"/>
    </xf>
    <xf borderId="3" fillId="0" fontId="19" numFmtId="0" xfId="0" applyAlignment="1" applyBorder="1" applyFont="1">
      <alignment shrinkToFit="0" vertical="bottom" wrapText="0"/>
    </xf>
    <xf borderId="5" fillId="0" fontId="19" numFmtId="0" xfId="0" applyAlignment="1" applyBorder="1" applyFont="1">
      <alignment shrinkToFit="0" vertical="top" wrapText="0"/>
    </xf>
    <xf borderId="6" fillId="0" fontId="19" numFmtId="0" xfId="0" applyAlignment="1" applyBorder="1" applyFont="1">
      <alignment shrinkToFit="0" vertical="top" wrapText="0"/>
    </xf>
    <xf borderId="5" fillId="0" fontId="19" numFmtId="0" xfId="0" applyAlignment="1" applyBorder="1" applyFont="1">
      <alignment horizontal="right" shrinkToFit="0" vertical="bottom" wrapText="0"/>
    </xf>
    <xf borderId="5" fillId="24" fontId="19" numFmtId="0" xfId="0" applyAlignment="1" applyBorder="1" applyFill="1" applyFont="1">
      <alignment horizontal="center" shrinkToFit="0" vertical="bottom" wrapText="0"/>
    </xf>
    <xf borderId="3" fillId="0" fontId="19" numFmtId="0" xfId="0" applyAlignment="1" applyBorder="1" applyFont="1">
      <alignment horizontal="center" readingOrder="0" shrinkToFit="0" vertical="bottom" wrapText="0"/>
    </xf>
    <xf borderId="6" fillId="0" fontId="22" numFmtId="0" xfId="0" applyAlignment="1" applyBorder="1" applyFont="1">
      <alignment shrinkToFit="0" vertical="bottom" wrapText="0"/>
    </xf>
    <xf borderId="6" fillId="5" fontId="19" numFmtId="0" xfId="0" applyAlignment="1" applyBorder="1" applyFont="1">
      <alignment shrinkToFit="0" vertical="bottom" wrapText="0"/>
    </xf>
    <xf borderId="5" fillId="0" fontId="19" numFmtId="0" xfId="0" applyAlignment="1" applyBorder="1" applyFont="1">
      <alignment horizontal="center" shrinkToFit="0" vertical="center" wrapText="0"/>
    </xf>
    <xf borderId="1" fillId="0" fontId="20" numFmtId="0" xfId="0" applyAlignment="1" applyBorder="1" applyFont="1">
      <alignment horizontal="center"/>
    </xf>
    <xf borderId="2" fillId="0" fontId="20" numFmtId="0" xfId="0" applyAlignment="1" applyBorder="1" applyFont="1">
      <alignment horizontal="center"/>
    </xf>
    <xf borderId="2" fillId="0" fontId="20" numFmtId="0" xfId="0" applyAlignment="1" applyBorder="1" applyFont="1">
      <alignment shrinkToFit="0" wrapText="1"/>
    </xf>
    <xf borderId="9" fillId="0" fontId="20" numFmtId="0" xfId="0" applyAlignment="1" applyBorder="1" applyFont="1">
      <alignment horizontal="center"/>
    </xf>
    <xf borderId="7" fillId="0" fontId="19" numFmtId="0" xfId="0" applyAlignment="1" applyBorder="1" applyFont="1">
      <alignment horizontal="center" shrinkToFit="0" vertical="top" wrapText="0"/>
    </xf>
    <xf borderId="4" fillId="0" fontId="19" numFmtId="0" xfId="0" applyAlignment="1" applyBorder="1" applyFont="1">
      <alignment shrinkToFit="0" vertical="top" wrapText="0"/>
    </xf>
    <xf borderId="4" fillId="0" fontId="19" numFmtId="0" xfId="0" applyAlignment="1" applyBorder="1" applyFont="1">
      <alignment horizontal="center" shrinkToFit="0" wrapText="0"/>
    </xf>
    <xf borderId="5" fillId="0" fontId="19" numFmtId="0" xfId="0" applyAlignment="1" applyBorder="1" applyFont="1">
      <alignment shrinkToFit="0" wrapText="0"/>
    </xf>
    <xf borderId="5" fillId="0" fontId="48" numFmtId="0" xfId="0" applyAlignment="1" applyBorder="1" applyFont="1">
      <alignment horizontal="center" shrinkToFit="0" wrapText="0"/>
    </xf>
    <xf borderId="5" fillId="0" fontId="49" numFmtId="0" xfId="0" applyAlignment="1" applyBorder="1" applyFont="1">
      <alignment horizontal="center" shrinkToFit="0" wrapText="0"/>
    </xf>
    <xf borderId="1" fillId="0" fontId="19" numFmtId="0" xfId="0" applyAlignment="1" applyBorder="1" applyFont="1">
      <alignment horizontal="center" shrinkToFit="0" wrapText="0"/>
    </xf>
    <xf borderId="5" fillId="0" fontId="19" numFmtId="0" xfId="0" applyAlignment="1" applyBorder="1" applyFont="1">
      <alignment horizontal="center" shrinkToFit="0" wrapText="0"/>
    </xf>
    <xf borderId="5" fillId="0" fontId="50" numFmtId="0" xfId="0" applyAlignment="1" applyBorder="1" applyFont="1">
      <alignment horizontal="center" shrinkToFit="0" wrapText="0"/>
    </xf>
    <xf borderId="4" fillId="5" fontId="19" numFmtId="0" xfId="0" applyAlignment="1" applyBorder="1" applyFont="1">
      <alignment shrinkToFit="0" vertical="top" wrapText="0"/>
    </xf>
    <xf borderId="0" fillId="5" fontId="51" numFmtId="0" xfId="0" applyAlignment="1" applyFont="1">
      <alignment shrinkToFit="0" wrapText="0"/>
    </xf>
    <xf borderId="4" fillId="5" fontId="19" numFmtId="0" xfId="0" applyAlignment="1" applyBorder="1" applyFont="1">
      <alignment shrinkToFit="0" wrapText="0"/>
    </xf>
    <xf borderId="6" fillId="5" fontId="52" numFmtId="0" xfId="0" applyAlignment="1" applyBorder="1" applyFont="1">
      <alignment shrinkToFit="0" wrapText="0"/>
    </xf>
    <xf borderId="5" fillId="5" fontId="19" numFmtId="0" xfId="0" applyAlignment="1" applyBorder="1" applyFont="1">
      <alignment shrinkToFit="0" wrapText="0"/>
    </xf>
    <xf borderId="5" fillId="0" fontId="53" numFmtId="0" xfId="0" applyAlignment="1" applyBorder="1" applyFont="1">
      <alignment shrinkToFit="0" wrapText="0"/>
    </xf>
    <xf borderId="5" fillId="5" fontId="54" numFmtId="0" xfId="0" applyAlignment="1" applyBorder="1" applyFont="1">
      <alignment shrinkToFit="0" wrapText="0"/>
    </xf>
    <xf borderId="6" fillId="5" fontId="19" numFmtId="0" xfId="0" applyAlignment="1" applyBorder="1" applyFont="1">
      <alignment shrinkToFit="0" wrapText="0"/>
    </xf>
    <xf borderId="5" fillId="5" fontId="55" numFmtId="0" xfId="0" applyAlignment="1" applyBorder="1" applyFont="1">
      <alignment horizontal="center" shrinkToFit="0" wrapText="0"/>
    </xf>
    <xf borderId="4" fillId="0" fontId="19" numFmtId="0" xfId="0" applyAlignment="1" applyBorder="1" applyFont="1">
      <alignment shrinkToFit="0" wrapText="0"/>
    </xf>
    <xf borderId="1" fillId="0" fontId="20" numFmtId="0" xfId="0" applyAlignment="1" applyBorder="1" applyFont="1">
      <alignment horizontal="center" vertical="top"/>
    </xf>
    <xf borderId="1" fillId="0" fontId="20" numFmtId="0" xfId="0" applyAlignment="1" applyBorder="1" applyFont="1">
      <alignment horizontal="center" vertical="bottom"/>
    </xf>
    <xf borderId="7" fillId="0" fontId="19" numFmtId="0" xfId="0" applyAlignment="1" applyBorder="1" applyFont="1">
      <alignment horizontal="center" readingOrder="0" vertical="top"/>
    </xf>
    <xf borderId="7" fillId="0" fontId="19" numFmtId="0" xfId="0" applyAlignment="1" applyBorder="1" applyFont="1">
      <alignment horizontal="center" vertical="top"/>
    </xf>
    <xf borderId="1" fillId="0" fontId="19" numFmtId="0" xfId="0" applyAlignment="1" applyBorder="1" applyFont="1">
      <alignment vertical="bottom"/>
    </xf>
    <xf borderId="1" fillId="0" fontId="19" numFmtId="0" xfId="0" applyAlignment="1" applyBorder="1" applyFont="1">
      <alignment horizontal="right" vertical="bottom"/>
    </xf>
    <xf borderId="1" fillId="5" fontId="22" numFmtId="0" xfId="0" applyAlignment="1" applyBorder="1" applyFont="1">
      <alignment vertical="bottom"/>
    </xf>
    <xf borderId="1" fillId="5" fontId="19" numFmtId="0" xfId="0" applyAlignment="1" applyBorder="1" applyFont="1">
      <alignment shrinkToFit="0" vertical="bottom" wrapText="1"/>
    </xf>
    <xf borderId="1" fillId="0" fontId="19" numFmtId="166" xfId="0" applyAlignment="1" applyBorder="1" applyFont="1" applyNumberFormat="1">
      <alignment horizontal="center" vertical="bottom"/>
    </xf>
    <xf borderId="1" fillId="0" fontId="19" numFmtId="167" xfId="0" applyAlignment="1" applyBorder="1" applyFont="1" applyNumberFormat="1">
      <alignment horizontal="center" vertical="bottom"/>
    </xf>
    <xf borderId="1" fillId="0" fontId="19" numFmtId="168" xfId="0" applyAlignment="1" applyBorder="1" applyFont="1" applyNumberFormat="1">
      <alignment horizontal="center" vertical="bottom"/>
    </xf>
    <xf borderId="1" fillId="0" fontId="19" numFmtId="0" xfId="0" applyAlignment="1" applyBorder="1" applyFont="1">
      <alignment horizontal="center" shrinkToFit="0" vertical="bottom" wrapText="0"/>
    </xf>
    <xf borderId="1" fillId="0" fontId="19" numFmtId="168" xfId="0" applyAlignment="1" applyBorder="1" applyFont="1" applyNumberFormat="1">
      <alignment readingOrder="0" vertical="bottom"/>
    </xf>
    <xf borderId="1" fillId="0" fontId="19" numFmtId="167" xfId="0" applyAlignment="1" applyBorder="1" applyFont="1" applyNumberFormat="1">
      <alignment vertical="bottom"/>
    </xf>
    <xf borderId="1" fillId="0" fontId="19" numFmtId="169" xfId="0" applyAlignment="1" applyBorder="1" applyFont="1" applyNumberFormat="1">
      <alignment horizontal="center" vertical="bottom"/>
    </xf>
    <xf borderId="1" fillId="0" fontId="21" numFmtId="168" xfId="0" applyAlignment="1" applyBorder="1" applyFont="1" applyNumberFormat="1">
      <alignment horizontal="center" readingOrder="0" vertical="bottom"/>
    </xf>
    <xf borderId="0" fillId="0" fontId="21" numFmtId="0" xfId="0" applyAlignment="1" applyFont="1">
      <alignment horizontal="center" readingOrder="0" shrinkToFit="0" vertical="top" wrapText="0"/>
    </xf>
    <xf borderId="1" fillId="0" fontId="21" numFmtId="168" xfId="0" applyAlignment="1" applyBorder="1" applyFont="1" applyNumberFormat="1">
      <alignment horizontal="center" readingOrder="0" shrinkToFit="0" wrapText="0"/>
    </xf>
    <xf borderId="0" fillId="0" fontId="38" numFmtId="0" xfId="0" applyAlignment="1" applyFont="1">
      <alignment readingOrder="0"/>
    </xf>
    <xf borderId="1" fillId="0" fontId="21" numFmtId="0" xfId="0" applyAlignment="1" applyBorder="1" applyFont="1">
      <alignment horizontal="center" readingOrder="0" vertical="bottom"/>
    </xf>
    <xf borderId="1" fillId="0" fontId="19" numFmtId="170" xfId="0" applyAlignment="1" applyBorder="1" applyFont="1" applyNumberFormat="1">
      <alignment horizontal="center" vertical="bottom"/>
    </xf>
    <xf borderId="10" fillId="0" fontId="19" numFmtId="0" xfId="0" applyAlignment="1" applyBorder="1" applyFont="1">
      <alignment horizontal="center" readingOrder="0" vertical="top"/>
    </xf>
    <xf borderId="10" fillId="0" fontId="19" numFmtId="0" xfId="0" applyAlignment="1" applyBorder="1" applyFont="1">
      <alignment horizontal="center" vertical="top"/>
    </xf>
    <xf borderId="3" fillId="0" fontId="19" numFmtId="0" xfId="0" applyAlignment="1" applyBorder="1" applyFont="1">
      <alignment horizontal="center" readingOrder="0" vertical="top"/>
    </xf>
    <xf borderId="3" fillId="0" fontId="19" numFmtId="0" xfId="0" applyAlignment="1" applyBorder="1" applyFont="1">
      <alignment horizontal="center" vertical="top"/>
    </xf>
    <xf borderId="0" fillId="0" fontId="19" numFmtId="0" xfId="0" applyAlignment="1" applyFont="1">
      <alignment horizontal="center" readingOrder="0" vertical="top"/>
    </xf>
    <xf borderId="0" fillId="0" fontId="56" numFmtId="0" xfId="0" applyAlignment="1" applyFont="1">
      <alignment horizontal="left" readingOrder="0" vertical="top"/>
    </xf>
    <xf borderId="0" fillId="0" fontId="19" numFmtId="0" xfId="0" applyAlignment="1" applyFont="1">
      <alignment vertical="bottom"/>
    </xf>
    <xf borderId="0" fillId="0" fontId="19" numFmtId="0" xfId="0" applyAlignment="1" applyFont="1">
      <alignment horizontal="center" vertical="bottom"/>
    </xf>
    <xf borderId="0" fillId="0" fontId="19" numFmtId="0" xfId="0" applyAlignment="1" applyFont="1">
      <alignment horizontal="left" readingOrder="0" vertical="top"/>
    </xf>
    <xf borderId="1" fillId="0" fontId="37" numFmtId="0" xfId="0" applyAlignment="1" applyBorder="1" applyFont="1">
      <alignment horizontal="center" readingOrder="0" shrinkToFit="0" wrapText="1"/>
    </xf>
    <xf borderId="1" fillId="0" fontId="37" numFmtId="0" xfId="0" applyAlignment="1" applyBorder="1" applyFont="1">
      <alignment horizontal="center" readingOrder="0" shrinkToFit="0" vertical="top" wrapText="1"/>
    </xf>
    <xf borderId="1" fillId="14" fontId="37" numFmtId="0" xfId="0" applyAlignment="1" applyBorder="1" applyFont="1">
      <alignment horizontal="center" readingOrder="0" shrinkToFit="0" wrapText="1"/>
    </xf>
    <xf borderId="1" fillId="5" fontId="57" numFmtId="0" xfId="0" applyAlignment="1" applyBorder="1" applyFont="1">
      <alignment readingOrder="0" shrinkToFit="0" vertical="top" wrapText="1"/>
    </xf>
    <xf borderId="1" fillId="0" fontId="32" numFmtId="0" xfId="0" applyAlignment="1" applyBorder="1" applyFont="1">
      <alignment horizontal="left" readingOrder="0" shrinkToFit="0" vertical="top" wrapText="1"/>
    </xf>
    <xf borderId="1" fillId="0" fontId="33" numFmtId="0" xfId="0" applyAlignment="1" applyBorder="1" applyFont="1">
      <alignment readingOrder="0" shrinkToFit="0" wrapText="1"/>
    </xf>
    <xf borderId="1" fillId="14" fontId="33" numFmtId="0" xfId="0" applyAlignment="1" applyBorder="1" applyFont="1">
      <alignment readingOrder="0" shrinkToFit="0" wrapText="1"/>
    </xf>
    <xf borderId="0" fillId="0" fontId="38" numFmtId="0" xfId="0" applyAlignment="1" applyFont="1">
      <alignment readingOrder="0" shrinkToFit="0" wrapText="1"/>
    </xf>
    <xf borderId="1" fillId="0" fontId="32" numFmtId="0" xfId="0" applyAlignment="1" applyBorder="1" applyFont="1">
      <alignment horizontal="left" readingOrder="0" shrinkToFit="0" wrapText="1"/>
    </xf>
    <xf borderId="0" fillId="0" fontId="32" numFmtId="0" xfId="0" applyAlignment="1" applyFont="1">
      <alignment horizontal="left" readingOrder="0" shrinkToFit="0" wrapText="1"/>
    </xf>
    <xf borderId="1" fillId="0" fontId="38" numFmtId="0" xfId="0" applyAlignment="1" applyBorder="1" applyFont="1">
      <alignment horizontal="left" readingOrder="0" shrinkToFit="0" vertical="top" wrapText="1"/>
    </xf>
    <xf borderId="0" fillId="0" fontId="38" numFmtId="0" xfId="0" applyAlignment="1" applyFont="1">
      <alignment horizontal="left" readingOrder="0" shrinkToFit="0" vertical="top" wrapText="1"/>
    </xf>
    <xf borderId="1" fillId="0" fontId="57" numFmtId="0" xfId="0" applyAlignment="1" applyBorder="1" applyFont="1">
      <alignment readingOrder="0" shrinkToFit="0" vertical="top" wrapText="1"/>
    </xf>
    <xf borderId="1" fillId="0" fontId="38" numFmtId="0" xfId="0" applyAlignment="1" applyBorder="1" applyFont="1">
      <alignment readingOrder="0" shrinkToFit="0" vertical="center" wrapText="1"/>
    </xf>
    <xf borderId="1" fillId="0" fontId="33" numFmtId="0" xfId="0" applyAlignment="1" applyBorder="1" applyFont="1">
      <alignment shrinkToFit="0" wrapText="1"/>
    </xf>
    <xf borderId="1" fillId="0" fontId="38" numFmtId="0" xfId="0" applyAlignment="1" applyBorder="1" applyFont="1">
      <alignment readingOrder="0" shrinkToFit="0" wrapText="1"/>
    </xf>
    <xf borderId="1" fillId="0" fontId="38" numFmtId="0" xfId="0" applyAlignment="1" applyBorder="1" applyFont="1">
      <alignment readingOrder="0" shrinkToFit="0" vertical="top" wrapText="1"/>
    </xf>
    <xf borderId="1" fillId="0" fontId="33" numFmtId="0" xfId="0" applyAlignment="1" applyBorder="1" applyFont="1">
      <alignment readingOrder="0" vertical="top"/>
    </xf>
    <xf borderId="1" fillId="0" fontId="33" numFmtId="0" xfId="0" applyAlignment="1" applyBorder="1" applyFont="1">
      <alignment vertical="top"/>
    </xf>
    <xf borderId="1" fillId="14" fontId="33" numFmtId="0" xfId="0" applyAlignment="1" applyBorder="1" applyFont="1">
      <alignment readingOrder="0" shrinkToFit="0" vertical="top" wrapText="1"/>
    </xf>
    <xf borderId="1" fillId="0" fontId="33" numFmtId="0" xfId="0" applyAlignment="1" applyBorder="1" applyFont="1">
      <alignment readingOrder="0" shrinkToFit="0" vertical="top" wrapText="1"/>
    </xf>
    <xf borderId="1" fillId="14" fontId="33" numFmtId="0" xfId="0" applyAlignment="1" applyBorder="1" applyFont="1">
      <alignment vertical="top"/>
    </xf>
    <xf borderId="1" fillId="0" fontId="33" numFmtId="0" xfId="0" applyAlignment="1" applyBorder="1" applyFont="1">
      <alignment shrinkToFit="0" vertical="top" wrapText="1"/>
    </xf>
    <xf borderId="1" fillId="25" fontId="33" numFmtId="0" xfId="0" applyAlignment="1" applyBorder="1" applyFill="1" applyFont="1">
      <alignment readingOrder="0" vertical="top"/>
    </xf>
    <xf borderId="1" fillId="0" fontId="33" numFmtId="0" xfId="0" applyAlignment="1" applyBorder="1" applyFont="1">
      <alignment readingOrder="0" vertical="bottom"/>
    </xf>
    <xf borderId="1" fillId="0" fontId="33" numFmtId="0" xfId="0" applyAlignment="1" applyBorder="1" applyFont="1">
      <alignment vertical="bottom"/>
    </xf>
    <xf borderId="1" fillId="14" fontId="33" numFmtId="0" xfId="0" applyAlignment="1" applyBorder="1" applyFont="1">
      <alignment readingOrder="0" shrinkToFit="0" vertical="bottom" wrapText="1"/>
    </xf>
    <xf borderId="1" fillId="0" fontId="33" numFmtId="0" xfId="0" applyAlignment="1" applyBorder="1" applyFont="1">
      <alignment readingOrder="0" shrinkToFit="0" vertical="bottom" wrapText="1"/>
    </xf>
    <xf borderId="1" fillId="0" fontId="38" numFmtId="0" xfId="0" applyAlignment="1" applyBorder="1" applyFont="1">
      <alignment shrinkToFit="0" wrapText="1"/>
    </xf>
    <xf borderId="1" fillId="0" fontId="33" numFmtId="0" xfId="0" applyAlignment="1" applyBorder="1" applyFont="1">
      <alignment vertical="bottom"/>
    </xf>
    <xf borderId="1" fillId="0" fontId="38" numFmtId="0" xfId="0" applyBorder="1" applyFont="1"/>
    <xf borderId="1" fillId="0" fontId="33" numFmtId="0" xfId="0" applyAlignment="1" applyBorder="1" applyFont="1">
      <alignment shrinkToFit="0" vertical="bottom" wrapText="1"/>
    </xf>
    <xf borderId="0" fillId="0" fontId="33" numFmtId="0" xfId="0" applyAlignment="1" applyFont="1">
      <alignment readingOrder="0" shrinkToFit="0" vertical="top" wrapText="1"/>
    </xf>
    <xf borderId="0" fillId="0" fontId="33" numFmtId="0" xfId="0" applyAlignment="1" applyFont="1">
      <alignment readingOrder="0" vertical="bottom"/>
    </xf>
    <xf borderId="0" fillId="0" fontId="33" numFmtId="0" xfId="0" applyAlignment="1" applyFont="1">
      <alignment vertical="bottom"/>
    </xf>
    <xf borderId="0" fillId="14" fontId="33" numFmtId="0" xfId="0" applyAlignment="1" applyFont="1">
      <alignment readingOrder="0" shrinkToFit="0" vertical="bottom" wrapText="1"/>
    </xf>
    <xf borderId="0" fillId="0" fontId="33" numFmtId="0" xfId="0" applyAlignment="1" applyFont="1">
      <alignment readingOrder="0" shrinkToFit="0" vertical="bottom" wrapText="1"/>
    </xf>
    <xf quotePrefix="1" borderId="0" fillId="14" fontId="33" numFmtId="0" xfId="0" applyAlignment="1" applyFont="1">
      <alignment readingOrder="0" shrinkToFit="0" vertical="bottom" wrapText="1"/>
    </xf>
    <xf borderId="0" fillId="0" fontId="38" numFmtId="0" xfId="0" applyAlignment="1" applyFont="1">
      <alignment shrinkToFit="0" wrapText="1"/>
    </xf>
    <xf borderId="0" fillId="0" fontId="38" numFmtId="0" xfId="0" applyAlignment="1" applyFont="1">
      <alignment readingOrder="0" shrinkToFit="0" vertical="top" wrapText="1"/>
    </xf>
    <xf borderId="0" fillId="14" fontId="38" numFmtId="0" xfId="0" applyAlignment="1" applyFont="1">
      <alignment readingOrder="0" shrinkToFit="0" wrapText="1"/>
    </xf>
    <xf borderId="0" fillId="0" fontId="38" numFmtId="0" xfId="0" applyAlignment="1" applyFont="1">
      <alignment vertical="top"/>
    </xf>
    <xf borderId="0" fillId="14" fontId="38" numFmtId="0" xfId="0" applyFont="1"/>
    <xf borderId="7" fillId="0" fontId="11" numFmtId="0" xfId="0" applyAlignment="1" applyBorder="1" applyFont="1">
      <alignment horizontal="center" readingOrder="0" shrinkToFit="0" wrapText="1"/>
    </xf>
    <xf borderId="7" fillId="0" fontId="11" numFmtId="0" xfId="0" applyAlignment="1" applyBorder="1" applyFont="1">
      <alignment horizontal="center" readingOrder="0" shrinkToFit="0" vertical="center" wrapText="1"/>
    </xf>
    <xf borderId="5" fillId="5" fontId="17" numFmtId="0" xfId="0" applyAlignment="1" applyBorder="1" applyFont="1">
      <alignment horizontal="center" vertical="bottom"/>
    </xf>
    <xf borderId="5" fillId="0" fontId="58" numFmtId="0" xfId="0" applyAlignment="1" applyBorder="1" applyFont="1">
      <alignment horizontal="center" readingOrder="0" vertical="bottom"/>
    </xf>
    <xf borderId="5" fillId="0" fontId="58" numFmtId="0" xfId="0" applyAlignment="1" applyBorder="1" applyFont="1">
      <alignment horizontal="center" vertical="bottom"/>
    </xf>
    <xf borderId="5" fillId="0" fontId="17" numFmtId="0" xfId="0" applyAlignment="1" applyBorder="1" applyFont="1">
      <alignment horizontal="center" readingOrder="0" vertical="bottom"/>
    </xf>
    <xf borderId="5" fillId="5" fontId="17" numFmtId="0" xfId="0" applyAlignment="1" applyBorder="1" applyFont="1">
      <alignment horizontal="center" readingOrder="0" vertical="bottom"/>
    </xf>
    <xf borderId="5" fillId="7" fontId="17" numFmtId="0" xfId="0" applyAlignment="1" applyBorder="1" applyFont="1">
      <alignment horizontal="center" vertical="bottom"/>
    </xf>
    <xf borderId="5" fillId="7" fontId="17" numFmtId="0" xfId="0" applyAlignment="1" applyBorder="1" applyFont="1">
      <alignment horizontal="center" readingOrder="0" vertical="bottom"/>
    </xf>
    <xf borderId="5" fillId="5" fontId="59" numFmtId="0" xfId="0" applyAlignment="1" applyBorder="1" applyFont="1">
      <alignment horizontal="center" readingOrder="0" vertical="bottom"/>
    </xf>
    <xf borderId="1" fillId="5" fontId="17" numFmtId="0" xfId="0" applyAlignment="1" applyBorder="1" applyFont="1">
      <alignment horizontal="center" readingOrder="0" vertical="bottom"/>
    </xf>
    <xf borderId="1" fillId="5" fontId="17" numFmtId="0" xfId="0" applyAlignment="1" applyBorder="1" applyFont="1">
      <alignment horizontal="center" vertical="center"/>
    </xf>
    <xf borderId="1" fillId="5" fontId="17" numFmtId="0" xfId="0" applyAlignment="1" applyBorder="1" applyFont="1">
      <alignment horizontal="center" readingOrder="0"/>
    </xf>
    <xf borderId="1" fillId="5" fontId="2" numFmtId="0" xfId="0" applyAlignment="1" applyBorder="1" applyFont="1">
      <alignment readingOrder="0" shrinkToFit="0" vertical="top" wrapText="1"/>
    </xf>
    <xf borderId="1" fillId="0" fontId="60" numFmtId="0" xfId="0" applyAlignment="1" applyBorder="1" applyFont="1">
      <alignment horizontal="left" readingOrder="0" shrinkToFit="0" wrapText="1"/>
    </xf>
    <xf borderId="5" fillId="0" fontId="60" numFmtId="0" xfId="0" applyAlignment="1" applyBorder="1" applyFont="1">
      <alignment horizontal="left" readingOrder="0" shrinkToFit="0" wrapText="1"/>
    </xf>
    <xf borderId="5" fillId="0" fontId="60" numFmtId="0" xfId="0" applyAlignment="1" applyBorder="1" applyFont="1">
      <alignment horizontal="center" readingOrder="0" shrinkToFit="0" wrapText="1"/>
    </xf>
    <xf borderId="5" fillId="0" fontId="5" numFmtId="0" xfId="0" applyAlignment="1" applyBorder="1" applyFont="1">
      <alignment horizontal="left" readingOrder="0" shrinkToFit="0" vertical="top" wrapText="1"/>
    </xf>
    <xf borderId="5" fillId="0" fontId="5" numFmtId="0" xfId="0" applyAlignment="1" applyBorder="1" applyFont="1">
      <alignment horizontal="left" shrinkToFit="0" vertical="top" wrapText="1"/>
    </xf>
    <xf borderId="1" fillId="0" fontId="60" numFmtId="0" xfId="0" applyAlignment="1" applyBorder="1" applyFont="1">
      <alignment horizontal="center" readingOrder="0" shrinkToFit="0" wrapText="1"/>
    </xf>
    <xf borderId="1" fillId="0" fontId="5" numFmtId="0" xfId="0" applyAlignment="1" applyBorder="1" applyFont="1">
      <alignment horizontal="left" readingOrder="0" shrinkToFit="0" vertical="top" wrapText="1"/>
    </xf>
    <xf borderId="7" fillId="0" fontId="38" numFmtId="0" xfId="0" applyAlignment="1" applyBorder="1" applyFont="1">
      <alignment readingOrder="0" shrinkToFit="0" vertical="top" wrapText="1"/>
    </xf>
    <xf borderId="7" fillId="0" fontId="38" numFmtId="0" xfId="0" applyAlignment="1" applyBorder="1" applyFont="1">
      <alignment readingOrder="0" shrinkToFit="0" vertical="center" wrapText="1"/>
    </xf>
    <xf borderId="1" fillId="0" fontId="0" numFmtId="0" xfId="0" applyAlignment="1" applyBorder="1" applyFont="1">
      <alignment horizontal="center" readingOrder="0" shrinkToFit="0" wrapText="1"/>
    </xf>
    <xf borderId="10" fillId="0" fontId="38" numFmtId="0" xfId="0" applyAlignment="1" applyBorder="1" applyFont="1">
      <alignment readingOrder="0" shrinkToFit="0" vertical="center" wrapText="1"/>
    </xf>
    <xf borderId="1" fillId="0" fontId="3" numFmtId="0" xfId="0" applyAlignment="1" applyBorder="1" applyFont="1">
      <alignment readingOrder="0" shrinkToFit="0" vertical="bottom" wrapText="1"/>
    </xf>
    <xf borderId="7" fillId="0" fontId="3" numFmtId="0" xfId="0" applyAlignment="1" applyBorder="1" applyFont="1">
      <alignment readingOrder="0" shrinkToFit="0" vertical="center" wrapText="1"/>
    </xf>
    <xf borderId="7" fillId="0" fontId="5" numFmtId="0" xfId="0" applyAlignment="1" applyBorder="1" applyFont="1">
      <alignment readingOrder="0" shrinkToFit="0" vertical="center" wrapText="1"/>
    </xf>
    <xf borderId="1" fillId="0" fontId="3" numFmtId="0" xfId="0" applyAlignment="1" applyBorder="1" applyFont="1">
      <alignment readingOrder="0" shrinkToFit="0" vertical="top" wrapText="1"/>
    </xf>
    <xf borderId="7" fillId="0" fontId="3" numFmtId="0" xfId="0" applyAlignment="1" applyBorder="1" applyFont="1">
      <alignment horizontal="left" shrinkToFit="0" vertical="center" wrapText="1"/>
    </xf>
    <xf borderId="7" fillId="5" fontId="2" numFmtId="0" xfId="0" applyAlignment="1" applyBorder="1" applyFont="1">
      <alignment readingOrder="0" shrinkToFit="0" vertical="center" wrapText="1"/>
    </xf>
    <xf borderId="1" fillId="0" fontId="3" numFmtId="0" xfId="0" applyAlignment="1" applyBorder="1" applyFont="1">
      <alignment shrinkToFit="0" vertical="bottom" wrapText="1"/>
    </xf>
    <xf borderId="7" fillId="0" fontId="3" numFmtId="0" xfId="0" applyAlignment="1" applyBorder="1" applyFont="1">
      <alignment shrinkToFit="0" vertical="center" wrapText="1"/>
    </xf>
    <xf borderId="1" fillId="0" fontId="3" numFmtId="0" xfId="0" applyAlignment="1" applyBorder="1" applyFont="1">
      <alignment readingOrder="0" shrinkToFit="0" wrapText="1"/>
    </xf>
    <xf borderId="1" fillId="0" fontId="3" numFmtId="0" xfId="0" applyAlignment="1" applyBorder="1" applyFont="1">
      <alignment shrinkToFit="0" wrapText="1"/>
    </xf>
    <xf borderId="0" fillId="0" fontId="3" numFmtId="0" xfId="0" applyAlignment="1" applyFont="1">
      <alignment readingOrder="0" shrinkToFit="0" vertical="top" wrapText="1"/>
    </xf>
    <xf borderId="1" fillId="0" fontId="3" numFmtId="0" xfId="0" applyAlignment="1" applyBorder="1" applyFont="1">
      <alignment readingOrder="0" shrinkToFit="0" vertical="center" wrapText="1"/>
    </xf>
    <xf borderId="1" fillId="0" fontId="5" numFmtId="0" xfId="0" applyAlignment="1" applyBorder="1" applyFont="1">
      <alignment readingOrder="0" shrinkToFit="0" vertical="center" wrapText="1"/>
    </xf>
    <xf borderId="1" fillId="5" fontId="3" numFmtId="0" xfId="0" applyAlignment="1" applyBorder="1" applyFont="1">
      <alignment readingOrder="0" shrinkToFit="0" wrapText="1"/>
    </xf>
    <xf borderId="7" fillId="26" fontId="5" numFmtId="0" xfId="0" applyAlignment="1" applyBorder="1" applyFill="1" applyFont="1">
      <alignment readingOrder="0" shrinkToFit="0" vertical="center" wrapText="1"/>
    </xf>
    <xf borderId="1" fillId="26" fontId="3" numFmtId="0" xfId="0" applyAlignment="1" applyBorder="1" applyFont="1">
      <alignment readingOrder="0" shrinkToFit="0" vertical="top" wrapText="1"/>
    </xf>
    <xf borderId="0" fillId="0" fontId="5" numFmtId="0" xfId="0" applyAlignment="1" applyFont="1">
      <alignment readingOrder="0" shrinkToFit="0" vertical="center" wrapText="1"/>
    </xf>
    <xf borderId="0" fillId="0" fontId="5" numFmtId="0" xfId="0" applyAlignment="1" applyFont="1">
      <alignment readingOrder="0" shrinkToFit="0" wrapText="1"/>
    </xf>
    <xf borderId="19" fillId="0" fontId="5" numFmtId="0" xfId="0" applyAlignment="1" applyBorder="1" applyFont="1">
      <alignment horizontal="left" readingOrder="0" shrinkToFit="0" vertical="top" wrapText="1"/>
    </xf>
    <xf borderId="0" fillId="0" fontId="5" numFmtId="0" xfId="0" applyAlignment="1" applyFont="1">
      <alignment horizontal="left" readingOrder="0" shrinkToFit="0" vertical="top" wrapText="1"/>
    </xf>
    <xf borderId="14" fillId="0" fontId="5" numFmtId="0" xfId="0" applyAlignment="1" applyBorder="1" applyFont="1">
      <alignment horizontal="left" readingOrder="0" shrinkToFit="0" vertical="top" wrapText="1"/>
    </xf>
    <xf borderId="6" fillId="0" fontId="5" numFmtId="0" xfId="0" applyAlignment="1" applyBorder="1" applyFont="1">
      <alignment horizontal="left" readingOrder="0" shrinkToFit="0" vertical="top" wrapText="1"/>
    </xf>
    <xf borderId="0" fillId="0" fontId="5"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xdr:col>
      <xdr:colOff>381000</xdr:colOff>
      <xdr:row>12</xdr:row>
      <xdr:rowOff>-638175</xdr:rowOff>
    </xdr:from>
    <xdr:ext cx="6896100" cy="5600700"/>
    <xdr:pic>
      <xdr:nvPicPr>
        <xdr:cNvPr id="0" name="image1.png" title="Gambar"/>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5.xml"/><Relationship Id="rId3"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mailto:imam.rozi@polinema.ac.id" TargetMode="External"/><Relationship Id="rId2" Type="http://schemas.openxmlformats.org/officeDocument/2006/relationships/hyperlink" Target="mailto:wildaimama@polinema.ac.id" TargetMode="External"/><Relationship Id="rId3"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90" Type="http://schemas.openxmlformats.org/officeDocument/2006/relationships/hyperlink" Target="https://scholar.google.com/citations?view_op=view_citation&amp;hl=en&amp;user=u9NRZPUAAAAJ&amp;sortby=pubdate&amp;citation_for_view=u9NRZPUAAAAJ:HoB7MX3m0LUC" TargetMode="External"/><Relationship Id="rId194" Type="http://schemas.openxmlformats.org/officeDocument/2006/relationships/hyperlink" Target="https://scholar.google.co.id/citations?view_op=view_citation&amp;hl=id&amp;user=vpeg39oAAAAJ&amp;sortby=pubdate&amp;citation_for_view=vpeg39oAAAAJ:tS2w5q8j5-wC" TargetMode="External"/><Relationship Id="rId193" Type="http://schemas.openxmlformats.org/officeDocument/2006/relationships/hyperlink" Target="https://scholar.google.co.id/citations?view_op=view_citation&amp;hl=id&amp;user=vpeg39oAAAAJ&amp;sortby=pubdate&amp;citation_for_view=vpeg39oAAAAJ:eJXPG6dFmWUC" TargetMode="External"/><Relationship Id="rId192" Type="http://schemas.openxmlformats.org/officeDocument/2006/relationships/hyperlink" Target="https://scholar.google.co.id/citations?view_op=view_citation&amp;hl=id&amp;user=vpeg39oAAAAJ&amp;sortby=pubdate&amp;citation_for_view=vpeg39oAAAAJ:eJXPG6dFmWUC" TargetMode="External"/><Relationship Id="rId191" Type="http://schemas.openxmlformats.org/officeDocument/2006/relationships/hyperlink" Target="https://scholar.google.com/citations?view_op=view_citation&amp;hl=en&amp;user=u9NRZPUAAAAJ&amp;sortby=pubdate&amp;citation_for_view=u9NRZPUAAAAJ:HoB7MX3m0LUC" TargetMode="External"/><Relationship Id="rId187" Type="http://schemas.openxmlformats.org/officeDocument/2006/relationships/hyperlink" Target="https://scholar.google.com/citations?view_op=view_citation&amp;hl=en&amp;user=u9NRZPUAAAAJ&amp;sortby=pubdate&amp;citation_for_view=u9NRZPUAAAAJ:YFjsv_pBGBYC" TargetMode="External"/><Relationship Id="rId186" Type="http://schemas.openxmlformats.org/officeDocument/2006/relationships/hyperlink" Target="https://scholar.google.com/citations?view_op=view_citation&amp;hl=en&amp;user=u9NRZPUAAAAJ&amp;sortby=pubdate&amp;citation_for_view=u9NRZPUAAAAJ:YFjsv_pBGBYC" TargetMode="External"/><Relationship Id="rId185" Type="http://schemas.openxmlformats.org/officeDocument/2006/relationships/hyperlink" Target="https://scholar.google.com/citations?view_op=view_citation&amp;hl=en&amp;user=u9NRZPUAAAAJ&amp;sortby=pubdate&amp;citation_for_view=u9NRZPUAAAAJ:lSLTfruPkqcC" TargetMode="External"/><Relationship Id="rId184" Type="http://schemas.openxmlformats.org/officeDocument/2006/relationships/hyperlink" Target="https://scholar.google.com/citations?view_op=view_citation&amp;hl=en&amp;user=u9NRZPUAAAAJ&amp;sortby=pubdate&amp;citation_for_view=u9NRZPUAAAAJ:lSLTfruPkqcC" TargetMode="External"/><Relationship Id="rId189" Type="http://schemas.openxmlformats.org/officeDocument/2006/relationships/hyperlink" Target="https://scholar.google.com/citations?view_op=view_citation&amp;hl=en&amp;user=u9NRZPUAAAAJ&amp;sortby=pubdate&amp;citation_for_view=u9NRZPUAAAAJ:4OULZ7Gr8RgC" TargetMode="External"/><Relationship Id="rId188" Type="http://schemas.openxmlformats.org/officeDocument/2006/relationships/hyperlink" Target="https://scholar.google.com/citations?view_op=view_citation&amp;hl=en&amp;user=u9NRZPUAAAAJ&amp;sortby=pubdate&amp;citation_for_view=u9NRZPUAAAAJ:4OULZ7Gr8RgC" TargetMode="External"/><Relationship Id="rId183" Type="http://schemas.openxmlformats.org/officeDocument/2006/relationships/hyperlink" Target="https://scholar.google.com/citations?view_op=view_citation&amp;hl=en&amp;user=u9NRZPUAAAAJ&amp;sortby=pubdate&amp;citation_for_view=u9NRZPUAAAAJ:35N4QoGY0k4C" TargetMode="External"/><Relationship Id="rId182" Type="http://schemas.openxmlformats.org/officeDocument/2006/relationships/hyperlink" Target="https://scholar.google.com/citations?view_op=view_citation&amp;hl=en&amp;user=u9NRZPUAAAAJ&amp;sortby=pubdate&amp;citation_for_view=u9NRZPUAAAAJ:35N4QoGY0k4C" TargetMode="External"/><Relationship Id="rId181" Type="http://schemas.openxmlformats.org/officeDocument/2006/relationships/hyperlink" Target="https://scholar.google.com/citations?view_op=view_citation&amp;hl=en&amp;user=u9NRZPUAAAAJ&amp;sortby=pubdate&amp;citation_for_view=u9NRZPUAAAAJ:M05iB0D1s5AC" TargetMode="External"/><Relationship Id="rId180" Type="http://schemas.openxmlformats.org/officeDocument/2006/relationships/hyperlink" Target="https://scholar.google.com/citations?view_op=view_citation&amp;hl=en&amp;user=u9NRZPUAAAAJ&amp;sortby=pubdate&amp;citation_for_view=u9NRZPUAAAAJ:M05iB0D1s5AC" TargetMode="External"/><Relationship Id="rId176" Type="http://schemas.openxmlformats.org/officeDocument/2006/relationships/hyperlink" Target="https://scholar.google.com/citations?view_op=view_citation&amp;hl=en&amp;user=u9NRZPUAAAAJ&amp;sortby=pubdate&amp;citation_for_view=u9NRZPUAAAAJ:EUQCXRtRnyEC" TargetMode="External"/><Relationship Id="rId175" Type="http://schemas.openxmlformats.org/officeDocument/2006/relationships/hyperlink" Target="https://scholar.google.com/citations?view_op=view_citation&amp;hl=en&amp;user=u9NRZPUAAAAJ&amp;sortby=pubdate&amp;citation_for_view=u9NRZPUAAAAJ:EUQCXRtRnyEC" TargetMode="External"/><Relationship Id="rId174" Type="http://schemas.openxmlformats.org/officeDocument/2006/relationships/hyperlink" Target="https://scholar.google.com/citations?view_op=view_citation&amp;hl=en&amp;user=u9NRZPUAAAAJ&amp;sortby=pubdate&amp;citation_for_view=u9NRZPUAAAAJ:pyW8ca7W8N0C" TargetMode="External"/><Relationship Id="rId173" Type="http://schemas.openxmlformats.org/officeDocument/2006/relationships/hyperlink" Target="https://scholar.google.com/citations?view_op=view_citation&amp;hl=en&amp;user=u9NRZPUAAAAJ&amp;sortby=pubdate&amp;citation_for_view=u9NRZPUAAAAJ:pyW8ca7W8N0C" TargetMode="External"/><Relationship Id="rId179" Type="http://schemas.openxmlformats.org/officeDocument/2006/relationships/hyperlink" Target="https://scholar.google.com/citations?view_op=view_citation&amp;hl=en&amp;user=u9NRZPUAAAAJ&amp;sortby=pubdate&amp;citation_for_view=u9NRZPUAAAAJ:dfsIfKJdRG4C" TargetMode="External"/><Relationship Id="rId178" Type="http://schemas.openxmlformats.org/officeDocument/2006/relationships/hyperlink" Target="https://scholar.google.com/citations?view_op=view_citation&amp;hl=en&amp;user=u9NRZPUAAAAJ&amp;sortby=pubdate&amp;citation_for_view=u9NRZPUAAAAJ:cFHS6HbyZ2cC" TargetMode="External"/><Relationship Id="rId177" Type="http://schemas.openxmlformats.org/officeDocument/2006/relationships/hyperlink" Target="https://scholar.google.com/citations?view_op=view_citation&amp;hl=en&amp;user=u9NRZPUAAAAJ&amp;sortby=pubdate&amp;citation_for_view=u9NRZPUAAAAJ:cFHS6HbyZ2cC" TargetMode="External"/><Relationship Id="rId198" Type="http://schemas.openxmlformats.org/officeDocument/2006/relationships/hyperlink" Target="https://scholar.google.co.id/citations?view_op=view_citation&amp;hl=id&amp;user=vpeg39oAAAAJ&amp;sortby=pubdate&amp;citation_for_view=vpeg39oAAAAJ:pyW8ca7W8N0C" TargetMode="External"/><Relationship Id="rId197" Type="http://schemas.openxmlformats.org/officeDocument/2006/relationships/hyperlink" Target="https://scholar.google.co.id/citations?view_op=view_citation&amp;hl=id&amp;user=vpeg39oAAAAJ&amp;sortby=pubdate&amp;citation_for_view=vpeg39oAAAAJ:WbkHhVStYXYC" TargetMode="External"/><Relationship Id="rId196" Type="http://schemas.openxmlformats.org/officeDocument/2006/relationships/hyperlink" Target="https://scholar.google.co.id/citations?view_op=view_citation&amp;hl=id&amp;user=vpeg39oAAAAJ&amp;sortby=pubdate&amp;citation_for_view=vpeg39oAAAAJ:WbkHhVStYXYC" TargetMode="External"/><Relationship Id="rId195" Type="http://schemas.openxmlformats.org/officeDocument/2006/relationships/hyperlink" Target="https://scholar.google.co.id/citations?view_op=view_citation&amp;hl=id&amp;user=vpeg39oAAAAJ&amp;sortby=pubdate&amp;citation_for_view=vpeg39oAAAAJ:tS2w5q8j5-wC" TargetMode="External"/><Relationship Id="rId199" Type="http://schemas.openxmlformats.org/officeDocument/2006/relationships/hyperlink" Target="https://scholar.google.co.id/citations?view_op=view_citation&amp;hl=id&amp;user=vpeg39oAAAAJ&amp;sortby=pubdate&amp;citation_for_view=vpeg39oAAAAJ:pyW8ca7W8N0C" TargetMode="External"/><Relationship Id="rId150" Type="http://schemas.openxmlformats.org/officeDocument/2006/relationships/hyperlink" Target="https://scholar.google.co.id/citations?view_op=view_citation&amp;hl=id&amp;user=k46osOYAAAAJ&amp;sortby=pubdate&amp;citation_for_view=k46osOYAAAAJ:YOwf2qJgpHMC" TargetMode="External"/><Relationship Id="rId392" Type="http://schemas.openxmlformats.org/officeDocument/2006/relationships/hyperlink" Target="https://scholar.google.com/citations?view_op=view_citation&amp;hl=id&amp;user=0uPC_KcAAAAJ&amp;sortby=pubdate&amp;citation_for_view=0uPC_KcAAAAJ:0EnyYjriUFMC" TargetMode="External"/><Relationship Id="rId391" Type="http://schemas.openxmlformats.org/officeDocument/2006/relationships/hyperlink" Target="https://scholar.google.com/citations?view_op=view_citation&amp;hl=id&amp;user=0uPC_KcAAAAJ&amp;sortby=pubdate&amp;citation_for_view=0uPC_KcAAAAJ:3fE2CSJIrl8C" TargetMode="External"/><Relationship Id="rId390" Type="http://schemas.openxmlformats.org/officeDocument/2006/relationships/hyperlink" Target="https://scholar.google.com/citations?view_op=view_citation&amp;hl=id&amp;user=0uPC_KcAAAAJ&amp;sortby=pubdate&amp;citation_for_view=0uPC_KcAAAAJ:3fE2CSJIrl8C" TargetMode="External"/><Relationship Id="rId1" Type="http://schemas.openxmlformats.org/officeDocument/2006/relationships/hyperlink" Target="mailto:imam.rozi@polinema.ac.id" TargetMode="External"/><Relationship Id="rId2" Type="http://schemas.openxmlformats.org/officeDocument/2006/relationships/hyperlink" Target="mailto:wildaimama@polinema.ac.id" TargetMode="External"/><Relationship Id="rId3" Type="http://schemas.openxmlformats.org/officeDocument/2006/relationships/hyperlink" Target="https://drive.google.com/drive/folders/1DoQp7WcWxrnrdm_UVQDnGMX3Uscdq72h?usp=drive_link" TargetMode="External"/><Relationship Id="rId149" Type="http://schemas.openxmlformats.org/officeDocument/2006/relationships/hyperlink" Target="https://scholar.google.co.id/citations?view_op=view_citation&amp;hl=id&amp;user=k46osOYAAAAJ&amp;sortby=pubdate&amp;citation_for_view=k46osOYAAAAJ:YOwf2qJgpHMC" TargetMode="External"/><Relationship Id="rId4" Type="http://schemas.openxmlformats.org/officeDocument/2006/relationships/hyperlink" Target="https://drive.google.com/drive/folders/1MsaC-K5GqtvJ8l6BWN33PeAYSZk2bOuC?usp=drive_link" TargetMode="External"/><Relationship Id="rId148" Type="http://schemas.openxmlformats.org/officeDocument/2006/relationships/hyperlink" Target="https://scholar.google.co.id/citations?view_op=view_citation&amp;hl=id&amp;user=k46osOYAAAAJ&amp;sortby=pubdate&amp;citation_for_view=k46osOYAAAAJ:mVmsd5A6BfQC" TargetMode="External"/><Relationship Id="rId9" Type="http://schemas.openxmlformats.org/officeDocument/2006/relationships/hyperlink" Target="https://journal.unika.ac.id/index.php/sisforma/article/view/5157" TargetMode="External"/><Relationship Id="rId143" Type="http://schemas.openxmlformats.org/officeDocument/2006/relationships/hyperlink" Target="https://scholar.google.co.id/citations?view_op=view_citation&amp;hl=id&amp;user=k46osOYAAAAJ&amp;sortby=pubdate&amp;citation_for_view=k46osOYAAAAJ:4TOpqqG69KYC" TargetMode="External"/><Relationship Id="rId385" Type="http://schemas.openxmlformats.org/officeDocument/2006/relationships/hyperlink" Target="https://scholar.google.com/citations?view_op=view_citation&amp;hl=id&amp;user=0uPC_KcAAAAJ&amp;sortby=pubdate&amp;citation_for_view=0uPC_KcAAAAJ:M3ejUd6NZC8C" TargetMode="External"/><Relationship Id="rId142" Type="http://schemas.openxmlformats.org/officeDocument/2006/relationships/hyperlink" Target="https://scholar.google.co.id/citations?view_op=view_citation&amp;hl=id&amp;user=k46osOYAAAAJ&amp;sortby=pubdate&amp;citation_for_view=k46osOYAAAAJ:Zph67rFs4hoC" TargetMode="External"/><Relationship Id="rId384" Type="http://schemas.openxmlformats.org/officeDocument/2006/relationships/hyperlink" Target="https://scholar.google.com/citations?view_op=view_citation&amp;hl=id&amp;user=0uPC_KcAAAAJ&amp;sortby=pubdate&amp;citation_for_view=0uPC_KcAAAAJ:M3ejUd6NZC8C" TargetMode="External"/><Relationship Id="rId141" Type="http://schemas.openxmlformats.org/officeDocument/2006/relationships/hyperlink" Target="https://scholar.google.co.id/citations?view_op=view_citation&amp;hl=id&amp;user=k46osOYAAAAJ&amp;sortby=pubdate&amp;citation_for_view=k46osOYAAAAJ:Zph67rFs4hoC" TargetMode="External"/><Relationship Id="rId383" Type="http://schemas.openxmlformats.org/officeDocument/2006/relationships/hyperlink" Target="https://scholar.google.com/citations?view_op=view_citation&amp;hl=id&amp;user=0uPC_KcAAAAJ&amp;sortby=pubdate&amp;citation_for_view=0uPC_KcAAAAJ:ULOm3_A8WrAC" TargetMode="External"/><Relationship Id="rId140" Type="http://schemas.openxmlformats.org/officeDocument/2006/relationships/hyperlink" Target="https://scholar.google.com/citations?view_op=view_citation&amp;hl=id&amp;user=aTvMZ20AAAAJ&amp;pagesize=100&amp;citation_for_view=aTvMZ20AAAAJ:9ZlFYXVOiuMC" TargetMode="External"/><Relationship Id="rId382" Type="http://schemas.openxmlformats.org/officeDocument/2006/relationships/hyperlink" Target="https://scholar.google.com/citations?view_op=view_citation&amp;hl=id&amp;user=0uPC_KcAAAAJ&amp;sortby=pubdate&amp;citation_for_view=0uPC_KcAAAAJ:ULOm3_A8WrAC" TargetMode="External"/><Relationship Id="rId5" Type="http://schemas.openxmlformats.org/officeDocument/2006/relationships/hyperlink" Target="https://drive.google.com/drive/folders/1WHHBkq3Txh-1_vdFVtwcoJ-8BPAn9oAO?usp=drive_link" TargetMode="External"/><Relationship Id="rId147" Type="http://schemas.openxmlformats.org/officeDocument/2006/relationships/hyperlink" Target="https://scholar.google.co.id/citations?view_op=view_citation&amp;hl=id&amp;user=k46osOYAAAAJ&amp;sortby=pubdate&amp;citation_for_view=k46osOYAAAAJ:mVmsd5A6BfQC" TargetMode="External"/><Relationship Id="rId389" Type="http://schemas.openxmlformats.org/officeDocument/2006/relationships/hyperlink" Target="https://scholar.google.com/citations?view_op=view_citation&amp;hl=id&amp;user=0uPC_KcAAAAJ&amp;sortby=pubdate&amp;citation_for_view=0uPC_KcAAAAJ:kNdYIx-mwKoC" TargetMode="External"/><Relationship Id="rId6" Type="http://schemas.openxmlformats.org/officeDocument/2006/relationships/hyperlink" Target="https://drive.google.com/drive/folders/15yB9ZssahHOU73_TLXatkJmHc5azlI8Z?usp=drive_link" TargetMode="External"/><Relationship Id="rId146" Type="http://schemas.openxmlformats.org/officeDocument/2006/relationships/hyperlink" Target="https://scholar.google.co.id/citations?view_op=view_citation&amp;hl=id&amp;user=k46osOYAAAAJ&amp;sortby=pubdate&amp;citation_for_view=k46osOYAAAAJ:qxL8FJ1GzNcC" TargetMode="External"/><Relationship Id="rId388" Type="http://schemas.openxmlformats.org/officeDocument/2006/relationships/hyperlink" Target="https://scholar.google.com/citations?view_op=view_citation&amp;hl=id&amp;user=0uPC_KcAAAAJ&amp;sortby=pubdate&amp;citation_for_view=0uPC_KcAAAAJ:kNdYIx-mwKoC" TargetMode="External"/><Relationship Id="rId7" Type="http://schemas.openxmlformats.org/officeDocument/2006/relationships/hyperlink" Target="https://drive.google.com/drive/folders/1CTh58BUQjhUHDUjB4UTznuQvZ_ZxqnWu?usp=drive_link" TargetMode="External"/><Relationship Id="rId145" Type="http://schemas.openxmlformats.org/officeDocument/2006/relationships/hyperlink" Target="https://scholar.google.co.id/citations?view_op=view_citation&amp;hl=id&amp;user=k46osOYAAAAJ&amp;sortby=pubdate&amp;citation_for_view=k46osOYAAAAJ:qxL8FJ1GzNcC" TargetMode="External"/><Relationship Id="rId387" Type="http://schemas.openxmlformats.org/officeDocument/2006/relationships/hyperlink" Target="https://scholar.google.com/citations?view_op=view_citation&amp;hl=id&amp;user=0uPC_KcAAAAJ&amp;sortby=pubdate&amp;citation_for_view=0uPC_KcAAAAJ:YOwf2qJgpHMC" TargetMode="External"/><Relationship Id="rId8" Type="http://schemas.openxmlformats.org/officeDocument/2006/relationships/hyperlink" Target="https://drive.google.com/drive/folders/1YuShkSqQvBXXyFO5PnU29mq06nYHxSfm?usp=drive_link" TargetMode="External"/><Relationship Id="rId144" Type="http://schemas.openxmlformats.org/officeDocument/2006/relationships/hyperlink" Target="https://scholar.google.co.id/citations?view_op=view_citation&amp;hl=id&amp;user=k46osOYAAAAJ&amp;sortby=pubdate&amp;citation_for_view=k46osOYAAAAJ:4TOpqqG69KYC" TargetMode="External"/><Relationship Id="rId386" Type="http://schemas.openxmlformats.org/officeDocument/2006/relationships/hyperlink" Target="https://scholar.google.com/citations?view_op=view_citation&amp;hl=id&amp;user=0uPC_KcAAAAJ&amp;sortby=pubdate&amp;citation_for_view=0uPC_KcAAAAJ:YOwf2qJgpHMC" TargetMode="External"/><Relationship Id="rId381" Type="http://schemas.openxmlformats.org/officeDocument/2006/relationships/hyperlink" Target="https://scholar.google.com/citations?view_op=view_citation&amp;hl=id&amp;user=0uPC_KcAAAAJ&amp;sortby=pubdate&amp;citation_for_view=0uPC_KcAAAAJ:qxL8FJ1GzNcC" TargetMode="External"/><Relationship Id="rId380" Type="http://schemas.openxmlformats.org/officeDocument/2006/relationships/hyperlink" Target="https://scholar.google.com/citations?view_op=view_citation&amp;hl=id&amp;user=0uPC_KcAAAAJ&amp;sortby=pubdate&amp;citation_for_view=0uPC_KcAAAAJ:qxL8FJ1GzNcC" TargetMode="External"/><Relationship Id="rId139" Type="http://schemas.openxmlformats.org/officeDocument/2006/relationships/hyperlink" Target="https://scholar.google.com/citations?view_op=view_citation&amp;hl=id&amp;user=UkVZyQ0AAAAJ&amp;pagesize=100&amp;citation_for_view=UkVZyQ0AAAAJ:Zph67rFs4hoC" TargetMode="External"/><Relationship Id="rId138" Type="http://schemas.openxmlformats.org/officeDocument/2006/relationships/hyperlink" Target="https://scholar.google.co.id/citations?view_op=view_citation&amp;hl=id&amp;user=PnAIYMwAAAAJ&amp;sortby=pubdate&amp;citation_for_view=PnAIYMwAAAAJ:FAceZFleit8C" TargetMode="External"/><Relationship Id="rId137" Type="http://schemas.openxmlformats.org/officeDocument/2006/relationships/hyperlink" Target="https://scholar.google.com/citations?view_op=view_citation&amp;hl=id&amp;user=ysWaNAsAAAAJ&amp;sortby=pubdate&amp;authuser=1&amp;citation_for_view=ysWaNAsAAAAJ:J_g5lzvAfSwC" TargetMode="External"/><Relationship Id="rId379" Type="http://schemas.openxmlformats.org/officeDocument/2006/relationships/hyperlink" Target="https://scholar.google.com/citations?view_op=view_citation&amp;hl=id&amp;user=0uPC_KcAAAAJ&amp;sortby=pubdate&amp;citation_for_view=0uPC_KcAAAAJ:aqlVkmm33-oC" TargetMode="External"/><Relationship Id="rId132" Type="http://schemas.openxmlformats.org/officeDocument/2006/relationships/hyperlink" Target="https://scholar.google.co.id/citations?view_op=view_citation&amp;hl=id&amp;user=H-zZ_4IAAAAJ&amp;sortby=pubdate&amp;citation_for_view=H-zZ_4IAAAAJ:J_g5lzvAfSwC" TargetMode="External"/><Relationship Id="rId374" Type="http://schemas.openxmlformats.org/officeDocument/2006/relationships/hyperlink" Target="https://scholar.google.com/citations?view_op=view_citation&amp;hl=id&amp;user=z3yHGr0AAAAJ&amp;sortby=pubdate&amp;citation_for_view=z3yHGr0AAAAJ:5nxA0vEk-isC" TargetMode="External"/><Relationship Id="rId131" Type="http://schemas.openxmlformats.org/officeDocument/2006/relationships/hyperlink" Target="https://scholar.google.co.id/citations?view_op=view_citation&amp;hl=id&amp;user=H-zZ_4IAAAAJ&amp;sortby=pubdate&amp;citation_for_view=H-zZ_4IAAAAJ:J_g5lzvAfSwC" TargetMode="External"/><Relationship Id="rId373" Type="http://schemas.openxmlformats.org/officeDocument/2006/relationships/hyperlink" Target="https://scholar.google.com/citations?view_op=view_citation&amp;hl=id&amp;user=z3yHGr0AAAAJ&amp;sortby=pubdate&amp;citation_for_view=z3yHGr0AAAAJ:MXK_kJrjxJIC" TargetMode="External"/><Relationship Id="rId130" Type="http://schemas.openxmlformats.org/officeDocument/2006/relationships/hyperlink" Target="https://scholar.google.co.id/citations?view_op=view_citation&amp;hl=id&amp;user=1DEg4z8AAAAJ&amp;sortby=pubdate&amp;citation_for_view=1DEg4z8AAAAJ:W7OEmFMy1HYC" TargetMode="External"/><Relationship Id="rId372" Type="http://schemas.openxmlformats.org/officeDocument/2006/relationships/hyperlink" Target="https://scholar.google.com/citations?view_op=view_citation&amp;hl=id&amp;user=z3yHGr0AAAAJ&amp;sortby=pubdate&amp;citation_for_view=z3yHGr0AAAAJ:MXK_kJrjxJIC" TargetMode="External"/><Relationship Id="rId371" Type="http://schemas.openxmlformats.org/officeDocument/2006/relationships/hyperlink" Target="https://scholar.google.com/citations?view_op=view_citation&amp;hl=id&amp;user=z3yHGr0AAAAJ&amp;sortby=pubdate&amp;citation_for_view=z3yHGr0AAAAJ:3fE2CSJIrl8C" TargetMode="External"/><Relationship Id="rId136" Type="http://schemas.openxmlformats.org/officeDocument/2006/relationships/hyperlink" Target="https://scholar.google.co.id/citations?view_op=view_citation&amp;hl=id&amp;user=H-zZ_4IAAAAJ&amp;sortby=pubdate&amp;citation_for_view=H-zZ_4IAAAAJ:RGFaLdJalmkC" TargetMode="External"/><Relationship Id="rId378" Type="http://schemas.openxmlformats.org/officeDocument/2006/relationships/hyperlink" Target="https://scholar.google.com/citations?view_op=view_citation&amp;hl=id&amp;user=0uPC_KcAAAAJ&amp;sortby=pubdate&amp;citation_for_view=0uPC_KcAAAAJ:aqlVkmm33-oC" TargetMode="External"/><Relationship Id="rId135" Type="http://schemas.openxmlformats.org/officeDocument/2006/relationships/hyperlink" Target="https://scholar.google.co.id/citations?view_op=view_citation&amp;hl=id&amp;user=H-zZ_4IAAAAJ&amp;sortby=pubdate&amp;citation_for_view=H-zZ_4IAAAAJ:RGFaLdJalmkC" TargetMode="External"/><Relationship Id="rId377" Type="http://schemas.openxmlformats.org/officeDocument/2006/relationships/hyperlink" Target="https://scholar.google.com/citations?view_op=view_citation&amp;hl=id&amp;user=z3yHGr0AAAAJ&amp;sortby=pubdate&amp;citation_for_view=z3yHGr0AAAAJ:hqOjcs7Dif8C" TargetMode="External"/><Relationship Id="rId134" Type="http://schemas.openxmlformats.org/officeDocument/2006/relationships/hyperlink" Target="https://scholar.google.co.id/citations?view_op=view_citation&amp;hl=id&amp;user=H-zZ_4IAAAAJ&amp;sortby=pubdate&amp;citation_for_view=H-zZ_4IAAAAJ:vV6vV6tmYwMC" TargetMode="External"/><Relationship Id="rId376" Type="http://schemas.openxmlformats.org/officeDocument/2006/relationships/hyperlink" Target="https://scholar.google.com/citations?view_op=view_citation&amp;hl=id&amp;user=z3yHGr0AAAAJ&amp;sortby=pubdate&amp;citation_for_view=z3yHGr0AAAAJ:hqOjcs7Dif8C" TargetMode="External"/><Relationship Id="rId133" Type="http://schemas.openxmlformats.org/officeDocument/2006/relationships/hyperlink" Target="https://scholar.google.co.id/citations?view_op=view_citation&amp;hl=id&amp;user=H-zZ_4IAAAAJ&amp;sortby=pubdate&amp;citation_for_view=H-zZ_4IAAAAJ:vV6vV6tmYwMC" TargetMode="External"/><Relationship Id="rId375" Type="http://schemas.openxmlformats.org/officeDocument/2006/relationships/hyperlink" Target="https://scholar.google.com/citations?view_op=view_citation&amp;hl=id&amp;user=z3yHGr0AAAAJ&amp;sortby=pubdate&amp;citation_for_view=z3yHGr0AAAAJ:5nxA0vEk-isC" TargetMode="External"/><Relationship Id="rId172" Type="http://schemas.openxmlformats.org/officeDocument/2006/relationships/hyperlink" Target="https://scholar.google.co.id/citations?view_op=view_citation&amp;hl=en&amp;user=L9bnbxAAAAAJ&amp;sortby=pubdate&amp;citation_for_view=L9bnbxAAAAAJ:5nxA0vEk-isC" TargetMode="External"/><Relationship Id="rId171" Type="http://schemas.openxmlformats.org/officeDocument/2006/relationships/hyperlink" Target="https://scholar.google.co.id/citations?view_op=view_citation&amp;hl=en&amp;user=L9bnbxAAAAAJ&amp;sortby=pubdate&amp;citation_for_view=L9bnbxAAAAAJ:5nxA0vEk-isC" TargetMode="External"/><Relationship Id="rId170" Type="http://schemas.openxmlformats.org/officeDocument/2006/relationships/hyperlink" Target="https://scholar.google.co.id/citations?view_op=view_citation&amp;hl=en&amp;user=L9bnbxAAAAAJ&amp;sortby=pubdate&amp;citation_for_view=L9bnbxAAAAAJ:8k81kl-MbHgC" TargetMode="External"/><Relationship Id="rId165" Type="http://schemas.openxmlformats.org/officeDocument/2006/relationships/hyperlink" Target="https://scholar.google.co.id/citations?view_op=view_citation&amp;hl=en&amp;user=L9bnbxAAAAAJ&amp;sortby=pubdate&amp;citation_for_view=L9bnbxAAAAAJ:kNdYIx-mwKoC" TargetMode="External"/><Relationship Id="rId164" Type="http://schemas.openxmlformats.org/officeDocument/2006/relationships/hyperlink" Target="https://scholar.google.co.id/citations?view_op=view_citation&amp;hl=en&amp;user=L9bnbxAAAAAJ&amp;sortby=pubdate&amp;citation_for_view=L9bnbxAAAAAJ:KlAtU1dfN6UC" TargetMode="External"/><Relationship Id="rId163" Type="http://schemas.openxmlformats.org/officeDocument/2006/relationships/hyperlink" Target="https://scholar.google.co.id/citations?view_op=view_citation&amp;hl=en&amp;user=L9bnbxAAAAAJ&amp;sortby=pubdate&amp;citation_for_view=L9bnbxAAAAAJ:KlAtU1dfN6UC" TargetMode="External"/><Relationship Id="rId162" Type="http://schemas.openxmlformats.org/officeDocument/2006/relationships/hyperlink" Target="https://scholar.google.co.id/citations?view_op=view_citation&amp;hl=en&amp;user=L9bnbxAAAAAJ&amp;sortby=pubdate&amp;citation_for_view=L9bnbxAAAAAJ:Zph67rFs4hoC" TargetMode="External"/><Relationship Id="rId169" Type="http://schemas.openxmlformats.org/officeDocument/2006/relationships/hyperlink" Target="https://scholar.google.co.id/citations?view_op=view_citation&amp;hl=en&amp;user=L9bnbxAAAAAJ&amp;sortby=pubdate&amp;citation_for_view=L9bnbxAAAAAJ:8k81kl-MbHgC" TargetMode="External"/><Relationship Id="rId168" Type="http://schemas.openxmlformats.org/officeDocument/2006/relationships/hyperlink" Target="https://scholar.google.co.id/citations?view_op=view_citation&amp;hl=en&amp;user=L9bnbxAAAAAJ&amp;sortby=pubdate&amp;citation_for_view=L9bnbxAAAAAJ:MXK_kJrjxJIC" TargetMode="External"/><Relationship Id="rId167" Type="http://schemas.openxmlformats.org/officeDocument/2006/relationships/hyperlink" Target="https://scholar.google.co.id/citations?view_op=view_citation&amp;hl=en&amp;user=L9bnbxAAAAAJ&amp;sortby=pubdate&amp;citation_for_view=L9bnbxAAAAAJ:MXK_kJrjxJIC" TargetMode="External"/><Relationship Id="rId166" Type="http://schemas.openxmlformats.org/officeDocument/2006/relationships/hyperlink" Target="https://scholar.google.co.id/citations?view_op=view_citation&amp;hl=en&amp;user=L9bnbxAAAAAJ&amp;sortby=pubdate&amp;citation_for_view=L9bnbxAAAAAJ:kNdYIx-mwKoC" TargetMode="External"/><Relationship Id="rId161" Type="http://schemas.openxmlformats.org/officeDocument/2006/relationships/hyperlink" Target="https://scholar.google.co.id/citations?view_op=view_citation&amp;hl=en&amp;user=L9bnbxAAAAAJ&amp;sortby=pubdate&amp;citation_for_view=L9bnbxAAAAAJ:Zph67rFs4hoC" TargetMode="External"/><Relationship Id="rId160" Type="http://schemas.openxmlformats.org/officeDocument/2006/relationships/hyperlink" Target="https://scholar.google.co.id/citations?view_op=view_citation&amp;hl=en&amp;user=L9bnbxAAAAAJ&amp;sortby=pubdate&amp;citation_for_view=L9bnbxAAAAAJ:4TOpqqG69KYC" TargetMode="External"/><Relationship Id="rId159" Type="http://schemas.openxmlformats.org/officeDocument/2006/relationships/hyperlink" Target="https://scholar.google.co.id/citations?view_op=view_citation&amp;hl=en&amp;user=L9bnbxAAAAAJ&amp;sortby=pubdate&amp;citation_for_view=L9bnbxAAAAAJ:4TOpqqG69KYC" TargetMode="External"/><Relationship Id="rId154" Type="http://schemas.openxmlformats.org/officeDocument/2006/relationships/hyperlink" Target="https://scholar.google.co.id/citations?view_op=view_citation&amp;hl=id&amp;user=pR2Dn7MAAAAJ&amp;sortby=pubdate&amp;citation_for_view=pR2Dn7MAAAAJ:5nxA0vEk-isC" TargetMode="External"/><Relationship Id="rId396" Type="http://schemas.openxmlformats.org/officeDocument/2006/relationships/hyperlink" Target="https://scholar.google.com/citations?view_op=view_citation&amp;hl=id&amp;user=aWHkGCMAAAAJ&amp;sortby=pubdate&amp;citation_for_view=aWHkGCMAAAAJ:YOwf2qJgpHMC" TargetMode="External"/><Relationship Id="rId153" Type="http://schemas.openxmlformats.org/officeDocument/2006/relationships/hyperlink" Target="https://scholar.google.co.id/citations?view_op=view_citation&amp;hl=id&amp;user=pR2Dn7MAAAAJ&amp;sortby=pubdate&amp;citation_for_view=pR2Dn7MAAAAJ:5nxA0vEk-isC" TargetMode="External"/><Relationship Id="rId395" Type="http://schemas.openxmlformats.org/officeDocument/2006/relationships/hyperlink" Target="https://scholar.google.com/citations?view_op=view_citation&amp;hl=id&amp;user=aWHkGCMAAAAJ&amp;sortby=pubdate&amp;citation_for_view=aWHkGCMAAAAJ:4TOpqqG69KYC" TargetMode="External"/><Relationship Id="rId152" Type="http://schemas.openxmlformats.org/officeDocument/2006/relationships/hyperlink" Target="https://scholar.google.co.id/citations?view_op=view_citation&amp;hl=id&amp;user=k46osOYAAAAJ&amp;sortby=pubdate&amp;citation_for_view=k46osOYAAAAJ:roLk4NBRz8UC" TargetMode="External"/><Relationship Id="rId394" Type="http://schemas.openxmlformats.org/officeDocument/2006/relationships/hyperlink" Target="https://scholar.google.com/citations?view_op=view_citation&amp;hl=id&amp;user=aWHkGCMAAAAJ&amp;sortby=pubdate&amp;citation_for_view=aWHkGCMAAAAJ:4TOpqqG69KYC" TargetMode="External"/><Relationship Id="rId151" Type="http://schemas.openxmlformats.org/officeDocument/2006/relationships/hyperlink" Target="https://scholar.google.co.id/citations?view_op=view_citation&amp;hl=id&amp;user=k46osOYAAAAJ&amp;sortby=pubdate&amp;citation_for_view=k46osOYAAAAJ:roLk4NBRz8UC" TargetMode="External"/><Relationship Id="rId393" Type="http://schemas.openxmlformats.org/officeDocument/2006/relationships/hyperlink" Target="https://scholar.google.com/citations?view_op=view_citation&amp;hl=id&amp;user=0uPC_KcAAAAJ&amp;sortby=pubdate&amp;citation_for_view=0uPC_KcAAAAJ:0EnyYjriUFMC" TargetMode="External"/><Relationship Id="rId158" Type="http://schemas.openxmlformats.org/officeDocument/2006/relationships/hyperlink" Target="https://scholar.google.co.id/citations?view_op=view_citation&amp;hl=en&amp;user=L9bnbxAAAAAJ&amp;sortby=pubdate&amp;citation_for_view=L9bnbxAAAAAJ:M3ejUd6NZC8C" TargetMode="External"/><Relationship Id="rId157" Type="http://schemas.openxmlformats.org/officeDocument/2006/relationships/hyperlink" Target="https://scholar.google.co.id/citations?view_op=view_citation&amp;hl=en&amp;user=L9bnbxAAAAAJ&amp;sortby=pubdate&amp;citation_for_view=L9bnbxAAAAAJ:M3ejUd6NZC8C" TargetMode="External"/><Relationship Id="rId399" Type="http://schemas.openxmlformats.org/officeDocument/2006/relationships/hyperlink" Target="https://scholar.google.com/citations?view_op=view_citation&amp;hl=id&amp;user=aWHkGCMAAAAJ&amp;sortby=pubdate&amp;citation_for_view=aWHkGCMAAAAJ:M3ejUd6NZC8C" TargetMode="External"/><Relationship Id="rId156" Type="http://schemas.openxmlformats.org/officeDocument/2006/relationships/hyperlink" Target="https://scholar.google.co.id/citations?view_op=view_citation&amp;hl=en&amp;user=L9bnbxAAAAAJ&amp;sortby=pubdate&amp;citation_for_view=L9bnbxAAAAAJ:qxL8FJ1GzNcC" TargetMode="External"/><Relationship Id="rId398" Type="http://schemas.openxmlformats.org/officeDocument/2006/relationships/hyperlink" Target="https://scholar.google.com/citations?view_op=view_citation&amp;hl=id&amp;user=aWHkGCMAAAAJ&amp;sortby=pubdate&amp;citation_for_view=aWHkGCMAAAAJ:M3ejUd6NZC8C" TargetMode="External"/><Relationship Id="rId155" Type="http://schemas.openxmlformats.org/officeDocument/2006/relationships/hyperlink" Target="https://scholar.google.co.id/citations?view_op=view_citation&amp;hl=en&amp;user=L9bnbxAAAAAJ&amp;sortby=pubdate&amp;citation_for_view=L9bnbxAAAAAJ:qxL8FJ1GzNcC" TargetMode="External"/><Relationship Id="rId397" Type="http://schemas.openxmlformats.org/officeDocument/2006/relationships/hyperlink" Target="https://scholar.google.com/citations?view_op=view_citation&amp;hl=id&amp;user=aWHkGCMAAAAJ&amp;sortby=pubdate&amp;citation_for_view=aWHkGCMAAAAJ:YOwf2qJgpHMC" TargetMode="External"/><Relationship Id="rId808" Type="http://schemas.openxmlformats.org/officeDocument/2006/relationships/hyperlink" Target="https://scholar.google.com/citations?view_op=view_citation&amp;hl=id&amp;user=H3IYHJUAAAAJ&amp;sortby=pubdate&amp;citation_for_view=H3IYHJUAAAAJ:p2g8aNsByqUC" TargetMode="External"/><Relationship Id="rId807" Type="http://schemas.openxmlformats.org/officeDocument/2006/relationships/hyperlink" Target="https://scholar.google.com/citations?view_op=view_citation&amp;hl=id&amp;user=H3IYHJUAAAAJ&amp;sortby=pubdate&amp;citation_for_view=H3IYHJUAAAAJ:u9iWguZQMMsC" TargetMode="External"/><Relationship Id="rId806" Type="http://schemas.openxmlformats.org/officeDocument/2006/relationships/hyperlink" Target="https://scholar.google.com/citations?view_op=view_citation&amp;hl=id&amp;user=H3IYHJUAAAAJ&amp;sortby=pubdate&amp;citation_for_view=H3IYHJUAAAAJ:u9iWguZQMMsC" TargetMode="External"/><Relationship Id="rId805" Type="http://schemas.openxmlformats.org/officeDocument/2006/relationships/hyperlink" Target="https://scholar.google.com/citations?view_op=view_citation&amp;hl=id&amp;user=H3IYHJUAAAAJ&amp;sortby=pubdate&amp;citation_for_view=H3IYHJUAAAAJ:Tiz5es2fbqcC" TargetMode="External"/><Relationship Id="rId809" Type="http://schemas.openxmlformats.org/officeDocument/2006/relationships/hyperlink" Target="https://scholar.google.com/citations?view_op=view_citation&amp;hl=id&amp;user=H3IYHJUAAAAJ&amp;sortby=pubdate&amp;citation_for_view=H3IYHJUAAAAJ:p2g8aNsByqUC" TargetMode="External"/><Relationship Id="rId800" Type="http://schemas.openxmlformats.org/officeDocument/2006/relationships/hyperlink" Target="https://scholar.google.com/citations?view_op=view_citation&amp;hl=id&amp;user=H3IYHJUAAAAJ&amp;sortby=pubdate&amp;citation_for_view=H3IYHJUAAAAJ:XiSMed-E-HIC" TargetMode="External"/><Relationship Id="rId804" Type="http://schemas.openxmlformats.org/officeDocument/2006/relationships/hyperlink" Target="https://scholar.google.com/citations?view_op=view_citation&amp;hl=id&amp;user=H3IYHJUAAAAJ&amp;sortby=pubdate&amp;citation_for_view=H3IYHJUAAAAJ:Tiz5es2fbqcC" TargetMode="External"/><Relationship Id="rId803" Type="http://schemas.openxmlformats.org/officeDocument/2006/relationships/hyperlink" Target="https://scholar.google.com/citations?view_op=view_citation&amp;hl=id&amp;user=H3IYHJUAAAAJ&amp;sortby=pubdate&amp;citation_for_view=H3IYHJUAAAAJ:K3LRdlH-MEoC" TargetMode="External"/><Relationship Id="rId802" Type="http://schemas.openxmlformats.org/officeDocument/2006/relationships/hyperlink" Target="https://scholar.google.com/citations?view_op=view_citation&amp;hl=id&amp;user=H3IYHJUAAAAJ&amp;sortby=pubdate&amp;citation_for_view=H3IYHJUAAAAJ:K3LRdlH-MEoC" TargetMode="External"/><Relationship Id="rId801" Type="http://schemas.openxmlformats.org/officeDocument/2006/relationships/hyperlink" Target="https://scholar.google.com/citations?view_op=view_citation&amp;hl=id&amp;user=H3IYHJUAAAAJ&amp;sortby=pubdate&amp;citation_for_view=H3IYHJUAAAAJ:XiSMed-E-HIC" TargetMode="External"/><Relationship Id="rId40" Type="http://schemas.openxmlformats.org/officeDocument/2006/relationships/hyperlink" Target="https://scholar.google.com/scholar?q=+intitle:%27Prediction%20of%20Student%20Academic%20Performance%20in%20Practicum%20Courses%20Based%20on%20Activity%20Logs%20and%20Student%20Background%27" TargetMode="External"/><Relationship Id="rId42" Type="http://schemas.openxmlformats.org/officeDocument/2006/relationships/hyperlink" Target="https://scholar.google.com/citations?view_op=view_citation&amp;hl=id&amp;user=_c_ST4wAAAAJ&amp;sortby=pubdate&amp;citation_for_view=_c_ST4wAAAAJ:4DMP91E08xMC" TargetMode="External"/><Relationship Id="rId41" Type="http://schemas.openxmlformats.org/officeDocument/2006/relationships/hyperlink" Target="https://scholar.google.com/scholar?q=+intitle:%27Penerapan%20Sistem%20Informasi%20Administratif%20Desa%20Ngijo%20Kabupaten%20Malang%20menggunakan%20OpenSID%27" TargetMode="External"/><Relationship Id="rId44" Type="http://schemas.openxmlformats.org/officeDocument/2006/relationships/hyperlink" Target="https://scholar.google.com/citations?view_op=view_citation&amp;hl=id&amp;user=_c_ST4wAAAAJ&amp;sortby=pubdate&amp;citation_for_view=_c_ST4wAAAAJ:Wp0gIr-vW9MC" TargetMode="External"/><Relationship Id="rId43" Type="http://schemas.openxmlformats.org/officeDocument/2006/relationships/hyperlink" Target="https://scholar.google.com/citations?view_op=view_citation&amp;hl=id&amp;user=_c_ST4wAAAAJ&amp;sortby=pubdate&amp;citation_for_view=_c_ST4wAAAAJ:mVmsd5A6BfQC" TargetMode="External"/><Relationship Id="rId46" Type="http://schemas.openxmlformats.org/officeDocument/2006/relationships/hyperlink" Target="https://scholar.google.com/citations?view_op=view_citation&amp;hl=id&amp;user=_c_ST4wAAAAJ&amp;sortby=pubdate&amp;citation_for_view=_c_ST4wAAAAJ:YOwf2qJgpHMC" TargetMode="External"/><Relationship Id="rId45" Type="http://schemas.openxmlformats.org/officeDocument/2006/relationships/hyperlink" Target="https://scholar.google.com/citations?view_op=view_citation&amp;hl=id&amp;user=_c_ST4wAAAAJ&amp;sortby=pubdate&amp;citation_for_view=_c_ST4wAAAAJ:qxL8FJ1GzNcC" TargetMode="External"/><Relationship Id="rId509" Type="http://schemas.openxmlformats.org/officeDocument/2006/relationships/hyperlink" Target="https://scholar.google.com/citations?view_op=view_citation&amp;hl=id&amp;user=Wl99TE0AAAAJ&amp;sortby=pubdate&amp;citation_for_view=Wl99TE0AAAAJ:4TOpqqG69KYC" TargetMode="External"/><Relationship Id="rId508" Type="http://schemas.openxmlformats.org/officeDocument/2006/relationships/hyperlink" Target="https://scholar.google.com/citations?view_op=view_citation&amp;hl=id&amp;user=Wl99TE0AAAAJ&amp;sortby=pubdate&amp;citation_for_view=Wl99TE0AAAAJ:4TOpqqG69KYC" TargetMode="External"/><Relationship Id="rId503" Type="http://schemas.openxmlformats.org/officeDocument/2006/relationships/hyperlink" Target="https://scholar.google.com/citations?view_op=view_citation&amp;hl=id&amp;user=Wl99TE0AAAAJ&amp;sortby=pubdate&amp;citation_for_view=Wl99TE0AAAAJ:isC4tDSrTZIC" TargetMode="External"/><Relationship Id="rId745" Type="http://schemas.openxmlformats.org/officeDocument/2006/relationships/hyperlink" Target="https://scholar.google.com/citations?view_op=view_citation&amp;hl=id&amp;user=g-DSiNsAAAAJ&amp;sortby=pubdate&amp;citation_for_view=g-DSiNsAAAAJ:iH-uZ7U-co4C" TargetMode="External"/><Relationship Id="rId502" Type="http://schemas.openxmlformats.org/officeDocument/2006/relationships/hyperlink" Target="https://scholar.google.com/citations?view_op=view_citation&amp;hl=id&amp;user=Wl99TE0AAAAJ&amp;sortby=pubdate&amp;citation_for_view=Wl99TE0AAAAJ:isC4tDSrTZIC" TargetMode="External"/><Relationship Id="rId744" Type="http://schemas.openxmlformats.org/officeDocument/2006/relationships/hyperlink" Target="https://scholar.google.com/citations?view_op=view_citation&amp;hl=id&amp;user=g-DSiNsAAAAJ&amp;sortby=pubdate&amp;citation_for_view=g-DSiNsAAAAJ:iH-uZ7U-co4C" TargetMode="External"/><Relationship Id="rId501" Type="http://schemas.openxmlformats.org/officeDocument/2006/relationships/hyperlink" Target="https://scholar.google.com/citations?view_op=view_citation&amp;hl=id&amp;user=Wl99TE0AAAAJ&amp;sortby=pubdate&amp;citation_for_view=Wl99TE0AAAAJ:iH-uZ7U-co4C" TargetMode="External"/><Relationship Id="rId743" Type="http://schemas.openxmlformats.org/officeDocument/2006/relationships/hyperlink" Target="https://scholar.google.com/citations?view_op=view_citation&amp;hl=id&amp;user=g-DSiNsAAAAJ&amp;sortby=pubdate&amp;citation_for_view=g-DSiNsAAAAJ:r0BpntZqJG4C" TargetMode="External"/><Relationship Id="rId500" Type="http://schemas.openxmlformats.org/officeDocument/2006/relationships/hyperlink" Target="https://scholar.google.com/citations?view_op=view_citation&amp;hl=id&amp;user=Wl99TE0AAAAJ&amp;sortby=pubdate&amp;citation_for_view=Wl99TE0AAAAJ:iH-uZ7U-co4C" TargetMode="External"/><Relationship Id="rId742" Type="http://schemas.openxmlformats.org/officeDocument/2006/relationships/hyperlink" Target="https://scholar.google.com/citations?view_op=view_citation&amp;hl=id&amp;user=g-DSiNsAAAAJ&amp;sortby=pubdate&amp;citation_for_view=g-DSiNsAAAAJ:r0BpntZqJG4C" TargetMode="External"/><Relationship Id="rId507" Type="http://schemas.openxmlformats.org/officeDocument/2006/relationships/hyperlink" Target="https://scholar.google.com/citations?view_op=view_citation&amp;hl=id&amp;user=Wl99TE0AAAAJ&amp;sortby=pubdate&amp;citation_for_view=Wl99TE0AAAAJ:r0BpntZqJG4C" TargetMode="External"/><Relationship Id="rId749" Type="http://schemas.openxmlformats.org/officeDocument/2006/relationships/hyperlink" Target="https://scholar.google.com/citations?view_op=view_citation&amp;hl=id&amp;user=g-DSiNsAAAAJ&amp;sortby=pubdate&amp;citation_for_view=g-DSiNsAAAAJ:4JMBOYKVnBMC" TargetMode="External"/><Relationship Id="rId506" Type="http://schemas.openxmlformats.org/officeDocument/2006/relationships/hyperlink" Target="https://scholar.google.com/citations?view_op=view_citation&amp;hl=id&amp;user=Wl99TE0AAAAJ&amp;sortby=pubdate&amp;citation_for_view=Wl99TE0AAAAJ:r0BpntZqJG4C" TargetMode="External"/><Relationship Id="rId748" Type="http://schemas.openxmlformats.org/officeDocument/2006/relationships/hyperlink" Target="https://scholar.google.com/citations?view_op=view_citation&amp;hl=id&amp;user=g-DSiNsAAAAJ&amp;sortby=pubdate&amp;citation_for_view=g-DSiNsAAAAJ:4JMBOYKVnBMC" TargetMode="External"/><Relationship Id="rId505" Type="http://schemas.openxmlformats.org/officeDocument/2006/relationships/hyperlink" Target="https://scholar.google.com/citations?view_op=view_citation&amp;hl=id&amp;user=Wl99TE0AAAAJ&amp;sortby=pubdate&amp;citation_for_view=Wl99TE0AAAAJ:TFP_iSt0sucC" TargetMode="External"/><Relationship Id="rId747" Type="http://schemas.openxmlformats.org/officeDocument/2006/relationships/hyperlink" Target="https://scholar.google.com/citations?view_op=view_citation&amp;hl=id&amp;user=g-DSiNsAAAAJ&amp;sortby=pubdate&amp;citation_for_view=g-DSiNsAAAAJ:bEWYMUwI8FkC" TargetMode="External"/><Relationship Id="rId504" Type="http://schemas.openxmlformats.org/officeDocument/2006/relationships/hyperlink" Target="https://scholar.google.com/citations?view_op=view_citation&amp;hl=id&amp;user=Wl99TE0AAAAJ&amp;sortby=pubdate&amp;citation_for_view=Wl99TE0AAAAJ:TFP_iSt0sucC" TargetMode="External"/><Relationship Id="rId746" Type="http://schemas.openxmlformats.org/officeDocument/2006/relationships/hyperlink" Target="https://scholar.google.com/citations?view_op=view_citation&amp;hl=id&amp;user=g-DSiNsAAAAJ&amp;sortby=pubdate&amp;citation_for_view=g-DSiNsAAAAJ:bEWYMUwI8FkC" TargetMode="External"/><Relationship Id="rId48" Type="http://schemas.openxmlformats.org/officeDocument/2006/relationships/hyperlink" Target="https://scholar.google.com/citations?view_op=view_citation&amp;hl=id&amp;user=_c_ST4wAAAAJ&amp;sortby=pubdate&amp;citation_for_view=_c_ST4wAAAAJ:KlAtU1dfN6UC" TargetMode="External"/><Relationship Id="rId47" Type="http://schemas.openxmlformats.org/officeDocument/2006/relationships/hyperlink" Target="https://scholar.google.com/citations?view_op=view_citation&amp;hl=id&amp;user=_c_ST4wAAAAJ&amp;sortby=pubdate&amp;citation_for_view=_c_ST4wAAAAJ:ULOm3_A8WrAC" TargetMode="External"/><Relationship Id="rId49" Type="http://schemas.openxmlformats.org/officeDocument/2006/relationships/hyperlink" Target="https://scholar.google.com/citations?view_op=view_citation&amp;hl=id&amp;user=_c_ST4wAAAAJ&amp;sortby=pubdate&amp;citation_for_view=_c_ST4wAAAAJ:MXK_kJrjxJIC" TargetMode="External"/><Relationship Id="rId741" Type="http://schemas.openxmlformats.org/officeDocument/2006/relationships/hyperlink" Target="https://scholar.google.com/citations?view_op=view_citation&amp;hl=id&amp;user=g-DSiNsAAAAJ&amp;sortby=pubdate&amp;citation_for_view=g-DSiNsAAAAJ:isC4tDSrTZIC" TargetMode="External"/><Relationship Id="rId740" Type="http://schemas.openxmlformats.org/officeDocument/2006/relationships/hyperlink" Target="https://scholar.google.com/citations?view_op=view_citation&amp;hl=id&amp;user=g-DSiNsAAAAJ&amp;sortby=pubdate&amp;citation_for_view=g-DSiNsAAAAJ:isC4tDSrTZIC" TargetMode="External"/><Relationship Id="rId31" Type="http://schemas.openxmlformats.org/officeDocument/2006/relationships/hyperlink" Target="https://scholar.google.com/citations?view_op=view_citation&amp;hl=en&amp;user=BQl6KOsAAAAJ&amp;sortby=pubdate&amp;citation_for_view=BQl6KOsAAAAJ:L8Ckcad2t8MC" TargetMode="External"/><Relationship Id="rId30" Type="http://schemas.openxmlformats.org/officeDocument/2006/relationships/hyperlink" Target="https://scholar.google.com/citations?view_op=view_citation&amp;hl=en&amp;user=BQl6KOsAAAAJ&amp;sortby=pubdate&amp;citation_for_view=BQl6KOsAAAAJ:IWHjjKOFINEC" TargetMode="External"/><Relationship Id="rId33" Type="http://schemas.openxmlformats.org/officeDocument/2006/relationships/hyperlink" Target="https://www.researchgate.net/figure/Illustration-of-Transformer-Health-Index-Calculation_fig1_339557074" TargetMode="External"/><Relationship Id="rId32" Type="http://schemas.openxmlformats.org/officeDocument/2006/relationships/hyperlink" Target="https://ieeexplore.ieee.org/abstract/document/10334889/" TargetMode="External"/><Relationship Id="rId35" Type="http://schemas.openxmlformats.org/officeDocument/2006/relationships/hyperlink" Target="https://iopscience.iop.org/article/10.1088/1757-899X/732/1/012063/meta" TargetMode="External"/><Relationship Id="rId34" Type="http://schemas.openxmlformats.org/officeDocument/2006/relationships/hyperlink" Target="https://ijeeemi.poltekkesdepkes-sby.ac.id/index.php/ijeeemi/article/view/262" TargetMode="External"/><Relationship Id="rId739" Type="http://schemas.openxmlformats.org/officeDocument/2006/relationships/hyperlink" Target="https://scholar.google.com/citations?view_op=view_citation&amp;hl=id&amp;user=g-DSiNsAAAAJ&amp;sortby=pubdate&amp;citation_for_view=g-DSiNsAAAAJ:maZDTaKrznsC" TargetMode="External"/><Relationship Id="rId734" Type="http://schemas.openxmlformats.org/officeDocument/2006/relationships/hyperlink" Target="https://scholar.google.com/citations?view_op=view_citation&amp;hl=id&amp;user=bDBxmbkAAAAJ&amp;sortby=pubdate&amp;citation_for_view=bDBxmbkAAAAJ:YOwf2qJgpHMC" TargetMode="External"/><Relationship Id="rId733" Type="http://schemas.openxmlformats.org/officeDocument/2006/relationships/hyperlink" Target="https://scholar.google.com/citations?view_op=view_citation&amp;hl=id&amp;user=bDBxmbkAAAAJ&amp;sortby=pubdate&amp;citation_for_view=bDBxmbkAAAAJ:_kc_bZDykSQC" TargetMode="External"/><Relationship Id="rId732" Type="http://schemas.openxmlformats.org/officeDocument/2006/relationships/hyperlink" Target="https://scholar.google.com/citations?view_op=view_citation&amp;hl=id&amp;user=bDBxmbkAAAAJ&amp;sortby=pubdate&amp;citation_for_view=bDBxmbkAAAAJ:_kc_bZDykSQC" TargetMode="External"/><Relationship Id="rId731" Type="http://schemas.openxmlformats.org/officeDocument/2006/relationships/hyperlink" Target="https://scholar.google.com/citations?view_op=view_citation&amp;hl=id&amp;user=bDBxmbkAAAAJ&amp;sortby=pubdate&amp;citation_for_view=bDBxmbkAAAAJ:aqlVkmm33-oC" TargetMode="External"/><Relationship Id="rId738" Type="http://schemas.openxmlformats.org/officeDocument/2006/relationships/hyperlink" Target="https://scholar.google.com/citations?view_op=view_citation&amp;hl=id&amp;user=g-DSiNsAAAAJ&amp;sortby=pubdate&amp;citation_for_view=g-DSiNsAAAAJ:maZDTaKrznsC" TargetMode="External"/><Relationship Id="rId737" Type="http://schemas.openxmlformats.org/officeDocument/2006/relationships/hyperlink" Target="https://scholar.google.com/citations?view_op=view_citation&amp;hl=id&amp;user=bDBxmbkAAAAJ&amp;sortby=pubdate&amp;citation_for_view=bDBxmbkAAAAJ:Tyk-4Ss8FVUC" TargetMode="External"/><Relationship Id="rId736" Type="http://schemas.openxmlformats.org/officeDocument/2006/relationships/hyperlink" Target="https://scholar.google.com/citations?view_op=view_citation&amp;hl=id&amp;user=bDBxmbkAAAAJ&amp;sortby=pubdate&amp;citation_for_view=bDBxmbkAAAAJ:Tyk-4Ss8FVUC" TargetMode="External"/><Relationship Id="rId735" Type="http://schemas.openxmlformats.org/officeDocument/2006/relationships/hyperlink" Target="https://scholar.google.com/citations?view_op=view_citation&amp;hl=id&amp;user=bDBxmbkAAAAJ&amp;sortby=pubdate&amp;citation_for_view=bDBxmbkAAAAJ:YOwf2qJgpHMC" TargetMode="External"/><Relationship Id="rId37" Type="http://schemas.openxmlformats.org/officeDocument/2006/relationships/hyperlink" Target="http://ijmaberjournal.org/index.php/ijmaber/article/view/1053" TargetMode="External"/><Relationship Id="rId36" Type="http://schemas.openxmlformats.org/officeDocument/2006/relationships/hyperlink" Target="https://jurnal.polinema.ac.id/index.php/jip/article/view/3908" TargetMode="External"/><Relationship Id="rId39" Type="http://schemas.openxmlformats.org/officeDocument/2006/relationships/hyperlink" Target="https://ieeexplore.ieee.org/abstract/document/9967899/" TargetMode="External"/><Relationship Id="rId38" Type="http://schemas.openxmlformats.org/officeDocument/2006/relationships/hyperlink" Target="https://scholar.google.com/citations?view_op=view_citation&amp;hl=id&amp;user=uWkPfW8AAAAJ&amp;sortby=pubdate&amp;citation_for_view=uWkPfW8AAAAJ:Wp0gIr-vW9MC" TargetMode="External"/><Relationship Id="rId730" Type="http://schemas.openxmlformats.org/officeDocument/2006/relationships/hyperlink" Target="https://scholar.google.com/citations?view_op=view_citation&amp;hl=id&amp;user=bDBxmbkAAAAJ&amp;sortby=pubdate&amp;citation_for_view=bDBxmbkAAAAJ:aqlVkmm33-oC" TargetMode="External"/><Relationship Id="rId20" Type="http://schemas.openxmlformats.org/officeDocument/2006/relationships/hyperlink" Target="https://polgan.ac.id/jurnal/index.php/sinkron/article/view/12514" TargetMode="External"/><Relationship Id="rId22" Type="http://schemas.openxmlformats.org/officeDocument/2006/relationships/hyperlink" Target="https://journals.usm.ac.id/index.php/transformatika/article/view/6274" TargetMode="External"/><Relationship Id="rId21" Type="http://schemas.openxmlformats.org/officeDocument/2006/relationships/hyperlink" Target="http://journal.eng.unila.ac.id/index.php/jitet/article/view/3192" TargetMode="External"/><Relationship Id="rId24" Type="http://schemas.openxmlformats.org/officeDocument/2006/relationships/hyperlink" Target="https://scholar.google.com/citations?view_op=view_citation&amp;hl=id&amp;user=PEaROTMAAAAJ&amp;sortby=pubdate&amp;authuser=1&amp;citation_for_view=PEaROTMAAAAJ:NMxIlDl6LWMC" TargetMode="External"/><Relationship Id="rId23" Type="http://schemas.openxmlformats.org/officeDocument/2006/relationships/hyperlink" Target="https://jurnal.unmer.ac.id/index.php/jtmi/article/view/10613" TargetMode="External"/><Relationship Id="rId525" Type="http://schemas.openxmlformats.org/officeDocument/2006/relationships/hyperlink" Target="https://scholar.google.com/citations?view_op=view_citation&amp;hl=id&amp;user=MQ8PcCgAAAAJ&amp;sortby=pubdate&amp;citation_for_view=MQ8PcCgAAAAJ:4JMBOYKVnBMC" TargetMode="External"/><Relationship Id="rId767" Type="http://schemas.openxmlformats.org/officeDocument/2006/relationships/hyperlink" Target="https://scholar.google.com/citations?view_op=view_citation&amp;hl=id&amp;user=W4xRFkQAAAAJ&amp;sortby=pubdate&amp;citation_for_view=W4xRFkQAAAAJ:4TOpqqG69KYC" TargetMode="External"/><Relationship Id="rId524" Type="http://schemas.openxmlformats.org/officeDocument/2006/relationships/hyperlink" Target="https://scholar.google.com/citations?view_op=view_citation&amp;hl=id&amp;user=MQ8PcCgAAAAJ&amp;sortby=pubdate&amp;citation_for_view=MQ8PcCgAAAAJ:4JMBOYKVnBMC" TargetMode="External"/><Relationship Id="rId766" Type="http://schemas.openxmlformats.org/officeDocument/2006/relationships/hyperlink" Target="https://scholar.google.com/citations?view_op=view_citation&amp;hl=id&amp;user=W4xRFkQAAAAJ&amp;sortby=pubdate&amp;citation_for_view=W4xRFkQAAAAJ:4TOpqqG69KYC" TargetMode="External"/><Relationship Id="rId523" Type="http://schemas.openxmlformats.org/officeDocument/2006/relationships/hyperlink" Target="https://scholar.google.com/citations?view_op=view_citation&amp;hl=id&amp;user=Wl99TE0AAAAJ&amp;sortby=pubdate&amp;citation_for_view=Wl99TE0AAAAJ:ZeXyd9-uunAC" TargetMode="External"/><Relationship Id="rId765" Type="http://schemas.openxmlformats.org/officeDocument/2006/relationships/hyperlink" Target="https://scholar.google.com/citations?view_op=view_citation&amp;hl=id&amp;user=g-DSiNsAAAAJ&amp;sortby=pubdate&amp;citation_for_view=g-DSiNsAAAAJ:-f6ydRqryjwC" TargetMode="External"/><Relationship Id="rId522" Type="http://schemas.openxmlformats.org/officeDocument/2006/relationships/hyperlink" Target="https://scholar.google.com/citations?view_op=view_citation&amp;hl=id&amp;user=Wl99TE0AAAAJ&amp;sortby=pubdate&amp;citation_for_view=Wl99TE0AAAAJ:ZeXyd9-uunAC" TargetMode="External"/><Relationship Id="rId764" Type="http://schemas.openxmlformats.org/officeDocument/2006/relationships/hyperlink" Target="https://scholar.google.com/citations?view_op=view_citation&amp;hl=id&amp;user=g-DSiNsAAAAJ&amp;sortby=pubdate&amp;citation_for_view=g-DSiNsAAAAJ:-f6ydRqryjwC" TargetMode="External"/><Relationship Id="rId529" Type="http://schemas.openxmlformats.org/officeDocument/2006/relationships/hyperlink" Target="https://scholar.google.com/citations?view_op=view_citation&amp;hl=id&amp;user=MQ8PcCgAAAAJ&amp;sortby=pubdate&amp;citation_for_view=MQ8PcCgAAAAJ:j3f4tGmQtD8C" TargetMode="External"/><Relationship Id="rId528" Type="http://schemas.openxmlformats.org/officeDocument/2006/relationships/hyperlink" Target="https://scholar.google.com/citations?view_op=view_citation&amp;hl=id&amp;user=MQ8PcCgAAAAJ&amp;sortby=pubdate&amp;citation_for_view=MQ8PcCgAAAAJ:j3f4tGmQtD8C" TargetMode="External"/><Relationship Id="rId527" Type="http://schemas.openxmlformats.org/officeDocument/2006/relationships/hyperlink" Target="https://scholar.google.com/citations?view_op=view_citation&amp;hl=id&amp;user=MQ8PcCgAAAAJ&amp;sortby=pubdate&amp;citation_for_view=MQ8PcCgAAAAJ:_Qo2XoVZTnwC" TargetMode="External"/><Relationship Id="rId769" Type="http://schemas.openxmlformats.org/officeDocument/2006/relationships/hyperlink" Target="https://scholar.google.com/citations?view_op=view_citation&amp;hl=id&amp;user=W4xRFkQAAAAJ&amp;sortby=pubdate&amp;citation_for_view=W4xRFkQAAAAJ:_kc_bZDykSQC" TargetMode="External"/><Relationship Id="rId526" Type="http://schemas.openxmlformats.org/officeDocument/2006/relationships/hyperlink" Target="https://scholar.google.com/citations?view_op=view_citation&amp;hl=id&amp;user=MQ8PcCgAAAAJ&amp;sortby=pubdate&amp;citation_for_view=MQ8PcCgAAAAJ:_Qo2XoVZTnwC" TargetMode="External"/><Relationship Id="rId768" Type="http://schemas.openxmlformats.org/officeDocument/2006/relationships/hyperlink" Target="https://scholar.google.com/citations?view_op=view_citation&amp;hl=id&amp;user=W4xRFkQAAAAJ&amp;sortby=pubdate&amp;citation_for_view=W4xRFkQAAAAJ:_kc_bZDykSQC" TargetMode="External"/><Relationship Id="rId26" Type="http://schemas.openxmlformats.org/officeDocument/2006/relationships/hyperlink" Target="https://scholar.google.com/citations?view_op=view_citation&amp;hl=id&amp;user=hpVrzLoAAAAJ&amp;pagesize=100&amp;citation_for_view=hpVrzLoAAAAJ:8k81kl-MbHgC" TargetMode="External"/><Relationship Id="rId25" Type="http://schemas.openxmlformats.org/officeDocument/2006/relationships/hyperlink" Target="https://scholar.google.com/citations?view_op=view_citation&amp;hl=id&amp;user=hpVrzLoAAAAJ&amp;pagesize=100&amp;citation_for_view=hpVrzLoAAAAJ:3fE2CSJIrl8C" TargetMode="External"/><Relationship Id="rId28" Type="http://schemas.openxmlformats.org/officeDocument/2006/relationships/hyperlink" Target="https://scholar.google.co.id/citations?view_op=view_citation&amp;hl=en&amp;user=CzwBo4kAAAAJ&amp;sortby=pubdate&amp;citation_for_view=CzwBo4kAAAAJ:TQgYirikUcIC" TargetMode="External"/><Relationship Id="rId27" Type="http://schemas.openxmlformats.org/officeDocument/2006/relationships/hyperlink" Target="https://scholar.google.com/citations?view_op=view_citation&amp;hl=id&amp;user=hpVrzLoAAAAJ&amp;pagesize=100&amp;citation_for_view=hpVrzLoAAAAJ:kNdYIx-mwKoC" TargetMode="External"/><Relationship Id="rId521" Type="http://schemas.openxmlformats.org/officeDocument/2006/relationships/hyperlink" Target="https://scholar.google.com/citations?view_op=view_citation&amp;hl=id&amp;user=Wl99TE0AAAAJ&amp;sortby=pubdate&amp;citation_for_view=Wl99TE0AAAAJ:qUcmZB5y_30C" TargetMode="External"/><Relationship Id="rId763" Type="http://schemas.openxmlformats.org/officeDocument/2006/relationships/hyperlink" Target="https://scholar.google.com/citations?view_op=view_citation&amp;hl=id&amp;user=g-DSiNsAAAAJ&amp;sortby=pubdate&amp;citation_for_view=g-DSiNsAAAAJ:hFOr9nPyWt4C" TargetMode="External"/><Relationship Id="rId29" Type="http://schemas.openxmlformats.org/officeDocument/2006/relationships/hyperlink" Target="https://scholar.google.co.id/citations?view_op=view_citation&amp;hl=en&amp;user=CzwBo4kAAAAJ&amp;sortby=pubdate&amp;citation_for_view=CzwBo4kAAAAJ:-f6ydRqryjwC" TargetMode="External"/><Relationship Id="rId520" Type="http://schemas.openxmlformats.org/officeDocument/2006/relationships/hyperlink" Target="https://scholar.google.com/citations?view_op=view_citation&amp;hl=id&amp;user=Wl99TE0AAAAJ&amp;sortby=pubdate&amp;citation_for_view=Wl99TE0AAAAJ:qUcmZB5y_30C" TargetMode="External"/><Relationship Id="rId762" Type="http://schemas.openxmlformats.org/officeDocument/2006/relationships/hyperlink" Target="https://scholar.google.com/citations?view_op=view_citation&amp;hl=id&amp;user=g-DSiNsAAAAJ&amp;sortby=pubdate&amp;citation_for_view=g-DSiNsAAAAJ:hFOr9nPyWt4C" TargetMode="External"/><Relationship Id="rId761" Type="http://schemas.openxmlformats.org/officeDocument/2006/relationships/hyperlink" Target="https://scholar.google.com/citations?view_op=view_citation&amp;hl=id&amp;user=g-DSiNsAAAAJ&amp;sortby=pubdate&amp;citation_for_view=g-DSiNsAAAAJ:HDshCWvjkbEC" TargetMode="External"/><Relationship Id="rId760" Type="http://schemas.openxmlformats.org/officeDocument/2006/relationships/hyperlink" Target="https://scholar.google.com/citations?view_op=view_citation&amp;hl=id&amp;user=g-DSiNsAAAAJ&amp;sortby=pubdate&amp;citation_for_view=g-DSiNsAAAAJ:HDshCWvjkbEC" TargetMode="External"/><Relationship Id="rId11" Type="http://schemas.openxmlformats.org/officeDocument/2006/relationships/hyperlink" Target="https://jurnal.polgan.ac.id/index.php/jmp/article/view/12376" TargetMode="External"/><Relationship Id="rId10" Type="http://schemas.openxmlformats.org/officeDocument/2006/relationships/hyperlink" Target="https://jurnal.polinema.ac.id/index.php/jip/article/view/1728" TargetMode="External"/><Relationship Id="rId13" Type="http://schemas.openxmlformats.org/officeDocument/2006/relationships/hyperlink" Target="https://djournals.com/klik/article/view/1423" TargetMode="External"/><Relationship Id="rId12" Type="http://schemas.openxmlformats.org/officeDocument/2006/relationships/hyperlink" Target="https://ejournal.unis.ac.id/index.php/jutis/article/view/3476" TargetMode="External"/><Relationship Id="rId519" Type="http://schemas.openxmlformats.org/officeDocument/2006/relationships/hyperlink" Target="https://scholar.google.com/citations?view_op=view_citation&amp;hl=id&amp;user=Wl99TE0AAAAJ&amp;sortby=pubdate&amp;citation_for_view=Wl99TE0AAAAJ:-f6ydRqryjwC" TargetMode="External"/><Relationship Id="rId514" Type="http://schemas.openxmlformats.org/officeDocument/2006/relationships/hyperlink" Target="https://scholar.google.com/citations?view_op=view_citation&amp;hl=id&amp;user=Wl99TE0AAAAJ&amp;sortby=pubdate&amp;citation_for_view=Wl99TE0AAAAJ:HDshCWvjkbEC" TargetMode="External"/><Relationship Id="rId756" Type="http://schemas.openxmlformats.org/officeDocument/2006/relationships/hyperlink" Target="https://scholar.google.com/citations?view_op=view_citation&amp;hl=id&amp;user=g-DSiNsAAAAJ&amp;sortby=pubdate&amp;citation_for_view=g-DSiNsAAAAJ:e5wmG9Sq2KIC" TargetMode="External"/><Relationship Id="rId513" Type="http://schemas.openxmlformats.org/officeDocument/2006/relationships/hyperlink" Target="https://scholar.google.com/citations?view_op=view_citation&amp;hl=id&amp;user=Wl99TE0AAAAJ&amp;sortby=pubdate&amp;citation_for_view=Wl99TE0AAAAJ:R3hNpaxXUhUC" TargetMode="External"/><Relationship Id="rId755" Type="http://schemas.openxmlformats.org/officeDocument/2006/relationships/hyperlink" Target="https://scholar.google.com/citations?view_op=view_citation&amp;hl=id&amp;user=g-DSiNsAAAAJ&amp;sortby=pubdate&amp;citation_for_view=g-DSiNsAAAAJ:RHpTSmoSYBkC" TargetMode="External"/><Relationship Id="rId512" Type="http://schemas.openxmlformats.org/officeDocument/2006/relationships/hyperlink" Target="https://scholar.google.com/citations?view_op=view_citation&amp;hl=id&amp;user=Wl99TE0AAAAJ&amp;sortby=pubdate&amp;citation_for_view=Wl99TE0AAAAJ:R3hNpaxXUhUC" TargetMode="External"/><Relationship Id="rId754" Type="http://schemas.openxmlformats.org/officeDocument/2006/relationships/hyperlink" Target="https://scholar.google.com/citations?view_op=view_citation&amp;hl=id&amp;user=g-DSiNsAAAAJ&amp;sortby=pubdate&amp;citation_for_view=g-DSiNsAAAAJ:RHpTSmoSYBkC" TargetMode="External"/><Relationship Id="rId511" Type="http://schemas.openxmlformats.org/officeDocument/2006/relationships/hyperlink" Target="https://scholar.google.com/citations?view_op=view_citation&amp;hl=id&amp;user=Wl99TE0AAAAJ&amp;sortby=pubdate&amp;citation_for_view=Wl99TE0AAAAJ:TQgYirikUcIC" TargetMode="External"/><Relationship Id="rId753" Type="http://schemas.openxmlformats.org/officeDocument/2006/relationships/hyperlink" Target="https://scholar.google.com/citations?view_op=view_citation&amp;hl=id&amp;user=g-DSiNsAAAAJ&amp;sortby=pubdate&amp;citation_for_view=g-DSiNsAAAAJ:R3hNpaxXUhUC" TargetMode="External"/><Relationship Id="rId518" Type="http://schemas.openxmlformats.org/officeDocument/2006/relationships/hyperlink" Target="https://scholar.google.com/citations?view_op=view_citation&amp;hl=id&amp;user=Wl99TE0AAAAJ&amp;sortby=pubdate&amp;citation_for_view=Wl99TE0AAAAJ:-f6ydRqryjwC" TargetMode="External"/><Relationship Id="rId517" Type="http://schemas.openxmlformats.org/officeDocument/2006/relationships/hyperlink" Target="https://scholar.google.com/citations?view_op=view_citation&amp;hl=id&amp;user=Wl99TE0AAAAJ&amp;sortby=pubdate&amp;citation_for_view=Wl99TE0AAAAJ:hC7cP41nSMkC" TargetMode="External"/><Relationship Id="rId759" Type="http://schemas.openxmlformats.org/officeDocument/2006/relationships/hyperlink" Target="https://scholar.google.com/citations?view_op=view_citation&amp;hl=id&amp;user=g-DSiNsAAAAJ&amp;sortby=pubdate&amp;citation_for_view=g-DSiNsAAAAJ:hC7cP41nSMkC" TargetMode="External"/><Relationship Id="rId516" Type="http://schemas.openxmlformats.org/officeDocument/2006/relationships/hyperlink" Target="https://scholar.google.com/citations?view_op=view_citation&amp;hl=id&amp;user=Wl99TE0AAAAJ&amp;sortby=pubdate&amp;citation_for_view=Wl99TE0AAAAJ:hC7cP41nSMkC" TargetMode="External"/><Relationship Id="rId758" Type="http://schemas.openxmlformats.org/officeDocument/2006/relationships/hyperlink" Target="https://scholar.google.com/citations?view_op=view_citation&amp;hl=id&amp;user=g-DSiNsAAAAJ&amp;sortby=pubdate&amp;citation_for_view=g-DSiNsAAAAJ:hC7cP41nSMkC" TargetMode="External"/><Relationship Id="rId515" Type="http://schemas.openxmlformats.org/officeDocument/2006/relationships/hyperlink" Target="https://scholar.google.com/citations?view_op=view_citation&amp;hl=id&amp;user=Wl99TE0AAAAJ&amp;sortby=pubdate&amp;citation_for_view=Wl99TE0AAAAJ:HDshCWvjkbEC" TargetMode="External"/><Relationship Id="rId757" Type="http://schemas.openxmlformats.org/officeDocument/2006/relationships/hyperlink" Target="https://scholar.google.com/citations?view_op=view_citation&amp;hl=id&amp;user=g-DSiNsAAAAJ&amp;sortby=pubdate&amp;citation_for_view=g-DSiNsAAAAJ:e5wmG9Sq2KIC" TargetMode="External"/><Relationship Id="rId15" Type="http://schemas.openxmlformats.org/officeDocument/2006/relationships/hyperlink" Target="https://scholar.google.com/citations?view_op=view_citation&amp;hl=id&amp;user=B7sSwwEAAAAJ&amp;sortby=pubdate&amp;authuser=1&amp;citation_for_view=B7sSwwEAAAAJ:SeFeTyx0c_EC" TargetMode="External"/><Relationship Id="rId14" Type="http://schemas.openxmlformats.org/officeDocument/2006/relationships/hyperlink" Target="https://scholar.google.com/citations?view_op=view_citation&amp;hl=id&amp;user=eJbYp4sAAAAJ&amp;pagesize=100&amp;citation_for_view=eJbYp4sAAAAJ:IjCSPb-OGe4C" TargetMode="External"/><Relationship Id="rId17" Type="http://schemas.openxmlformats.org/officeDocument/2006/relationships/hyperlink" Target="https://www.taylorfrancis.com/chapters/oa-edit/10.1201/9781003261346-15/improving-vocational-education-quality-life-based-learning-yoto-mawangi-pramudhita" TargetMode="External"/><Relationship Id="rId16" Type="http://schemas.openxmlformats.org/officeDocument/2006/relationships/hyperlink" Target="https://scholar.google.com/citations?view_op=view_citation&amp;hl=en&amp;user=J53Yr68AAAAJ&amp;citation_for_view=J53Yr68AAAAJ:u5HHmVD_uO8C" TargetMode="External"/><Relationship Id="rId19" Type="http://schemas.openxmlformats.org/officeDocument/2006/relationships/hyperlink" Target="http://www.nstproceeding.com/index.php/nuscientech/article/view/891" TargetMode="External"/><Relationship Id="rId510" Type="http://schemas.openxmlformats.org/officeDocument/2006/relationships/hyperlink" Target="https://scholar.google.com/citations?view_op=view_citation&amp;hl=id&amp;user=Wl99TE0AAAAJ&amp;sortby=pubdate&amp;citation_for_view=Wl99TE0AAAAJ:TQgYirikUcIC" TargetMode="External"/><Relationship Id="rId752" Type="http://schemas.openxmlformats.org/officeDocument/2006/relationships/hyperlink" Target="https://scholar.google.com/citations?view_op=view_citation&amp;hl=id&amp;user=g-DSiNsAAAAJ&amp;sortby=pubdate&amp;citation_for_view=g-DSiNsAAAAJ:R3hNpaxXUhUC" TargetMode="External"/><Relationship Id="rId18" Type="http://schemas.openxmlformats.org/officeDocument/2006/relationships/hyperlink" Target="https://journal.eng.unila.ac.id/index.php/jitet/article/view/3191" TargetMode="External"/><Relationship Id="rId751" Type="http://schemas.openxmlformats.org/officeDocument/2006/relationships/hyperlink" Target="https://scholar.google.com/citations?view_op=view_citation&amp;hl=id&amp;user=g-DSiNsAAAAJ&amp;sortby=pubdate&amp;citation_for_view=g-DSiNsAAAAJ:j3f4tGmQtD8C" TargetMode="External"/><Relationship Id="rId750" Type="http://schemas.openxmlformats.org/officeDocument/2006/relationships/hyperlink" Target="https://scholar.google.com/citations?view_op=view_citation&amp;hl=id&amp;user=g-DSiNsAAAAJ&amp;sortby=pubdate&amp;citation_for_view=g-DSiNsAAAAJ:j3f4tGmQtD8C" TargetMode="External"/><Relationship Id="rId84" Type="http://schemas.openxmlformats.org/officeDocument/2006/relationships/hyperlink" Target="https://scholar.google.com/citations?view_op=view_citation&amp;hl=en&amp;user=SlXyKgMAAAAJ&amp;sortby=pubdate&amp;citation_for_view=SlXyKgMAAAAJ:eQOLeE2rZwMC" TargetMode="External"/><Relationship Id="rId83" Type="http://schemas.openxmlformats.org/officeDocument/2006/relationships/hyperlink" Target="https://scholar.google.com/citations?view_op=view_citation&amp;hl=en&amp;user=SlXyKgMAAAAJ&amp;sortby=pubdate&amp;citation_for_view=SlXyKgMAAAAJ:eQOLeE2rZwMC" TargetMode="External"/><Relationship Id="rId86" Type="http://schemas.openxmlformats.org/officeDocument/2006/relationships/hyperlink" Target="https://scholar.google.com/citations?view_op=view_citation&amp;hl=en&amp;user=SlXyKgMAAAAJ&amp;sortby=pubdate&amp;citation_for_view=SlXyKgMAAAAJ:u5HHmVD_uO8C" TargetMode="External"/><Relationship Id="rId85" Type="http://schemas.openxmlformats.org/officeDocument/2006/relationships/hyperlink" Target="https://scholar.google.com/citations?view_op=view_citation&amp;hl=en&amp;user=SlXyKgMAAAAJ&amp;sortby=pubdate&amp;citation_for_view=SlXyKgMAAAAJ:u5HHmVD_uO8C" TargetMode="External"/><Relationship Id="rId88" Type="http://schemas.openxmlformats.org/officeDocument/2006/relationships/hyperlink" Target="https://scholar.google.co.jp/citations?view_op=view_citation&amp;hl=en&amp;user=jetyPtUAAAAJ&amp;sortby=pubdate&amp;citation_for_view=jetyPtUAAAAJ:dhFuZR0502QC" TargetMode="External"/><Relationship Id="rId87" Type="http://schemas.openxmlformats.org/officeDocument/2006/relationships/hyperlink" Target="https://scholar.google.co.jp/citations?view_op=view_citation&amp;hl=en&amp;user=jetyPtUAAAAJ&amp;sortby=pubdate&amp;citation_for_view=jetyPtUAAAAJ:dhFuZR0502QC" TargetMode="External"/><Relationship Id="rId89" Type="http://schemas.openxmlformats.org/officeDocument/2006/relationships/hyperlink" Target="https://ieeexplore.ieee.org/abstract/document/10435078" TargetMode="External"/><Relationship Id="rId709" Type="http://schemas.openxmlformats.org/officeDocument/2006/relationships/hyperlink" Target="https://scholar.google.com/citations?view_op=view_citation&amp;hl=id&amp;user=Ysdl_MIAAAAJ&amp;sortby=pubdate&amp;citation_for_view=Ysdl_MIAAAAJ:4JMBOYKVnBMC" TargetMode="External"/><Relationship Id="rId708" Type="http://schemas.openxmlformats.org/officeDocument/2006/relationships/hyperlink" Target="https://scholar.google.com/citations?view_op=view_citation&amp;hl=id&amp;user=Ysdl_MIAAAAJ&amp;sortby=pubdate&amp;citation_for_view=Ysdl_MIAAAAJ:4JMBOYKVnBMC" TargetMode="External"/><Relationship Id="rId707" Type="http://schemas.openxmlformats.org/officeDocument/2006/relationships/hyperlink" Target="https://scholar.google.com/citations?view_op=view_citation&amp;hl=id&amp;user=Ysdl_MIAAAAJ&amp;sortby=pubdate&amp;citation_for_view=Ysdl_MIAAAAJ:RHpTSmoSYBkC" TargetMode="External"/><Relationship Id="rId706" Type="http://schemas.openxmlformats.org/officeDocument/2006/relationships/hyperlink" Target="https://scholar.google.com/citations?view_op=view_citation&amp;hl=id&amp;user=Ysdl_MIAAAAJ&amp;sortby=pubdate&amp;citation_for_view=Ysdl_MIAAAAJ:RHpTSmoSYBkC" TargetMode="External"/><Relationship Id="rId80" Type="http://schemas.openxmlformats.org/officeDocument/2006/relationships/hyperlink" Target="https://scholar.google.com/citations?view_op=view_citation&amp;hl=en&amp;user=SlXyKgMAAAAJ&amp;sortby=pubdate&amp;citation_for_view=SlXyKgMAAAAJ:_FxGoFyzp5QC" TargetMode="External"/><Relationship Id="rId82" Type="http://schemas.openxmlformats.org/officeDocument/2006/relationships/hyperlink" Target="https://scholar.google.com/citations?view_op=view_citation&amp;hl=en&amp;user=SlXyKgMAAAAJ&amp;sortby=pubdate&amp;citation_for_view=SlXyKgMAAAAJ:2osOgNQ5qMEC" TargetMode="External"/><Relationship Id="rId81" Type="http://schemas.openxmlformats.org/officeDocument/2006/relationships/hyperlink" Target="https://scholar.google.com/citations?view_op=view_citation&amp;hl=en&amp;user=SlXyKgMAAAAJ&amp;sortby=pubdate&amp;citation_for_view=SlXyKgMAAAAJ:2osOgNQ5qMEC" TargetMode="External"/><Relationship Id="rId701" Type="http://schemas.openxmlformats.org/officeDocument/2006/relationships/hyperlink" Target="https://scholar.google.com/citations?view_op=view_citation&amp;hl=id&amp;user=Ysdl_MIAAAAJ&amp;sortby=pubdate&amp;citation_for_view=Ysdl_MIAAAAJ:bEWYMUwI8FkC" TargetMode="External"/><Relationship Id="rId700" Type="http://schemas.openxmlformats.org/officeDocument/2006/relationships/hyperlink" Target="https://scholar.google.com/citations?view_op=view_citation&amp;hl=id&amp;user=Ysdl_MIAAAAJ&amp;sortby=pubdate&amp;citation_for_view=Ysdl_MIAAAAJ:bEWYMUwI8FkC" TargetMode="External"/><Relationship Id="rId705" Type="http://schemas.openxmlformats.org/officeDocument/2006/relationships/hyperlink" Target="https://scholar.google.com/citations?view_op=view_citation&amp;hl=id&amp;user=Ysdl_MIAAAAJ&amp;sortby=pubdate&amp;citation_for_view=Ysdl_MIAAAAJ:k_IJM867U9cC" TargetMode="External"/><Relationship Id="rId704" Type="http://schemas.openxmlformats.org/officeDocument/2006/relationships/hyperlink" Target="https://scholar.google.com/citations?view_op=view_citation&amp;hl=id&amp;user=Ysdl_MIAAAAJ&amp;sortby=pubdate&amp;citation_for_view=Ysdl_MIAAAAJ:k_IJM867U9cC" TargetMode="External"/><Relationship Id="rId703" Type="http://schemas.openxmlformats.org/officeDocument/2006/relationships/hyperlink" Target="https://scholar.google.com/citations?view_op=view_citation&amp;hl=id&amp;user=Ysdl_MIAAAAJ&amp;sortby=pubdate&amp;citation_for_view=Ysdl_MIAAAAJ:iH-uZ7U-co4C" TargetMode="External"/><Relationship Id="rId702" Type="http://schemas.openxmlformats.org/officeDocument/2006/relationships/hyperlink" Target="https://scholar.google.com/citations?view_op=view_citation&amp;hl=id&amp;user=Ysdl_MIAAAAJ&amp;sortby=pubdate&amp;citation_for_view=Ysdl_MIAAAAJ:iH-uZ7U-co4C" TargetMode="External"/><Relationship Id="rId73" Type="http://schemas.openxmlformats.org/officeDocument/2006/relationships/hyperlink" Target="https://scholar.google.co.id/citations?view_op=view_citation&amp;hl=en&amp;user=3wDMDFIAAAAJ&amp;sortby=pubdate&amp;citation_for_view=3wDMDFIAAAAJ:e5wmG9Sq2KIC" TargetMode="External"/><Relationship Id="rId72" Type="http://schemas.openxmlformats.org/officeDocument/2006/relationships/hyperlink" Target="https://scholar.google.co.id/citations?view_op=view_citation&amp;hl=en&amp;user=3wDMDFIAAAAJ&amp;sortby=pubdate&amp;citation_for_view=3wDMDFIAAAAJ:_Qo2XoVZTnwC" TargetMode="External"/><Relationship Id="rId75" Type="http://schemas.openxmlformats.org/officeDocument/2006/relationships/hyperlink" Target="https://scholar.google.co.id/citations?view_op=view_citation&amp;hl=en&amp;user=3wDMDFIAAAAJ&amp;sortby=pubdate&amp;citation_for_view=3wDMDFIAAAAJ:bEWYMUwI8FkC" TargetMode="External"/><Relationship Id="rId74" Type="http://schemas.openxmlformats.org/officeDocument/2006/relationships/hyperlink" Target="https://scholar.google.co.id/citations?view_op=view_citation&amp;hl=en&amp;user=3wDMDFIAAAAJ&amp;sortby=pubdate&amp;citation_for_view=3wDMDFIAAAAJ:HDshCWvjkbEC" TargetMode="External"/><Relationship Id="rId77" Type="http://schemas.openxmlformats.org/officeDocument/2006/relationships/hyperlink" Target="https://scholar.google.com/citations?view_op=view_citation&amp;hl=en&amp;user=SlXyKgMAAAAJ&amp;sortby=pubdate&amp;citation_for_view=SlXyKgMAAAAJ:LkGwnXOMwfcC" TargetMode="External"/><Relationship Id="rId76" Type="http://schemas.openxmlformats.org/officeDocument/2006/relationships/hyperlink" Target="https://scholar.google.co.id/citations?view_op=view_citation&amp;hl=en&amp;user=3wDMDFIAAAAJ&amp;sortby=pubdate&amp;citation_for_view=3wDMDFIAAAAJ:hFOr9nPyWt4C" TargetMode="External"/><Relationship Id="rId79" Type="http://schemas.openxmlformats.org/officeDocument/2006/relationships/hyperlink" Target="https://scholar.google.com/citations?view_op=view_citation&amp;hl=en&amp;user=SlXyKgMAAAAJ&amp;sortby=pubdate&amp;citation_for_view=SlXyKgMAAAAJ:_FxGoFyzp5QC" TargetMode="External"/><Relationship Id="rId78" Type="http://schemas.openxmlformats.org/officeDocument/2006/relationships/hyperlink" Target="https://scholar.google.com/citations?view_op=view_citation&amp;hl=en&amp;user=SlXyKgMAAAAJ&amp;sortby=pubdate&amp;citation_for_view=SlXyKgMAAAAJ:LkGwnXOMwfcC" TargetMode="External"/><Relationship Id="rId71" Type="http://schemas.openxmlformats.org/officeDocument/2006/relationships/hyperlink" Target="https://scholar.google.co.id/citations?view_op=view_citation&amp;hl=en&amp;user=3wDMDFIAAAAJ&amp;sortby=pubdate&amp;citation_for_view=3wDMDFIAAAAJ:j3f4tGmQtD8C" TargetMode="External"/><Relationship Id="rId70" Type="http://schemas.openxmlformats.org/officeDocument/2006/relationships/hyperlink" Target="https://scholar.google.co.id/citations?view_op=view_citation&amp;hl=en&amp;user=3wDMDFIAAAAJ&amp;sortby=pubdate&amp;citation_for_view=3wDMDFIAAAAJ:TFP_iSt0sucC" TargetMode="External"/><Relationship Id="rId62" Type="http://schemas.openxmlformats.org/officeDocument/2006/relationships/hyperlink" Target="https://www.researchgate.net/publication/349558365_Prediksi_Banjir_Lahar_Dingin_pada_Lereng_Merapi_menggunakan_Data_Curah_Hujan_dari_Satelit" TargetMode="External"/><Relationship Id="rId61" Type="http://schemas.openxmlformats.org/officeDocument/2006/relationships/hyperlink" Target="https://www.researchgate.net/publication/357683994_Smart_Chicken_Coop_Ecosystem_for_Optimal_Growth_of_Broiler_Chickens_Using_Fuzzy_on_IoT" TargetMode="External"/><Relationship Id="rId64" Type="http://schemas.openxmlformats.org/officeDocument/2006/relationships/hyperlink" Target="https://scholar.google.com/citations?view_op=view_citation&amp;hl=id&amp;user=BJ_aaNoAAAAJ&amp;sortby=pubdate&amp;citation_for_view=BJ_aaNoAAAAJ:9yKSN-GCB0IC" TargetMode="External"/><Relationship Id="rId63" Type="http://schemas.openxmlformats.org/officeDocument/2006/relationships/hyperlink" Target="https://scholar.google.com/citations?view_op=view_citation&amp;hl=id&amp;user=BJ_aaNoAAAAJ&amp;sortby=pubdate&amp;citation_for_view=BJ_aaNoAAAAJ:9yKSN-GCB0IC" TargetMode="External"/><Relationship Id="rId66" Type="http://schemas.openxmlformats.org/officeDocument/2006/relationships/hyperlink" Target="https://scholar.google.com/citations?view_op=view_citation&amp;hl=id&amp;user=BJ_aaNoAAAAJ&amp;sortby=pubdate&amp;citation_for_view=BJ_aaNoAAAAJ:d1gkVwhDpl0C" TargetMode="External"/><Relationship Id="rId65" Type="http://schemas.openxmlformats.org/officeDocument/2006/relationships/hyperlink" Target="https://scholar.google.com/citations?view_op=view_citation&amp;hl=id&amp;user=BJ_aaNoAAAAJ&amp;sortby=pubdate&amp;citation_for_view=BJ_aaNoAAAAJ:d1gkVwhDpl0C" TargetMode="External"/><Relationship Id="rId68" Type="http://schemas.openxmlformats.org/officeDocument/2006/relationships/hyperlink" Target="https://scholar.google.co.id/citations?view_op=view_citation&amp;hl=en&amp;user=3wDMDFIAAAAJ&amp;sortby=pubdate&amp;citation_for_view=3wDMDFIAAAAJ:JV2RwH3_ST0C" TargetMode="External"/><Relationship Id="rId67" Type="http://schemas.openxmlformats.org/officeDocument/2006/relationships/hyperlink" Target="https://scholar.google.co.id/citations?view_op=view_citation&amp;hl=en&amp;user=3wDMDFIAAAAJ&amp;sortby=pubdate&amp;citation_for_view=3wDMDFIAAAAJ:JV2RwH3_ST0C" TargetMode="External"/><Relationship Id="rId729" Type="http://schemas.openxmlformats.org/officeDocument/2006/relationships/hyperlink" Target="https://scholar.google.com/citations?view_op=view_citation&amp;hl=id&amp;user=PEaROTMAAAAJ&amp;sortby=pubdate&amp;citation_for_view=PEaROTMAAAAJ:maZDTaKrznsC" TargetMode="External"/><Relationship Id="rId728" Type="http://schemas.openxmlformats.org/officeDocument/2006/relationships/hyperlink" Target="https://scholar.google.com/citations?view_op=view_citation&amp;hl=id&amp;user=PEaROTMAAAAJ&amp;sortby=pubdate&amp;citation_for_view=PEaROTMAAAAJ:maZDTaKrznsC" TargetMode="External"/><Relationship Id="rId60" Type="http://schemas.openxmlformats.org/officeDocument/2006/relationships/hyperlink" Target="https://scholar.google.co.id/citations?view_op=view_citation&amp;hl=id&amp;user=qoWiXaQAAAAJ&amp;sortby=pubdate&amp;citation_for_view=qoWiXaQAAAAJ:KlAtU1dfN6UC" TargetMode="External"/><Relationship Id="rId723" Type="http://schemas.openxmlformats.org/officeDocument/2006/relationships/hyperlink" Target="https://scholar.google.com/citations?view_op=view_citation&amp;hl=id&amp;user=PEaROTMAAAAJ&amp;sortby=pubdate&amp;citation_for_view=PEaROTMAAAAJ:BqipwSGYUEgC" TargetMode="External"/><Relationship Id="rId722" Type="http://schemas.openxmlformats.org/officeDocument/2006/relationships/hyperlink" Target="https://scholar.google.com/citations?view_op=view_citation&amp;hl=id&amp;user=PEaROTMAAAAJ&amp;sortby=pubdate&amp;citation_for_view=PEaROTMAAAAJ:BqipwSGYUEgC" TargetMode="External"/><Relationship Id="rId721" Type="http://schemas.openxmlformats.org/officeDocument/2006/relationships/hyperlink" Target="https://scholar.google.com/citations?view_op=view_citation&amp;hl=id&amp;user=PEaROTMAAAAJ&amp;sortby=pubdate&amp;citation_for_view=PEaROTMAAAAJ:RYcK_YlVTxYC" TargetMode="External"/><Relationship Id="rId720" Type="http://schemas.openxmlformats.org/officeDocument/2006/relationships/hyperlink" Target="https://scholar.google.com/citations?view_op=view_citation&amp;hl=id&amp;user=PEaROTMAAAAJ&amp;sortby=pubdate&amp;citation_for_view=PEaROTMAAAAJ:RYcK_YlVTxYC" TargetMode="External"/><Relationship Id="rId727" Type="http://schemas.openxmlformats.org/officeDocument/2006/relationships/hyperlink" Target="https://scholar.google.com/citations?view_op=view_citation&amp;hl=id&amp;user=PEaROTMAAAAJ&amp;sortby=pubdate&amp;citation_for_view=PEaROTMAAAAJ:JV2RwH3_ST0C" TargetMode="External"/><Relationship Id="rId726" Type="http://schemas.openxmlformats.org/officeDocument/2006/relationships/hyperlink" Target="https://scholar.google.com/citations?view_op=view_citation&amp;hl=id&amp;user=PEaROTMAAAAJ&amp;sortby=pubdate&amp;citation_for_view=PEaROTMAAAAJ:JV2RwH3_ST0C" TargetMode="External"/><Relationship Id="rId725" Type="http://schemas.openxmlformats.org/officeDocument/2006/relationships/hyperlink" Target="https://scholar.google.com/citations?view_op=view_citation&amp;hl=id&amp;user=PEaROTMAAAAJ&amp;sortby=pubdate&amp;citation_for_view=PEaROTMAAAAJ:hMod-77fHWUC" TargetMode="External"/><Relationship Id="rId724" Type="http://schemas.openxmlformats.org/officeDocument/2006/relationships/hyperlink" Target="https://scholar.google.com/citations?view_op=view_citation&amp;hl=id&amp;user=PEaROTMAAAAJ&amp;sortby=pubdate&amp;citation_for_view=PEaROTMAAAAJ:hMod-77fHWUC" TargetMode="External"/><Relationship Id="rId69" Type="http://schemas.openxmlformats.org/officeDocument/2006/relationships/hyperlink" Target="https://scholar.google.co.id/citations?view_op=view_citation&amp;hl=en&amp;user=3wDMDFIAAAAJ&amp;sortby=pubdate&amp;citation_for_view=3wDMDFIAAAAJ:TFP_iSt0sucC" TargetMode="External"/><Relationship Id="rId51" Type="http://schemas.openxmlformats.org/officeDocument/2006/relationships/hyperlink" Target="https://scholar.google.com/citations?view_op=view_citation&amp;hl=en&amp;user=XmTRRCMAAAAJ&amp;sortby=pubdate&amp;citation_for_view=XmTRRCMAAAAJ:dhFuZR0502QC" TargetMode="External"/><Relationship Id="rId50" Type="http://schemas.openxmlformats.org/officeDocument/2006/relationships/hyperlink" Target="https://scholar.google.com/citations?view_op=view_citation&amp;hl=en&amp;user=XmTRRCMAAAAJ&amp;sortby=pubdate&amp;citation_for_view=XmTRRCMAAAAJ:aqlVkmm33-oC" TargetMode="External"/><Relationship Id="rId53" Type="http://schemas.openxmlformats.org/officeDocument/2006/relationships/hyperlink" Target="https://scholar.google.com/citations?view_op=view_citation&amp;hl=en&amp;user=XmTRRCMAAAAJ&amp;sortby=pubdate&amp;citation_for_view=XmTRRCMAAAAJ:_kc_bZDykSQC" TargetMode="External"/><Relationship Id="rId52" Type="http://schemas.openxmlformats.org/officeDocument/2006/relationships/hyperlink" Target="https://scholar.google.com/citations?view_op=view_citation&amp;hl=en&amp;user=XmTRRCMAAAAJ&amp;sortby=pubdate&amp;citation_for_view=XmTRRCMAAAAJ:qxL8FJ1GzNcC" TargetMode="External"/><Relationship Id="rId55" Type="http://schemas.openxmlformats.org/officeDocument/2006/relationships/hyperlink" Target="https://scholar.google.com/citations?view_op=view_citation&amp;hl=en&amp;user=XmTRRCMAAAAJ&amp;sortby=pubdate&amp;citation_for_view=XmTRRCMAAAAJ:YOwf2qJgpHMC" TargetMode="External"/><Relationship Id="rId54" Type="http://schemas.openxmlformats.org/officeDocument/2006/relationships/hyperlink" Target="https://scholar.google.com/citations?view_op=view_citation&amp;hl=en&amp;user=XmTRRCMAAAAJ&amp;sortby=pubdate&amp;citation_for_view=XmTRRCMAAAAJ:ULOm3_A8WrAC" TargetMode="External"/><Relationship Id="rId57" Type="http://schemas.openxmlformats.org/officeDocument/2006/relationships/hyperlink" Target="https://scholar.google.com/citations?view_op=view_citation&amp;hl=en&amp;user=XmTRRCMAAAAJ&amp;sortby=pubdate&amp;citation_for_view=XmTRRCMAAAAJ:KlAtU1dfN6UC" TargetMode="External"/><Relationship Id="rId56" Type="http://schemas.openxmlformats.org/officeDocument/2006/relationships/hyperlink" Target="https://scholar.google.com/citations?view_op=view_citation&amp;hl=en&amp;user=XmTRRCMAAAAJ&amp;sortby=pubdate&amp;citation_for_view=XmTRRCMAAAAJ:9ZlFYXVOiuMC" TargetMode="External"/><Relationship Id="rId719" Type="http://schemas.openxmlformats.org/officeDocument/2006/relationships/hyperlink" Target="https://scholar.google.com/citations?view_op=view_citation&amp;hl=id&amp;user=PEaROTMAAAAJ&amp;sortby=pubdate&amp;citation_for_view=PEaROTMAAAAJ:35N4QoGY0k4C" TargetMode="External"/><Relationship Id="rId718" Type="http://schemas.openxmlformats.org/officeDocument/2006/relationships/hyperlink" Target="https://scholar.google.com/citations?view_op=view_citation&amp;hl=id&amp;user=PEaROTMAAAAJ&amp;sortby=pubdate&amp;citation_for_view=PEaROTMAAAAJ:35N4QoGY0k4C" TargetMode="External"/><Relationship Id="rId717" Type="http://schemas.openxmlformats.org/officeDocument/2006/relationships/hyperlink" Target="https://scholar.google.com/citations?view_op=view_citation&amp;hl=id&amp;user=PEaROTMAAAAJ&amp;sortby=pubdate&amp;citation_for_view=PEaROTMAAAAJ:pqnbT2bcN3wC" TargetMode="External"/><Relationship Id="rId712" Type="http://schemas.openxmlformats.org/officeDocument/2006/relationships/hyperlink" Target="https://scholar.google.com/citations?view_op=view_citation&amp;hl=id&amp;user=Ysdl_MIAAAAJ&amp;sortby=pubdate&amp;citation_for_view=Ysdl_MIAAAAJ:HDshCWvjkbEC" TargetMode="External"/><Relationship Id="rId711" Type="http://schemas.openxmlformats.org/officeDocument/2006/relationships/hyperlink" Target="https://scholar.google.com/citations?view_op=view_citation&amp;hl=id&amp;user=Ysdl_MIAAAAJ&amp;sortby=pubdate&amp;citation_for_view=Ysdl_MIAAAAJ:e5wmG9Sq2KIC" TargetMode="External"/><Relationship Id="rId710" Type="http://schemas.openxmlformats.org/officeDocument/2006/relationships/hyperlink" Target="https://scholar.google.com/citations?view_op=view_citation&amp;hl=id&amp;user=Ysdl_MIAAAAJ&amp;sortby=pubdate&amp;citation_for_view=Ysdl_MIAAAAJ:e5wmG9Sq2KIC" TargetMode="External"/><Relationship Id="rId716" Type="http://schemas.openxmlformats.org/officeDocument/2006/relationships/hyperlink" Target="https://scholar.google.com/citations?view_op=view_citation&amp;hl=id&amp;user=PEaROTMAAAAJ&amp;sortby=pubdate&amp;citation_for_view=PEaROTMAAAAJ:pqnbT2bcN3wC" TargetMode="External"/><Relationship Id="rId715" Type="http://schemas.openxmlformats.org/officeDocument/2006/relationships/hyperlink" Target="https://scholar.google.com/citations?view_op=view_citation&amp;hl=id&amp;user=PEaROTMAAAAJ&amp;sortby=pubdate&amp;citation_for_view=PEaROTMAAAAJ:g5m5HwL7SMYC" TargetMode="External"/><Relationship Id="rId714" Type="http://schemas.openxmlformats.org/officeDocument/2006/relationships/hyperlink" Target="https://scholar.google.com/citations?view_op=view_citation&amp;hl=id&amp;user=PEaROTMAAAAJ&amp;sortby=pubdate&amp;citation_for_view=PEaROTMAAAAJ:g5m5HwL7SMYC" TargetMode="External"/><Relationship Id="rId713" Type="http://schemas.openxmlformats.org/officeDocument/2006/relationships/hyperlink" Target="https://scholar.google.com/citations?view_op=view_citation&amp;hl=id&amp;user=Ysdl_MIAAAAJ&amp;sortby=pubdate&amp;citation_for_view=Ysdl_MIAAAAJ:HDshCWvjkbEC" TargetMode="External"/><Relationship Id="rId59" Type="http://schemas.openxmlformats.org/officeDocument/2006/relationships/hyperlink" Target="https://scholar.google.co.id/citations?view_op=view_citation&amp;hl=id&amp;user=qoWiXaQAAAAJ&amp;sortby=pubdate&amp;citation_for_view=qoWiXaQAAAAJ:kNdYIx-mwKoC" TargetMode="External"/><Relationship Id="rId58" Type="http://schemas.openxmlformats.org/officeDocument/2006/relationships/hyperlink" Target="https://scholar.google.co.id/citations?view_op=view_citation&amp;hl=id&amp;user=qoWiXaQAAAAJ&amp;sortby=pubdate&amp;citation_for_view=qoWiXaQAAAAJ:3fE2CSJIrl8C" TargetMode="External"/><Relationship Id="rId590" Type="http://schemas.openxmlformats.org/officeDocument/2006/relationships/hyperlink" Target="https://scholar.google.com/citations?view_op=view_citation&amp;hl=id&amp;user=A1592kEAAAAJ&amp;sortby=pubdate&amp;citation_for_view=A1592kEAAAAJ:TiIbgCYny7sC" TargetMode="External"/><Relationship Id="rId107" Type="http://schemas.openxmlformats.org/officeDocument/2006/relationships/hyperlink" Target="https://scholar.google.com/citations?view_op=view_citation&amp;hl=id&amp;user=jetyPtUAAAAJ&amp;sortby=pubdate&amp;authuser=1&amp;citation_for_view=jetyPtUAAAAJ:4TOpqqG69KYC" TargetMode="External"/><Relationship Id="rId349" Type="http://schemas.openxmlformats.org/officeDocument/2006/relationships/hyperlink" Target="https://scholar.google.com/citations?view_op=view_citation&amp;hl=id&amp;user=ke6VGi0AAAAJ&amp;sortby=pubdate&amp;citation_for_view=ke6VGi0AAAAJ:u-x6o8ySG0sC" TargetMode="External"/><Relationship Id="rId106" Type="http://schemas.openxmlformats.org/officeDocument/2006/relationships/hyperlink" Target="https://scholar.google.com/citations?view_op=view_citation&amp;hl=id&amp;user=ysWaNAsAAAAJ&amp;sortby=pubdate&amp;authuser=1&amp;citation_for_view=ysWaNAsAAAAJ:RYcK_YlVTxYC" TargetMode="External"/><Relationship Id="rId348" Type="http://schemas.openxmlformats.org/officeDocument/2006/relationships/hyperlink" Target="https://scholar.google.com/citations?view_op=view_citation&amp;hl=id&amp;user=ke6VGi0AAAAJ&amp;sortby=pubdate&amp;citation_for_view=ke6VGi0AAAAJ:u-x6o8ySG0sC" TargetMode="External"/><Relationship Id="rId105" Type="http://schemas.openxmlformats.org/officeDocument/2006/relationships/hyperlink" Target="https://scholar.google.com/citations?view_op=view_citation&amp;hl=id&amp;user=ysWaNAsAAAAJ&amp;pagesize=100&amp;citation_for_view=ysWaNAsAAAAJ:GnPB-g6toBAC" TargetMode="External"/><Relationship Id="rId347" Type="http://schemas.openxmlformats.org/officeDocument/2006/relationships/hyperlink" Target="https://scholar.google.com/citations?view_op=view_citation&amp;hl=id&amp;user=ke6VGi0AAAAJ&amp;sortby=pubdate&amp;citation_for_view=ke6VGi0AAAAJ:WF5omc3nYNoC" TargetMode="External"/><Relationship Id="rId589" Type="http://schemas.openxmlformats.org/officeDocument/2006/relationships/hyperlink" Target="https://scholar.google.com/citations?view_op=view_citation&amp;hl=id&amp;user=A1592kEAAAAJ&amp;sortby=pubdate&amp;citation_for_view=A1592kEAAAAJ:s1ouQE5r0WUC" TargetMode="External"/><Relationship Id="rId104" Type="http://schemas.openxmlformats.org/officeDocument/2006/relationships/hyperlink" Target="http://nstproceeding.com/index.php/nuscientech/article/view/892" TargetMode="External"/><Relationship Id="rId346" Type="http://schemas.openxmlformats.org/officeDocument/2006/relationships/hyperlink" Target="https://scholar.google.com/citations?view_op=view_citation&amp;hl=id&amp;user=ke6VGi0AAAAJ&amp;sortby=pubdate&amp;citation_for_view=ke6VGi0AAAAJ:WF5omc3nYNoC" TargetMode="External"/><Relationship Id="rId588" Type="http://schemas.openxmlformats.org/officeDocument/2006/relationships/hyperlink" Target="https://scholar.google.com/citations?view_op=view_citation&amp;hl=id&amp;user=A1592kEAAAAJ&amp;sortby=pubdate&amp;citation_for_view=A1592kEAAAAJ:s1ouQE5r0WUC" TargetMode="External"/><Relationship Id="rId109" Type="http://schemas.openxmlformats.org/officeDocument/2006/relationships/hyperlink" Target="https://openurl.ebsco.com/EPDB%3Agcd%3A14%3A12626030/detailv2?sid=ebsco%3Aplink%3Ascholar&amp;id=ebsco%3Agcd%3A164170249&amp;crl=c" TargetMode="External"/><Relationship Id="rId108" Type="http://schemas.openxmlformats.org/officeDocument/2006/relationships/hyperlink" Target="https://scholar.google.com/citations?view_op=view_citation&amp;hl=id&amp;user=ysWaNAsAAAAJ&amp;sortby=pubdate&amp;authuser=1&amp;citation_for_view=ysWaNAsAAAAJ:J_g5lzvAfSwC" TargetMode="External"/><Relationship Id="rId341" Type="http://schemas.openxmlformats.org/officeDocument/2006/relationships/hyperlink" Target="https://scholar.google.com/citations?view_op=view_citation&amp;hl=id&amp;user=ke6VGi0AAAAJ&amp;sortby=pubdate&amp;citation_for_view=ke6VGi0AAAAJ:LkGwnXOMwfcC" TargetMode="External"/><Relationship Id="rId583" Type="http://schemas.openxmlformats.org/officeDocument/2006/relationships/hyperlink" Target="https://scholar.google.com/citations?view_op=view_citation&amp;hl=id&amp;user=A1592kEAAAAJ&amp;sortby=pubdate&amp;citation_for_view=A1592kEAAAAJ:gFrPXmx1TSsC" TargetMode="External"/><Relationship Id="rId340" Type="http://schemas.openxmlformats.org/officeDocument/2006/relationships/hyperlink" Target="https://scholar.google.com/citations?view_op=view_citation&amp;hl=id&amp;user=ke6VGi0AAAAJ&amp;sortby=pubdate&amp;citation_for_view=ke6VGi0AAAAJ:LkGwnXOMwfcC" TargetMode="External"/><Relationship Id="rId582" Type="http://schemas.openxmlformats.org/officeDocument/2006/relationships/hyperlink" Target="https://scholar.google.com/citations?view_op=view_citation&amp;hl=id&amp;user=A1592kEAAAAJ&amp;sortby=pubdate&amp;citation_for_view=A1592kEAAAAJ:gFrPXmx1TSsC" TargetMode="External"/><Relationship Id="rId581" Type="http://schemas.openxmlformats.org/officeDocument/2006/relationships/hyperlink" Target="https://scholar.google.com/citations?view_op=view_citation&amp;hl=id&amp;user=A1592kEAAAAJ&amp;sortby=pubdate&amp;citation_for_view=A1592kEAAAAJ:Ei5r6KrKXVQC" TargetMode="External"/><Relationship Id="rId580" Type="http://schemas.openxmlformats.org/officeDocument/2006/relationships/hyperlink" Target="https://scholar.google.com/citations?view_op=view_citation&amp;hl=id&amp;user=A1592kEAAAAJ&amp;sortby=pubdate&amp;citation_for_view=A1592kEAAAAJ:Ei5r6KrKXVQC" TargetMode="External"/><Relationship Id="rId103" Type="http://schemas.openxmlformats.org/officeDocument/2006/relationships/hyperlink" Target="https://jurnal.polinema.ac.id/index.php/IJFTE/article/view/1334" TargetMode="External"/><Relationship Id="rId345" Type="http://schemas.openxmlformats.org/officeDocument/2006/relationships/hyperlink" Target="https://scholar.google.com/citations?view_op=view_citation&amp;hl=id&amp;user=ke6VGi0AAAAJ&amp;sortby=pubdate&amp;citation_for_view=ke6VGi0AAAAJ:roLk4NBRz8UC" TargetMode="External"/><Relationship Id="rId587" Type="http://schemas.openxmlformats.org/officeDocument/2006/relationships/hyperlink" Target="https://scholar.google.com/citations?view_op=view_citation&amp;hl=id&amp;user=A1592kEAAAAJ&amp;sortby=pubdate&amp;citation_for_view=A1592kEAAAAJ:WM2K3OHRCGMC" TargetMode="External"/><Relationship Id="rId102" Type="http://schemas.openxmlformats.org/officeDocument/2006/relationships/hyperlink" Target="https://www.jurnal.polgan.ac.id/index.php/sinkron/article/view/13055" TargetMode="External"/><Relationship Id="rId344" Type="http://schemas.openxmlformats.org/officeDocument/2006/relationships/hyperlink" Target="https://scholar.google.com/citations?view_op=view_citation&amp;hl=id&amp;user=ke6VGi0AAAAJ&amp;sortby=pubdate&amp;citation_for_view=ke6VGi0AAAAJ:roLk4NBRz8UC" TargetMode="External"/><Relationship Id="rId586" Type="http://schemas.openxmlformats.org/officeDocument/2006/relationships/hyperlink" Target="https://scholar.google.com/citations?view_op=view_citation&amp;hl=id&amp;user=A1592kEAAAAJ&amp;sortby=pubdate&amp;citation_for_view=A1592kEAAAAJ:WM2K3OHRCGMC" TargetMode="External"/><Relationship Id="rId101" Type="http://schemas.openxmlformats.org/officeDocument/2006/relationships/hyperlink" Target="http://jip.polinema.ac.id/ojs3/index.php/jip/article/view/1422" TargetMode="External"/><Relationship Id="rId343" Type="http://schemas.openxmlformats.org/officeDocument/2006/relationships/hyperlink" Target="https://scholar.google.com/citations?view_op=view_citation&amp;hl=id&amp;user=ke6VGi0AAAAJ&amp;sortby=pubdate&amp;citation_for_view=ke6VGi0AAAAJ:YsMSGLbcyi4C" TargetMode="External"/><Relationship Id="rId585" Type="http://schemas.openxmlformats.org/officeDocument/2006/relationships/hyperlink" Target="https://scholar.google.com/citations?view_op=view_citation&amp;hl=id&amp;user=A1592kEAAAAJ&amp;sortby=pubdate&amp;citation_for_view=A1592kEAAAAJ:IvSMUa3B7yYC" TargetMode="External"/><Relationship Id="rId100" Type="http://schemas.openxmlformats.org/officeDocument/2006/relationships/hyperlink" Target="https://pubs.aip.org/aip/acp/article-abstract/2531/1/050002/2887511/Design-and-implementation-of-online-tryout-system?redirectedFrom=fulltext" TargetMode="External"/><Relationship Id="rId342" Type="http://schemas.openxmlformats.org/officeDocument/2006/relationships/hyperlink" Target="https://scholar.google.com/citations?view_op=view_citation&amp;hl=id&amp;user=ke6VGi0AAAAJ&amp;sortby=pubdate&amp;citation_for_view=ke6VGi0AAAAJ:YsMSGLbcyi4C" TargetMode="External"/><Relationship Id="rId584" Type="http://schemas.openxmlformats.org/officeDocument/2006/relationships/hyperlink" Target="https://scholar.google.com/citations?view_op=view_citation&amp;hl=id&amp;user=A1592kEAAAAJ&amp;sortby=pubdate&amp;citation_for_view=A1592kEAAAAJ:IvSMUa3B7yYC" TargetMode="External"/><Relationship Id="rId338" Type="http://schemas.openxmlformats.org/officeDocument/2006/relationships/hyperlink" Target="https://scholar.google.com/citations?view_op=view_citation&amp;hl=id&amp;user=UkVZyQ0AAAAJ&amp;sortby=pubdate&amp;citation_for_view=UkVZyQ0AAAAJ:QIV2ME_5wuYC" TargetMode="External"/><Relationship Id="rId337" Type="http://schemas.openxmlformats.org/officeDocument/2006/relationships/hyperlink" Target="https://scholar.google.com/citations?view_op=view_citation&amp;hl=id&amp;user=UkVZyQ0AAAAJ&amp;sortby=pubdate&amp;citation_for_view=UkVZyQ0AAAAJ:j3f4tGmQtD8C" TargetMode="External"/><Relationship Id="rId579" Type="http://schemas.openxmlformats.org/officeDocument/2006/relationships/hyperlink" Target="https://scholar.google.com/citations?view_op=view_citation&amp;hl=id&amp;user=A1592kEAAAAJ&amp;sortby=pubdate&amp;citation_for_view=A1592kEAAAAJ:KIRwYnRZzWQC" TargetMode="External"/><Relationship Id="rId336" Type="http://schemas.openxmlformats.org/officeDocument/2006/relationships/hyperlink" Target="https://scholar.google.com/citations?view_op=view_citation&amp;hl=id&amp;user=UkVZyQ0AAAAJ&amp;sortby=pubdate&amp;citation_for_view=UkVZyQ0AAAAJ:j3f4tGmQtD8C" TargetMode="External"/><Relationship Id="rId578" Type="http://schemas.openxmlformats.org/officeDocument/2006/relationships/hyperlink" Target="https://scholar.google.com/citations?view_op=view_citation&amp;hl=id&amp;user=A1592kEAAAAJ&amp;sortby=pubdate&amp;citation_for_view=A1592kEAAAAJ:KIRwYnRZzWQC" TargetMode="External"/><Relationship Id="rId335" Type="http://schemas.openxmlformats.org/officeDocument/2006/relationships/hyperlink" Target="https://scholar.google.com/citations?view_op=view_citation&amp;hl=id&amp;user=UkVZyQ0AAAAJ&amp;sortby=pubdate&amp;citation_for_view=UkVZyQ0AAAAJ:HDshCWvjkbEC" TargetMode="External"/><Relationship Id="rId577" Type="http://schemas.openxmlformats.org/officeDocument/2006/relationships/hyperlink" Target="https://scholar.google.com/citations?view_op=view_citation&amp;hl=id&amp;user=A1592kEAAAAJ&amp;sortby=pubdate&amp;citation_for_view=A1592kEAAAAJ:s2G-WRnXBicC" TargetMode="External"/><Relationship Id="rId339" Type="http://schemas.openxmlformats.org/officeDocument/2006/relationships/hyperlink" Target="https://scholar.google.com/citations?view_op=view_citation&amp;hl=id&amp;user=UkVZyQ0AAAAJ&amp;sortby=pubdate&amp;citation_for_view=UkVZyQ0AAAAJ:QIV2ME_5wuYC" TargetMode="External"/><Relationship Id="rId330" Type="http://schemas.openxmlformats.org/officeDocument/2006/relationships/hyperlink" Target="https://scholar.google.com/citations?view_op=view_citation&amp;hl=id&amp;user=UkVZyQ0AAAAJ&amp;sortby=pubdate&amp;citation_for_view=UkVZyQ0AAAAJ:IWHjjKOFINEC" TargetMode="External"/><Relationship Id="rId572" Type="http://schemas.openxmlformats.org/officeDocument/2006/relationships/hyperlink" Target="https://scholar.google.com/citations?view_op=view_citation&amp;hl=id&amp;user=A1592kEAAAAJ&amp;sortby=pubdate&amp;citation_for_view=A1592kEAAAAJ:j2GSQqY3pL0C" TargetMode="External"/><Relationship Id="rId571" Type="http://schemas.openxmlformats.org/officeDocument/2006/relationships/hyperlink" Target="https://scholar.google.com/citations?view_op=view_citation&amp;hl=id&amp;user=A1592kEAAAAJ&amp;sortby=pubdate&amp;citation_for_view=A1592kEAAAAJ:g30IDTdgJMgC" TargetMode="External"/><Relationship Id="rId570" Type="http://schemas.openxmlformats.org/officeDocument/2006/relationships/hyperlink" Target="https://scholar.google.com/citations?view_op=view_citation&amp;hl=id&amp;user=A1592kEAAAAJ&amp;sortby=pubdate&amp;citation_for_view=A1592kEAAAAJ:g30IDTdgJMgC" TargetMode="External"/><Relationship Id="rId334" Type="http://schemas.openxmlformats.org/officeDocument/2006/relationships/hyperlink" Target="https://scholar.google.com/citations?view_op=view_citation&amp;hl=id&amp;user=UkVZyQ0AAAAJ&amp;sortby=pubdate&amp;citation_for_view=UkVZyQ0AAAAJ:HDshCWvjkbEC" TargetMode="External"/><Relationship Id="rId576" Type="http://schemas.openxmlformats.org/officeDocument/2006/relationships/hyperlink" Target="https://scholar.google.com/citations?view_op=view_citation&amp;hl=id&amp;user=A1592kEAAAAJ&amp;sortby=pubdate&amp;citation_for_view=A1592kEAAAAJ:s2G-WRnXBicC" TargetMode="External"/><Relationship Id="rId333" Type="http://schemas.openxmlformats.org/officeDocument/2006/relationships/hyperlink" Target="https://scholar.google.com/citations?view_op=view_citation&amp;hl=id&amp;user=UkVZyQ0AAAAJ&amp;sortby=pubdate&amp;citation_for_view=UkVZyQ0AAAAJ:isC4tDSrTZIC" TargetMode="External"/><Relationship Id="rId575" Type="http://schemas.openxmlformats.org/officeDocument/2006/relationships/hyperlink" Target="https://scholar.google.com/citations?view_op=view_citation&amp;hl=id&amp;user=A1592kEAAAAJ&amp;sortby=pubdate&amp;citation_for_view=A1592kEAAAAJ:Q3-QASNKTMEC" TargetMode="External"/><Relationship Id="rId332" Type="http://schemas.openxmlformats.org/officeDocument/2006/relationships/hyperlink" Target="https://scholar.google.com/citations?view_op=view_citation&amp;hl=id&amp;user=UkVZyQ0AAAAJ&amp;sortby=pubdate&amp;citation_for_view=UkVZyQ0AAAAJ:isC4tDSrTZIC" TargetMode="External"/><Relationship Id="rId574" Type="http://schemas.openxmlformats.org/officeDocument/2006/relationships/hyperlink" Target="https://scholar.google.com/citations?view_op=view_citation&amp;hl=id&amp;user=A1592kEAAAAJ&amp;sortby=pubdate&amp;citation_for_view=A1592kEAAAAJ:Q3-QASNKTMEC" TargetMode="External"/><Relationship Id="rId331" Type="http://schemas.openxmlformats.org/officeDocument/2006/relationships/hyperlink" Target="https://scholar.google.com/citations?view_op=view_citation&amp;hl=id&amp;user=UkVZyQ0AAAAJ&amp;sortby=pubdate&amp;citation_for_view=UkVZyQ0AAAAJ:IWHjjKOFINEC" TargetMode="External"/><Relationship Id="rId573" Type="http://schemas.openxmlformats.org/officeDocument/2006/relationships/hyperlink" Target="https://scholar.google.com/citations?view_op=view_citation&amp;hl=id&amp;user=A1592kEAAAAJ&amp;sortby=pubdate&amp;citation_for_view=A1592kEAAAAJ:j2GSQqY3pL0C" TargetMode="External"/><Relationship Id="rId370" Type="http://schemas.openxmlformats.org/officeDocument/2006/relationships/hyperlink" Target="https://scholar.google.com/citations?view_op=view_citation&amp;hl=id&amp;user=z3yHGr0AAAAJ&amp;sortby=pubdate&amp;citation_for_view=z3yHGr0AAAAJ:3fE2CSJIrl8C" TargetMode="External"/><Relationship Id="rId129" Type="http://schemas.openxmlformats.org/officeDocument/2006/relationships/hyperlink" Target="https://scholar.google.co.id/citations?view_op=view_citation&amp;hl=id&amp;user=1DEg4z8AAAAJ&amp;sortby=pubdate&amp;citation_for_view=1DEg4z8AAAAJ:eQOLeE2rZwMC" TargetMode="External"/><Relationship Id="rId128" Type="http://schemas.openxmlformats.org/officeDocument/2006/relationships/hyperlink" Target="https://scholar.google.co.id/citations?view_op=view_citation&amp;hl=id&amp;user=1DEg4z8AAAAJ&amp;sortby=pubdate&amp;citation_for_view=1DEg4z8AAAAJ:WF5omc3nYNoC" TargetMode="External"/><Relationship Id="rId127" Type="http://schemas.openxmlformats.org/officeDocument/2006/relationships/hyperlink" Target="https://scholar.google.co.id/citations?view_op=view_citation&amp;hl=id&amp;user=1DEg4z8AAAAJ&amp;sortby=pubdate&amp;citation_for_view=1DEg4z8AAAAJ:_FxGoFyzp5QC" TargetMode="External"/><Relationship Id="rId369" Type="http://schemas.openxmlformats.org/officeDocument/2006/relationships/hyperlink" Target="https://scholar.google.com/citations?view_op=view_citation&amp;hl=id&amp;user=z3yHGr0AAAAJ&amp;sortby=pubdate&amp;citation_for_view=z3yHGr0AAAAJ:kNdYIx-mwKoC" TargetMode="External"/><Relationship Id="rId126" Type="http://schemas.openxmlformats.org/officeDocument/2006/relationships/hyperlink" Target="https://scholar.google.co.id/citations?view_op=view_citation&amp;hl=id&amp;user=1DEg4z8AAAAJ&amp;sortby=pubdate&amp;citation_for_view=1DEg4z8AAAAJ:LkGwnXOMwfcC" TargetMode="External"/><Relationship Id="rId368" Type="http://schemas.openxmlformats.org/officeDocument/2006/relationships/hyperlink" Target="https://scholar.google.com/citations?view_op=view_citation&amp;hl=id&amp;user=z3yHGr0AAAAJ&amp;sortby=pubdate&amp;citation_for_view=z3yHGr0AAAAJ:kNdYIx-mwKoC" TargetMode="External"/><Relationship Id="rId121" Type="http://schemas.openxmlformats.org/officeDocument/2006/relationships/hyperlink" Target="https://scholar.google.co.id/citations?view_op=view_citation&amp;hl=id&amp;user=1DEg4z8AAAAJ&amp;sortby=pubdate&amp;citation_for_view=1DEg4z8AAAAJ:0EnyYjriUFMC" TargetMode="External"/><Relationship Id="rId363" Type="http://schemas.openxmlformats.org/officeDocument/2006/relationships/hyperlink" Target="https://scholar.google.com/citations?view_op=view_citation&amp;hl=id&amp;user=z3yHGr0AAAAJ&amp;sortby=pubdate&amp;citation_for_view=z3yHGr0AAAAJ:ULOm3_A8WrAC" TargetMode="External"/><Relationship Id="rId120" Type="http://schemas.openxmlformats.org/officeDocument/2006/relationships/hyperlink" Target="https://scholar.google.co.id/citations?view_op=view_citation&amp;hl=id&amp;user=1DEg4z8AAAAJ&amp;sortby=pubdate&amp;citation_for_view=1DEg4z8AAAAJ:5nxA0vEk-isC" TargetMode="External"/><Relationship Id="rId362" Type="http://schemas.openxmlformats.org/officeDocument/2006/relationships/hyperlink" Target="https://scholar.google.com/citations?view_op=view_citation&amp;hl=id&amp;user=z3yHGr0AAAAJ&amp;sortby=pubdate&amp;citation_for_view=z3yHGr0AAAAJ:ULOm3_A8WrAC" TargetMode="External"/><Relationship Id="rId361" Type="http://schemas.openxmlformats.org/officeDocument/2006/relationships/hyperlink" Target="https://scholar.google.com/citations?view_op=view_citation&amp;hl=id&amp;user=z3yHGr0AAAAJ&amp;sortby=pubdate&amp;citation_for_view=z3yHGr0AAAAJ:4TOpqqG69KYC" TargetMode="External"/><Relationship Id="rId360" Type="http://schemas.openxmlformats.org/officeDocument/2006/relationships/hyperlink" Target="https://scholar.google.com/citations?view_op=view_citation&amp;hl=id&amp;user=z3yHGr0AAAAJ&amp;sortby=pubdate&amp;citation_for_view=z3yHGr0AAAAJ:4TOpqqG69KYC" TargetMode="External"/><Relationship Id="rId125" Type="http://schemas.openxmlformats.org/officeDocument/2006/relationships/hyperlink" Target="https://scholar.google.co.id/citations?view_op=view_citation&amp;hl=id&amp;user=1DEg4z8AAAAJ&amp;sortby=pubdate&amp;citation_for_view=1DEg4z8AAAAJ:roLk4NBRz8UC" TargetMode="External"/><Relationship Id="rId367" Type="http://schemas.openxmlformats.org/officeDocument/2006/relationships/hyperlink" Target="https://scholar.google.com/citations?view_op=view_citation&amp;hl=id&amp;user=z3yHGr0AAAAJ&amp;sortby=pubdate&amp;citation_for_view=z3yHGr0AAAAJ:YOwf2qJgpHMC" TargetMode="External"/><Relationship Id="rId124" Type="http://schemas.openxmlformats.org/officeDocument/2006/relationships/hyperlink" Target="https://scholar.google.co.id/citations?view_op=view_citation&amp;hl=id&amp;user=1DEg4z8AAAAJ&amp;sortby=pubdate&amp;citation_for_view=1DEg4z8AAAAJ:hqOjcs7Dif8C" TargetMode="External"/><Relationship Id="rId366" Type="http://schemas.openxmlformats.org/officeDocument/2006/relationships/hyperlink" Target="https://scholar.google.com/citations?view_op=view_citation&amp;hl=id&amp;user=z3yHGr0AAAAJ&amp;sortby=pubdate&amp;citation_for_view=z3yHGr0AAAAJ:YOwf2qJgpHMC" TargetMode="External"/><Relationship Id="rId123" Type="http://schemas.openxmlformats.org/officeDocument/2006/relationships/hyperlink" Target="https://scholar.google.co.id/citations?view_op=view_citation&amp;hl=id&amp;user=1DEg4z8AAAAJ&amp;sortby=pubdate&amp;citation_for_view=1DEg4z8AAAAJ:Se3iqnhoufwC" TargetMode="External"/><Relationship Id="rId365" Type="http://schemas.openxmlformats.org/officeDocument/2006/relationships/hyperlink" Target="https://scholar.google.com/citations?view_op=view_citation&amp;hl=id&amp;user=z3yHGr0AAAAJ&amp;sortby=pubdate&amp;citation_for_view=z3yHGr0AAAAJ:M3ejUd6NZC8C" TargetMode="External"/><Relationship Id="rId122" Type="http://schemas.openxmlformats.org/officeDocument/2006/relationships/hyperlink" Target="https://scholar.google.co.id/citations?view_op=view_citation&amp;hl=id&amp;user=1DEg4z8AAAAJ&amp;sortby=pubdate&amp;citation_for_view=1DEg4z8AAAAJ:UebtZRa9Y70C" TargetMode="External"/><Relationship Id="rId364" Type="http://schemas.openxmlformats.org/officeDocument/2006/relationships/hyperlink" Target="https://scholar.google.com/citations?view_op=view_citation&amp;hl=id&amp;user=z3yHGr0AAAAJ&amp;sortby=pubdate&amp;citation_for_view=z3yHGr0AAAAJ:M3ejUd6NZC8C" TargetMode="External"/><Relationship Id="rId95" Type="http://schemas.openxmlformats.org/officeDocument/2006/relationships/hyperlink" Target="https://scholar.google.com/citations?view_op=view_citation&amp;hl=id&amp;user=jetyPtUAAAAJ&amp;pagesize=100&amp;citation_for_view=jetyPtUAAAAJ:YOwf2qJgpHMC" TargetMode="External"/><Relationship Id="rId94" Type="http://schemas.openxmlformats.org/officeDocument/2006/relationships/hyperlink" Target="https://www.researchgate.net/profile/Banni-Andoko/publication/378302353_Experimental_Comparison_of_Promotion_Effect_for_EFL_Reading_Comprehension_between_Conventional_Summarization_and_Toulmin_Argument_Reconstruction/links/65d2c61701325d465211b069/Experimental-Comparison-of-Promotion-Effect-for-EFL-Reading-Comprehension-between-Conventional-Summarization-and-Toulmin-Argument-Reconstruction.pdf" TargetMode="External"/><Relationship Id="rId97" Type="http://schemas.openxmlformats.org/officeDocument/2006/relationships/hyperlink" Target="https://scholar.google.com/citations?view_op=view_citation&amp;hl=id&amp;user=jetyPtUAAAAJ&amp;sortby=pubdate&amp;authuser=1&amp;citation_for_view=jetyPtUAAAAJ:qxL8FJ1GzNcC" TargetMode="External"/><Relationship Id="rId96" Type="http://schemas.openxmlformats.org/officeDocument/2006/relationships/hyperlink" Target="https://scholar.google.com/citations?view_op=view_citation&amp;hl=id&amp;user=jetyPtUAAAAJ&amp;sortby=pubdate&amp;authuser=1&amp;citation_for_view=jetyPtUAAAAJ:4TOpqqG69KYC" TargetMode="External"/><Relationship Id="rId99" Type="http://schemas.openxmlformats.org/officeDocument/2006/relationships/hyperlink" Target="https://scholar.google.co.id/citations?view_op=view_citation&amp;hl=en&amp;user=ysWaNAsAAAAJ&amp;sortby=pubdate&amp;citation_for_view=ysWaNAsAAAAJ:u_35RYKgDlwC" TargetMode="External"/><Relationship Id="rId98" Type="http://schemas.openxmlformats.org/officeDocument/2006/relationships/hyperlink" Target="https://scholar.google.co.id/citations?view_op=view_citation&amp;hl=en&amp;user=ysWaNAsAAAAJ&amp;sortby=pubdate&amp;citation_for_view=ysWaNAsAAAAJ:fPk4N6BV_jEC" TargetMode="External"/><Relationship Id="rId91" Type="http://schemas.openxmlformats.org/officeDocument/2006/relationships/hyperlink" Target="https://ieeexplore.ieee.org/abstract/document/10348365" TargetMode="External"/><Relationship Id="rId90" Type="http://schemas.openxmlformats.org/officeDocument/2006/relationships/hyperlink" Target="https://ejournal.undiksha.ac.id/index.php/janapati/article/view/60629" TargetMode="External"/><Relationship Id="rId93" Type="http://schemas.openxmlformats.org/officeDocument/2006/relationships/hyperlink" Target="https://ieeexplore.ieee.org/abstract/document/10335593" TargetMode="External"/><Relationship Id="rId92" Type="http://schemas.openxmlformats.org/officeDocument/2006/relationships/hyperlink" Target="https://jtia.polinema.ac.id/index.php/jtia/article/view/73" TargetMode="External"/><Relationship Id="rId118" Type="http://schemas.openxmlformats.org/officeDocument/2006/relationships/hyperlink" Target="https://scholar.google.com/citations?view_op=view_citation&amp;hl=id&amp;user=jsZm5usAAAAJ&amp;pagesize=100&amp;citation_for_view=jsZm5usAAAAJ:dfsIfKJdRG4C" TargetMode="External"/><Relationship Id="rId117" Type="http://schemas.openxmlformats.org/officeDocument/2006/relationships/hyperlink" Target="https://scholar.google.com/citations?view_op=view_citation&amp;hl=id&amp;user=uWkPfW8AAAAJ&amp;pagesize=100&amp;citation_for_view=uWkPfW8AAAAJ:_kc_bZDykSQC" TargetMode="External"/><Relationship Id="rId359" Type="http://schemas.openxmlformats.org/officeDocument/2006/relationships/hyperlink" Target="https://scholar.google.com/citations?view_op=view_citation&amp;hl=id&amp;user=z3yHGr0AAAAJ&amp;sortby=pubdate&amp;citation_for_view=z3yHGr0AAAAJ:aqlVkmm33-oC" TargetMode="External"/><Relationship Id="rId116" Type="http://schemas.openxmlformats.org/officeDocument/2006/relationships/hyperlink" Target="https://scholar.google.com/citations?view_op=view_citation&amp;hl=id&amp;user=uWkPfW8AAAAJ&amp;sortby=pubdate&amp;citation_for_view=uWkPfW8AAAAJ:Wp0gIr-vW9MC" TargetMode="External"/><Relationship Id="rId358" Type="http://schemas.openxmlformats.org/officeDocument/2006/relationships/hyperlink" Target="https://scholar.google.com/citations?view_op=view_citation&amp;hl=id&amp;user=z3yHGr0AAAAJ&amp;sortby=pubdate&amp;citation_for_view=z3yHGr0AAAAJ:aqlVkmm33-oC" TargetMode="External"/><Relationship Id="rId115" Type="http://schemas.openxmlformats.org/officeDocument/2006/relationships/hyperlink" Target="https://scholar.google.com/citations?view_op=view_citation&amp;hl=id&amp;user=jsZm5usAAAAJ&amp;pagesize=100&amp;citation_for_view=jsZm5usAAAAJ:u_35RYKgDlwC" TargetMode="External"/><Relationship Id="rId357" Type="http://schemas.openxmlformats.org/officeDocument/2006/relationships/hyperlink" Target="https://scholar.google.com/citations?view_op=view_citation&amp;hl=id&amp;user=ke6VGi0AAAAJ&amp;sortby=pubdate&amp;citation_for_view=ke6VGi0AAAAJ:UebtZRa9Y70C" TargetMode="External"/><Relationship Id="rId599" Type="http://schemas.openxmlformats.org/officeDocument/2006/relationships/hyperlink" Target="https://scholar.google.com/citations?view_op=view_citation&amp;hl=id&amp;user=A1592kEAAAAJ&amp;sortby=pubdate&amp;citation_for_view=A1592kEAAAAJ:DGzKIA18-3YC" TargetMode="External"/><Relationship Id="rId119" Type="http://schemas.openxmlformats.org/officeDocument/2006/relationships/hyperlink" Target="https://scholar.google.com/citations?view_op=view_citation&amp;hl=id&amp;user=jsZm5usAAAAJ&amp;sortby=pubdate&amp;authuser=1&amp;citation_for_view=jsZm5usAAAAJ:f2IySw72cVMC" TargetMode="External"/><Relationship Id="rId110" Type="http://schemas.openxmlformats.org/officeDocument/2006/relationships/hyperlink" Target="https://journal.uinjkt.ac.id/index.php/aism/article/view/31396" TargetMode="External"/><Relationship Id="rId352" Type="http://schemas.openxmlformats.org/officeDocument/2006/relationships/hyperlink" Target="https://scholar.google.com/citations?view_op=view_citation&amp;hl=id&amp;user=ke6VGi0AAAAJ&amp;sortby=pubdate&amp;citation_for_view=ke6VGi0AAAAJ:zYLM7Y9cAGgC" TargetMode="External"/><Relationship Id="rId594" Type="http://schemas.openxmlformats.org/officeDocument/2006/relationships/hyperlink" Target="https://scholar.google.com/citations?view_op=view_citation&amp;hl=id&amp;user=A1592kEAAAAJ&amp;sortby=pubdate&amp;citation_for_view=A1592kEAAAAJ:j7XjBeKFbTsC" TargetMode="External"/><Relationship Id="rId351" Type="http://schemas.openxmlformats.org/officeDocument/2006/relationships/hyperlink" Target="https://scholar.google.com/citations?view_op=view_citation&amp;hl=id&amp;user=ke6VGi0AAAAJ&amp;sortby=pubdate&amp;citation_for_view=ke6VGi0AAAAJ:Tyk-4Ss8FVUC" TargetMode="External"/><Relationship Id="rId593" Type="http://schemas.openxmlformats.org/officeDocument/2006/relationships/hyperlink" Target="https://scholar.google.com/citations?view_op=view_citation&amp;hl=id&amp;user=A1592kEAAAAJ&amp;sortby=pubdate&amp;citation_for_view=A1592kEAAAAJ:bCjgOgSFrM0C" TargetMode="External"/><Relationship Id="rId350" Type="http://schemas.openxmlformats.org/officeDocument/2006/relationships/hyperlink" Target="https://scholar.google.com/citations?view_op=view_citation&amp;hl=id&amp;user=ke6VGi0AAAAJ&amp;sortby=pubdate&amp;citation_for_view=ke6VGi0AAAAJ:Tyk-4Ss8FVUC" TargetMode="External"/><Relationship Id="rId592" Type="http://schemas.openxmlformats.org/officeDocument/2006/relationships/hyperlink" Target="https://scholar.google.com/citations?view_op=view_citation&amp;hl=id&amp;user=A1592kEAAAAJ&amp;sortby=pubdate&amp;citation_for_view=A1592kEAAAAJ:bCjgOgSFrM0C" TargetMode="External"/><Relationship Id="rId591" Type="http://schemas.openxmlformats.org/officeDocument/2006/relationships/hyperlink" Target="https://scholar.google.com/citations?view_op=view_citation&amp;hl=id&amp;user=A1592kEAAAAJ&amp;sortby=pubdate&amp;citation_for_view=A1592kEAAAAJ:TiIbgCYny7sC" TargetMode="External"/><Relationship Id="rId114" Type="http://schemas.openxmlformats.org/officeDocument/2006/relationships/hyperlink" Target="https://ieeexplore.ieee.org/abstract/document/10420620" TargetMode="External"/><Relationship Id="rId356" Type="http://schemas.openxmlformats.org/officeDocument/2006/relationships/hyperlink" Target="https://scholar.google.com/citations?view_op=view_citation&amp;hl=id&amp;user=ke6VGi0AAAAJ&amp;sortby=pubdate&amp;citation_for_view=ke6VGi0AAAAJ:UebtZRa9Y70C" TargetMode="External"/><Relationship Id="rId598" Type="http://schemas.openxmlformats.org/officeDocument/2006/relationships/hyperlink" Target="https://scholar.google.com/citations?view_op=view_citation&amp;hl=id&amp;user=A1592kEAAAAJ&amp;sortby=pubdate&amp;citation_for_view=A1592kEAAAAJ:DGzKIA18-3YC" TargetMode="External"/><Relationship Id="rId113" Type="http://schemas.openxmlformats.org/officeDocument/2006/relationships/hyperlink" Target="https://ejournal.unikama.ac.id/index.php/jst/article/view/8390" TargetMode="External"/><Relationship Id="rId355" Type="http://schemas.openxmlformats.org/officeDocument/2006/relationships/hyperlink" Target="https://scholar.google.com/citations?view_op=view_citation&amp;hl=id&amp;user=ke6VGi0AAAAJ&amp;sortby=pubdate&amp;citation_for_view=ke6VGi0AAAAJ:IjCSPb-OGe4C" TargetMode="External"/><Relationship Id="rId597" Type="http://schemas.openxmlformats.org/officeDocument/2006/relationships/hyperlink" Target="https://scholar.google.com/citations?view_op=view_citation&amp;hl=id&amp;user=A1592kEAAAAJ&amp;sortby=pubdate&amp;citation_for_view=A1592kEAAAAJ:o9ULDYDKYbIC" TargetMode="External"/><Relationship Id="rId112" Type="http://schemas.openxmlformats.org/officeDocument/2006/relationships/hyperlink" Target="https://ieeexplore.ieee.org/abstract/document/10420689" TargetMode="External"/><Relationship Id="rId354" Type="http://schemas.openxmlformats.org/officeDocument/2006/relationships/hyperlink" Target="https://scholar.google.com/citations?view_op=view_citation&amp;hl=id&amp;user=ke6VGi0AAAAJ&amp;sortby=pubdate&amp;citation_for_view=ke6VGi0AAAAJ:IjCSPb-OGe4C" TargetMode="External"/><Relationship Id="rId596" Type="http://schemas.openxmlformats.org/officeDocument/2006/relationships/hyperlink" Target="https://scholar.google.com/citations?view_op=view_citation&amp;hl=id&amp;user=A1592kEAAAAJ&amp;sortby=pubdate&amp;citation_for_view=A1592kEAAAAJ:o9ULDYDKYbIC" TargetMode="External"/><Relationship Id="rId111" Type="http://schemas.openxmlformats.org/officeDocument/2006/relationships/hyperlink" Target="https://ieeexplore.ieee.org/abstract/document/10335525" TargetMode="External"/><Relationship Id="rId353" Type="http://schemas.openxmlformats.org/officeDocument/2006/relationships/hyperlink" Target="https://scholar.google.com/citations?view_op=view_citation&amp;hl=id&amp;user=ke6VGi0AAAAJ&amp;sortby=pubdate&amp;citation_for_view=ke6VGi0AAAAJ:zYLM7Y9cAGgC" TargetMode="External"/><Relationship Id="rId595" Type="http://schemas.openxmlformats.org/officeDocument/2006/relationships/hyperlink" Target="https://scholar.google.com/citations?view_op=view_citation&amp;hl=id&amp;user=A1592kEAAAAJ&amp;sortby=pubdate&amp;citation_for_view=A1592kEAAAAJ:j7XjBeKFbTsC" TargetMode="External"/><Relationship Id="rId305" Type="http://schemas.openxmlformats.org/officeDocument/2006/relationships/hyperlink" Target="https://scholar.google.com/citations?view_op=view_citation&amp;hl=id&amp;user=WwrDWnEAAAAJ&amp;sortby=pubdate&amp;citation_for_view=WwrDWnEAAAAJ:uWQEDVKXjbEC" TargetMode="External"/><Relationship Id="rId547" Type="http://schemas.openxmlformats.org/officeDocument/2006/relationships/hyperlink" Target="https://scholar.google.com/citations?view_op=view_citation&amp;hl=id&amp;user=UOVG-wcAAAAJ&amp;sortby=pubdate&amp;citation_for_view=UOVG-wcAAAAJ:Wp0gIr-vW9MC" TargetMode="External"/><Relationship Id="rId789" Type="http://schemas.openxmlformats.org/officeDocument/2006/relationships/hyperlink" Target="https://scholar.google.com/citations?view_op=view_citation&amp;hl=id&amp;user=H3IYHJUAAAAJ&amp;sortby=pubdate&amp;citation_for_view=H3IYHJUAAAAJ:geHnlv5EZngC" TargetMode="External"/><Relationship Id="rId304" Type="http://schemas.openxmlformats.org/officeDocument/2006/relationships/hyperlink" Target="https://scholar.google.com/citations?view_op=view_citation&amp;hl=id&amp;user=WwrDWnEAAAAJ&amp;sortby=pubdate&amp;citation_for_view=WwrDWnEAAAAJ:uWQEDVKXjbEC" TargetMode="External"/><Relationship Id="rId546" Type="http://schemas.openxmlformats.org/officeDocument/2006/relationships/hyperlink" Target="https://scholar.google.com/citations?view_op=view_citation&amp;hl=id&amp;user=UOVG-wcAAAAJ&amp;sortby=pubdate&amp;citation_for_view=UOVG-wcAAAAJ:Wp0gIr-vW9MC" TargetMode="External"/><Relationship Id="rId788" Type="http://schemas.openxmlformats.org/officeDocument/2006/relationships/hyperlink" Target="https://scholar.google.com/citations?view_op=view_citation&amp;hl=id&amp;user=H3IYHJUAAAAJ&amp;sortby=pubdate&amp;citation_for_view=H3IYHJUAAAAJ:geHnlv5EZngC" TargetMode="External"/><Relationship Id="rId303" Type="http://schemas.openxmlformats.org/officeDocument/2006/relationships/hyperlink" Target="https://scholar.google.com/citations?view_op=view_citation&amp;hl=id&amp;user=WwrDWnEAAAAJ&amp;sortby=pubdate&amp;citation_for_view=WwrDWnEAAAAJ:geHnlv5EZngC" TargetMode="External"/><Relationship Id="rId545" Type="http://schemas.openxmlformats.org/officeDocument/2006/relationships/hyperlink" Target="https://scholar.google.com/citations?view_op=view_citation&amp;hl=id&amp;user=UOVG-wcAAAAJ&amp;sortby=pubdate&amp;citation_for_view=UOVG-wcAAAAJ:QIV2ME_5wuYC" TargetMode="External"/><Relationship Id="rId787" Type="http://schemas.openxmlformats.org/officeDocument/2006/relationships/hyperlink" Target="https://scholar.google.com/citations?view_op=view_citation&amp;hl=id&amp;user=H3IYHJUAAAAJ&amp;sortby=pubdate&amp;citation_for_view=H3IYHJUAAAAJ:tS2w5q8j5-wC" TargetMode="External"/><Relationship Id="rId302" Type="http://schemas.openxmlformats.org/officeDocument/2006/relationships/hyperlink" Target="https://scholar.google.com/citations?view_op=view_citation&amp;hl=id&amp;user=WwrDWnEAAAAJ&amp;sortby=pubdate&amp;citation_for_view=WwrDWnEAAAAJ:geHnlv5EZngC" TargetMode="External"/><Relationship Id="rId544" Type="http://schemas.openxmlformats.org/officeDocument/2006/relationships/hyperlink" Target="https://scholar.google.com/citations?view_op=view_citation&amp;hl=id&amp;user=UOVG-wcAAAAJ&amp;sortby=pubdate&amp;citation_for_view=UOVG-wcAAAAJ:QIV2ME_5wuYC" TargetMode="External"/><Relationship Id="rId786" Type="http://schemas.openxmlformats.org/officeDocument/2006/relationships/hyperlink" Target="https://scholar.google.com/citations?view_op=view_citation&amp;hl=id&amp;user=H3IYHJUAAAAJ&amp;sortby=pubdate&amp;citation_for_view=H3IYHJUAAAAJ:tS2w5q8j5-wC" TargetMode="External"/><Relationship Id="rId309" Type="http://schemas.openxmlformats.org/officeDocument/2006/relationships/hyperlink" Target="https://scholar.google.com/citations?view_op=view_citation&amp;hl=id&amp;user=mxVOikUAAAAJ&amp;sortby=pubdate&amp;citation_for_view=mxVOikUAAAAJ:roLk4NBRz8UC" TargetMode="External"/><Relationship Id="rId308" Type="http://schemas.openxmlformats.org/officeDocument/2006/relationships/hyperlink" Target="https://scholar.google.com/citations?view_op=view_citation&amp;hl=id&amp;user=mxVOikUAAAAJ&amp;sortby=pubdate&amp;citation_for_view=mxVOikUAAAAJ:roLk4NBRz8UC" TargetMode="External"/><Relationship Id="rId307" Type="http://schemas.openxmlformats.org/officeDocument/2006/relationships/hyperlink" Target="https://scholar.google.com/citations?view_op=view_citation&amp;hl=id&amp;user=WwrDWnEAAAAJ&amp;sortby=pubdate&amp;citation_for_view=WwrDWnEAAAAJ:tOudhMTPpwUC" TargetMode="External"/><Relationship Id="rId549" Type="http://schemas.openxmlformats.org/officeDocument/2006/relationships/hyperlink" Target="https://scholar.google.com/citations?view_op=view_citation&amp;hl=id&amp;user=UOVG-wcAAAAJ&amp;sortby=pubdate&amp;citation_for_view=UOVG-wcAAAAJ:7PzlFSSx8tAC" TargetMode="External"/><Relationship Id="rId306" Type="http://schemas.openxmlformats.org/officeDocument/2006/relationships/hyperlink" Target="https://scholar.google.com/citations?view_op=view_citation&amp;hl=id&amp;user=WwrDWnEAAAAJ&amp;sortby=pubdate&amp;citation_for_view=WwrDWnEAAAAJ:tOudhMTPpwUC" TargetMode="External"/><Relationship Id="rId548" Type="http://schemas.openxmlformats.org/officeDocument/2006/relationships/hyperlink" Target="https://scholar.google.com/citations?view_op=view_citation&amp;hl=id&amp;user=UOVG-wcAAAAJ&amp;sortby=pubdate&amp;citation_for_view=UOVG-wcAAAAJ:7PzlFSSx8tAC" TargetMode="External"/><Relationship Id="rId781" Type="http://schemas.openxmlformats.org/officeDocument/2006/relationships/hyperlink" Target="https://scholar.google.com/citations?view_op=view_citation&amp;hl=id&amp;user=W4xRFkQAAAAJ&amp;sortby=pubdate&amp;citation_for_view=W4xRFkQAAAAJ:Se3iqnhoufwC" TargetMode="External"/><Relationship Id="rId780" Type="http://schemas.openxmlformats.org/officeDocument/2006/relationships/hyperlink" Target="https://scholar.google.com/citations?view_op=view_citation&amp;hl=id&amp;user=W4xRFkQAAAAJ&amp;sortby=pubdate&amp;citation_for_view=W4xRFkQAAAAJ:Se3iqnhoufwC" TargetMode="External"/><Relationship Id="rId301" Type="http://schemas.openxmlformats.org/officeDocument/2006/relationships/hyperlink" Target="https://scholar.google.com/citations?view_op=view_citation&amp;hl=id&amp;user=WwrDWnEAAAAJ&amp;sortby=pubdate&amp;citation_for_view=WwrDWnEAAAAJ:8AbLer7MMksC" TargetMode="External"/><Relationship Id="rId543" Type="http://schemas.openxmlformats.org/officeDocument/2006/relationships/hyperlink" Target="https://scholar.google.com/citations?view_op=view_citation&amp;hl=id&amp;user=UOVG-wcAAAAJ&amp;sortby=pubdate&amp;citation_for_view=UOVG-wcAAAAJ:ZeXyd9-uunAC" TargetMode="External"/><Relationship Id="rId785" Type="http://schemas.openxmlformats.org/officeDocument/2006/relationships/hyperlink" Target="https://scholar.google.com/citations?view_op=view_citation&amp;hl=id&amp;user=H3IYHJUAAAAJ&amp;sortby=pubdate&amp;citation_for_view=H3IYHJUAAAAJ:8AbLer7MMksC" TargetMode="External"/><Relationship Id="rId300" Type="http://schemas.openxmlformats.org/officeDocument/2006/relationships/hyperlink" Target="https://scholar.google.com/citations?view_op=view_citation&amp;hl=id&amp;user=WwrDWnEAAAAJ&amp;sortby=pubdate&amp;citation_for_view=WwrDWnEAAAAJ:8AbLer7MMksC" TargetMode="External"/><Relationship Id="rId542" Type="http://schemas.openxmlformats.org/officeDocument/2006/relationships/hyperlink" Target="https://scholar.google.com/citations?view_op=view_citation&amp;hl=id&amp;user=UOVG-wcAAAAJ&amp;sortby=pubdate&amp;citation_for_view=UOVG-wcAAAAJ:ZeXyd9-uunAC" TargetMode="External"/><Relationship Id="rId784" Type="http://schemas.openxmlformats.org/officeDocument/2006/relationships/hyperlink" Target="https://scholar.google.com/citations?view_op=view_citation&amp;hl=id&amp;user=H3IYHJUAAAAJ&amp;sortby=pubdate&amp;citation_for_view=H3IYHJUAAAAJ:8AbLer7MMksC" TargetMode="External"/><Relationship Id="rId541" Type="http://schemas.openxmlformats.org/officeDocument/2006/relationships/hyperlink" Target="https://scholar.google.com/citations?view_op=view_citation&amp;hl=id&amp;user=3_JQcaYAAAAJ&amp;sortby=pubdate&amp;citation_for_view=3_JQcaYAAAAJ:2osOgNQ5qMEC" TargetMode="External"/><Relationship Id="rId783" Type="http://schemas.openxmlformats.org/officeDocument/2006/relationships/hyperlink" Target="https://scholar.google.com/citations?view_op=view_citation&amp;hl=id&amp;user=H3IYHJUAAAAJ&amp;sortby=pubdate&amp;citation_for_view=H3IYHJUAAAAJ:5Ul4iDaHHb8C" TargetMode="External"/><Relationship Id="rId540" Type="http://schemas.openxmlformats.org/officeDocument/2006/relationships/hyperlink" Target="https://scholar.google.com/citations?view_op=view_citation&amp;hl=id&amp;user=3_JQcaYAAAAJ&amp;sortby=pubdate&amp;citation_for_view=3_JQcaYAAAAJ:2osOgNQ5qMEC" TargetMode="External"/><Relationship Id="rId782" Type="http://schemas.openxmlformats.org/officeDocument/2006/relationships/hyperlink" Target="https://scholar.google.com/citations?view_op=view_citation&amp;hl=id&amp;user=H3IYHJUAAAAJ&amp;sortby=pubdate&amp;citation_for_view=H3IYHJUAAAAJ:5Ul4iDaHHb8C" TargetMode="External"/><Relationship Id="rId536" Type="http://schemas.openxmlformats.org/officeDocument/2006/relationships/hyperlink" Target="https://scholar.google.com/citations?view_op=view_citation&amp;hl=id&amp;user=3_JQcaYAAAAJ&amp;sortby=pubdate&amp;citation_for_view=3_JQcaYAAAAJ:Y0pCki6q_DkC" TargetMode="External"/><Relationship Id="rId778" Type="http://schemas.openxmlformats.org/officeDocument/2006/relationships/hyperlink" Target="https://scholar.google.com/citations?view_op=view_citation&amp;hl=id&amp;user=W4xRFkQAAAAJ&amp;sortby=pubdate&amp;citation_for_view=W4xRFkQAAAAJ:8k81kl-MbHgC" TargetMode="External"/><Relationship Id="rId535" Type="http://schemas.openxmlformats.org/officeDocument/2006/relationships/hyperlink" Target="https://scholar.google.com/citations?view_op=view_citation&amp;hl=id&amp;user=IBI15IQAAAAJ&amp;sortby=pubdate&amp;citation_for_view=IBI15IQAAAAJ:u-x6o8ySG0sC" TargetMode="External"/><Relationship Id="rId777" Type="http://schemas.openxmlformats.org/officeDocument/2006/relationships/hyperlink" Target="https://scholar.google.com/citations?view_op=view_citation&amp;hl=id&amp;user=W4xRFkQAAAAJ&amp;sortby=pubdate&amp;citation_for_view=W4xRFkQAAAAJ:3fE2CSJIrl8C" TargetMode="External"/><Relationship Id="rId534" Type="http://schemas.openxmlformats.org/officeDocument/2006/relationships/hyperlink" Target="https://scholar.google.com/citations?view_op=view_citation&amp;hl=id&amp;user=IBI15IQAAAAJ&amp;sortby=pubdate&amp;citation_for_view=IBI15IQAAAAJ:u-x6o8ySG0sC" TargetMode="External"/><Relationship Id="rId776" Type="http://schemas.openxmlformats.org/officeDocument/2006/relationships/hyperlink" Target="https://scholar.google.com/citations?view_op=view_citation&amp;hl=id&amp;user=W4xRFkQAAAAJ&amp;sortby=pubdate&amp;citation_for_view=W4xRFkQAAAAJ:3fE2CSJIrl8C" TargetMode="External"/><Relationship Id="rId533" Type="http://schemas.openxmlformats.org/officeDocument/2006/relationships/hyperlink" Target="https://scholar.google.com/citations?view_op=view_citation&amp;hl=id&amp;user=MQ8PcCgAAAAJ&amp;sortby=pubdate&amp;citation_for_view=MQ8PcCgAAAAJ:qUcmZB5y_30C" TargetMode="External"/><Relationship Id="rId775" Type="http://schemas.openxmlformats.org/officeDocument/2006/relationships/hyperlink" Target="https://scholar.google.com/citations?view_op=view_citation&amp;hl=id&amp;user=W4xRFkQAAAAJ&amp;sortby=pubdate&amp;citation_for_view=W4xRFkQAAAAJ:ULOm3_A8WrAC" TargetMode="External"/><Relationship Id="rId539" Type="http://schemas.openxmlformats.org/officeDocument/2006/relationships/hyperlink" Target="https://scholar.google.com/citations?view_op=view_citation&amp;hl=id&amp;user=3_JQcaYAAAAJ&amp;sortby=pubdate&amp;citation_for_view=3_JQcaYAAAAJ:YsMSGLbcyi4C" TargetMode="External"/><Relationship Id="rId538" Type="http://schemas.openxmlformats.org/officeDocument/2006/relationships/hyperlink" Target="https://scholar.google.com/citations?view_op=view_citation&amp;hl=id&amp;user=3_JQcaYAAAAJ&amp;sortby=pubdate&amp;citation_for_view=3_JQcaYAAAAJ:YsMSGLbcyi4C" TargetMode="External"/><Relationship Id="rId537" Type="http://schemas.openxmlformats.org/officeDocument/2006/relationships/hyperlink" Target="https://scholar.google.com/citations?view_op=view_citation&amp;hl=id&amp;user=3_JQcaYAAAAJ&amp;sortby=pubdate&amp;citation_for_view=3_JQcaYAAAAJ:Y0pCki6q_DkC" TargetMode="External"/><Relationship Id="rId779" Type="http://schemas.openxmlformats.org/officeDocument/2006/relationships/hyperlink" Target="https://scholar.google.com/citations?view_op=view_citation&amp;hl=id&amp;user=W4xRFkQAAAAJ&amp;sortby=pubdate&amp;citation_for_view=W4xRFkQAAAAJ:8k81kl-MbHgC" TargetMode="External"/><Relationship Id="rId770" Type="http://schemas.openxmlformats.org/officeDocument/2006/relationships/hyperlink" Target="https://scholar.google.com/citations?view_op=view_citation&amp;hl=id&amp;user=W4xRFkQAAAAJ&amp;sortby=pubdate&amp;citation_for_view=W4xRFkQAAAAJ:YOwf2qJgpHMC" TargetMode="External"/><Relationship Id="rId532" Type="http://schemas.openxmlformats.org/officeDocument/2006/relationships/hyperlink" Target="https://scholar.google.com/citations?view_op=view_citation&amp;hl=id&amp;user=MQ8PcCgAAAAJ&amp;sortby=pubdate&amp;citation_for_view=MQ8PcCgAAAAJ:qUcmZB5y_30C" TargetMode="External"/><Relationship Id="rId774" Type="http://schemas.openxmlformats.org/officeDocument/2006/relationships/hyperlink" Target="https://scholar.google.com/citations?view_op=view_citation&amp;hl=id&amp;user=W4xRFkQAAAAJ&amp;sortby=pubdate&amp;citation_for_view=W4xRFkQAAAAJ:ULOm3_A8WrAC" TargetMode="External"/><Relationship Id="rId531" Type="http://schemas.openxmlformats.org/officeDocument/2006/relationships/hyperlink" Target="https://scholar.google.com/citations?view_op=view_citation&amp;hl=id&amp;user=MQ8PcCgAAAAJ&amp;sortby=pubdate&amp;citation_for_view=MQ8PcCgAAAAJ:mB3voiENLucC" TargetMode="External"/><Relationship Id="rId773" Type="http://schemas.openxmlformats.org/officeDocument/2006/relationships/hyperlink" Target="https://scholar.google.com/citations?view_op=view_citation&amp;hl=id&amp;user=W4xRFkQAAAAJ&amp;sortby=pubdate&amp;citation_for_view=W4xRFkQAAAAJ:KlAtU1dfN6UC" TargetMode="External"/><Relationship Id="rId530" Type="http://schemas.openxmlformats.org/officeDocument/2006/relationships/hyperlink" Target="https://scholar.google.com/citations?view_op=view_citation&amp;hl=id&amp;user=MQ8PcCgAAAAJ&amp;sortby=pubdate&amp;citation_for_view=MQ8PcCgAAAAJ:mB3voiENLucC" TargetMode="External"/><Relationship Id="rId772" Type="http://schemas.openxmlformats.org/officeDocument/2006/relationships/hyperlink" Target="https://scholar.google.com/citations?view_op=view_citation&amp;hl=id&amp;user=W4xRFkQAAAAJ&amp;sortby=pubdate&amp;citation_for_view=W4xRFkQAAAAJ:KlAtU1dfN6UC" TargetMode="External"/><Relationship Id="rId771" Type="http://schemas.openxmlformats.org/officeDocument/2006/relationships/hyperlink" Target="https://scholar.google.com/citations?view_op=view_citation&amp;hl=id&amp;user=W4xRFkQAAAAJ&amp;sortby=pubdate&amp;citation_for_view=W4xRFkQAAAAJ:YOwf2qJgpHMC" TargetMode="External"/><Relationship Id="rId327" Type="http://schemas.openxmlformats.org/officeDocument/2006/relationships/hyperlink" Target="https://scholar.google.com/citations?view_op=view_citation&amp;hl=id&amp;user=UkVZyQ0AAAAJ&amp;sortby=pubdate&amp;citation_for_view=UkVZyQ0AAAAJ:_Qo2XoVZTnwC" TargetMode="External"/><Relationship Id="rId569" Type="http://schemas.openxmlformats.org/officeDocument/2006/relationships/hyperlink" Target="https://scholar.google.com/citations?view_op=view_citation&amp;hl=id&amp;user=A1592kEAAAAJ&amp;sortby=pubdate&amp;citation_for_view=A1592kEAAAAJ:-vzq6BoH5oUC" TargetMode="External"/><Relationship Id="rId326" Type="http://schemas.openxmlformats.org/officeDocument/2006/relationships/hyperlink" Target="https://scholar.google.com/citations?view_op=view_citation&amp;hl=id&amp;user=UkVZyQ0AAAAJ&amp;sortby=pubdate&amp;citation_for_view=UkVZyQ0AAAAJ:_Qo2XoVZTnwC" TargetMode="External"/><Relationship Id="rId568" Type="http://schemas.openxmlformats.org/officeDocument/2006/relationships/hyperlink" Target="https://scholar.google.com/citations?view_op=view_citation&amp;hl=id&amp;user=A1592kEAAAAJ&amp;sortby=pubdate&amp;citation_for_view=A1592kEAAAAJ:-vzq6BoH5oUC" TargetMode="External"/><Relationship Id="rId325" Type="http://schemas.openxmlformats.org/officeDocument/2006/relationships/hyperlink" Target="https://scholar.google.com/citations?view_op=view_citation&amp;hl=id&amp;user=UkVZyQ0AAAAJ&amp;sortby=pubdate&amp;citation_for_view=UkVZyQ0AAAAJ:e5wmG9Sq2KIC" TargetMode="External"/><Relationship Id="rId567" Type="http://schemas.openxmlformats.org/officeDocument/2006/relationships/hyperlink" Target="https://scholar.google.com/citations?view_op=view_citation&amp;hl=id&amp;user=A1592kEAAAAJ&amp;sortby=pubdate&amp;citation_for_view=A1592kEAAAAJ:U3qCfcK-7lkC" TargetMode="External"/><Relationship Id="rId324" Type="http://schemas.openxmlformats.org/officeDocument/2006/relationships/hyperlink" Target="https://scholar.google.com/citations?view_op=view_citation&amp;hl=id&amp;user=UkVZyQ0AAAAJ&amp;sortby=pubdate&amp;citation_for_view=UkVZyQ0AAAAJ:e5wmG9Sq2KIC" TargetMode="External"/><Relationship Id="rId566" Type="http://schemas.openxmlformats.org/officeDocument/2006/relationships/hyperlink" Target="https://scholar.google.com/citations?view_op=view_citation&amp;hl=id&amp;user=A1592kEAAAAJ&amp;sortby=pubdate&amp;citation_for_view=A1592kEAAAAJ:U3qCfcK-7lkC" TargetMode="External"/><Relationship Id="rId329" Type="http://schemas.openxmlformats.org/officeDocument/2006/relationships/hyperlink" Target="https://scholar.google.com/citations?view_op=view_citation&amp;hl=id&amp;user=UkVZyQ0AAAAJ&amp;sortby=pubdate&amp;citation_for_view=UkVZyQ0AAAAJ:-f6ydRqryjwC" TargetMode="External"/><Relationship Id="rId328" Type="http://schemas.openxmlformats.org/officeDocument/2006/relationships/hyperlink" Target="https://scholar.google.com/citations?view_op=view_citation&amp;hl=id&amp;user=UkVZyQ0AAAAJ&amp;sortby=pubdate&amp;citation_for_view=UkVZyQ0AAAAJ:-f6ydRqryjwC" TargetMode="External"/><Relationship Id="rId561" Type="http://schemas.openxmlformats.org/officeDocument/2006/relationships/hyperlink" Target="https://scholar.google.com/citations?view_op=view_citation&amp;hl=id&amp;user=UOVG-wcAAAAJ&amp;sortby=pubdate&amp;citation_for_view=UOVG-wcAAAAJ:9ZlFYXVOiuMC" TargetMode="External"/><Relationship Id="rId560" Type="http://schemas.openxmlformats.org/officeDocument/2006/relationships/hyperlink" Target="https://scholar.google.com/citations?view_op=view_citation&amp;hl=id&amp;user=UOVG-wcAAAAJ&amp;sortby=pubdate&amp;citation_for_view=UOVG-wcAAAAJ:9ZlFYXVOiuMC" TargetMode="External"/><Relationship Id="rId323" Type="http://schemas.openxmlformats.org/officeDocument/2006/relationships/hyperlink" Target="https://scholar.google.com/citations?view_op=view_citation&amp;hl=id&amp;user=UkVZyQ0AAAAJ&amp;sortby=pubdate&amp;citation_for_view=UkVZyQ0AAAAJ:RHpTSmoSYBkC" TargetMode="External"/><Relationship Id="rId565" Type="http://schemas.openxmlformats.org/officeDocument/2006/relationships/hyperlink" Target="https://scholar.google.com/citations?view_op=view_citation&amp;hl=id&amp;user=UOVG-wcAAAAJ&amp;sortby=pubdate&amp;citation_for_view=UOVG-wcAAAAJ:ufrVoPGSRksC" TargetMode="External"/><Relationship Id="rId322" Type="http://schemas.openxmlformats.org/officeDocument/2006/relationships/hyperlink" Target="https://scholar.google.com/citations?view_op=view_citation&amp;hl=id&amp;user=UkVZyQ0AAAAJ&amp;sortby=pubdate&amp;citation_for_view=UkVZyQ0AAAAJ:RHpTSmoSYBkC" TargetMode="External"/><Relationship Id="rId564" Type="http://schemas.openxmlformats.org/officeDocument/2006/relationships/hyperlink" Target="https://scholar.google.com/citations?view_op=view_citation&amp;hl=id&amp;user=UOVG-wcAAAAJ&amp;sortby=pubdate&amp;citation_for_view=UOVG-wcAAAAJ:ufrVoPGSRksC" TargetMode="External"/><Relationship Id="rId321" Type="http://schemas.openxmlformats.org/officeDocument/2006/relationships/hyperlink" Target="https://scholar.google.com/citations?view_op=view_citation&amp;hl=id&amp;user=UkVZyQ0AAAAJ&amp;sortby=pubdate&amp;citation_for_view=UkVZyQ0AAAAJ:4JMBOYKVnBMC" TargetMode="External"/><Relationship Id="rId563" Type="http://schemas.openxmlformats.org/officeDocument/2006/relationships/hyperlink" Target="https://scholar.google.com/citations?view_op=view_citation&amp;hl=id&amp;user=UOVG-wcAAAAJ&amp;sortby=pubdate&amp;citation_for_view=UOVG-wcAAAAJ:dhFuZR0502QC" TargetMode="External"/><Relationship Id="rId320" Type="http://schemas.openxmlformats.org/officeDocument/2006/relationships/hyperlink" Target="https://scholar.google.com/citations?view_op=view_citation&amp;hl=id&amp;user=UkVZyQ0AAAAJ&amp;sortby=pubdate&amp;citation_for_view=UkVZyQ0AAAAJ:4JMBOYKVnBMC" TargetMode="External"/><Relationship Id="rId562" Type="http://schemas.openxmlformats.org/officeDocument/2006/relationships/hyperlink" Target="https://scholar.google.com/citations?view_op=view_citation&amp;hl=id&amp;user=UOVG-wcAAAAJ&amp;sortby=pubdate&amp;citation_for_view=UOVG-wcAAAAJ:dhFuZR0502QC" TargetMode="External"/><Relationship Id="rId316" Type="http://schemas.openxmlformats.org/officeDocument/2006/relationships/hyperlink" Target="https://scholar.google.com/citations?view_op=view_citation&amp;hl=id&amp;user=mxVOikUAAAAJ&amp;sortby=pubdate&amp;citation_for_view=mxVOikUAAAAJ:Se3iqnhoufwC" TargetMode="External"/><Relationship Id="rId558" Type="http://schemas.openxmlformats.org/officeDocument/2006/relationships/hyperlink" Target="https://scholar.google.com/citations?view_op=view_citation&amp;hl=id&amp;user=UOVG-wcAAAAJ&amp;sortby=pubdate&amp;citation_for_view=UOVG-wcAAAAJ:ULOm3_A8WrAC" TargetMode="External"/><Relationship Id="rId315" Type="http://schemas.openxmlformats.org/officeDocument/2006/relationships/hyperlink" Target="https://scholar.google.com/citations?view_op=view_citation&amp;hl=id&amp;user=mxVOikUAAAAJ&amp;sortby=pubdate&amp;citation_for_view=mxVOikUAAAAJ:ufrVoPGSRksC" TargetMode="External"/><Relationship Id="rId557" Type="http://schemas.openxmlformats.org/officeDocument/2006/relationships/hyperlink" Target="https://scholar.google.com/citations?view_op=view_citation&amp;hl=id&amp;user=UOVG-wcAAAAJ&amp;sortby=pubdate&amp;citation_for_view=UOVG-wcAAAAJ:YOwf2qJgpHMC" TargetMode="External"/><Relationship Id="rId799" Type="http://schemas.openxmlformats.org/officeDocument/2006/relationships/hyperlink" Target="https://scholar.google.com/citations?view_op=view_citation&amp;hl=id&amp;user=H3IYHJUAAAAJ&amp;sortby=pubdate&amp;citation_for_view=H3IYHJUAAAAJ:l7t_Zn2s7bgC" TargetMode="External"/><Relationship Id="rId314" Type="http://schemas.openxmlformats.org/officeDocument/2006/relationships/hyperlink" Target="https://scholar.google.com/citations?view_op=view_citation&amp;hl=id&amp;user=mxVOikUAAAAJ&amp;sortby=pubdate&amp;citation_for_view=mxVOikUAAAAJ:ufrVoPGSRksC" TargetMode="External"/><Relationship Id="rId556" Type="http://schemas.openxmlformats.org/officeDocument/2006/relationships/hyperlink" Target="https://scholar.google.com/citations?view_op=view_citation&amp;hl=id&amp;user=UOVG-wcAAAAJ&amp;sortby=pubdate&amp;citation_for_view=UOVG-wcAAAAJ:YOwf2qJgpHMC" TargetMode="External"/><Relationship Id="rId798" Type="http://schemas.openxmlformats.org/officeDocument/2006/relationships/hyperlink" Target="https://scholar.google.com/citations?view_op=view_citation&amp;hl=id&amp;user=H3IYHJUAAAAJ&amp;sortby=pubdate&amp;citation_for_view=H3IYHJUAAAAJ:l7t_Zn2s7bgC" TargetMode="External"/><Relationship Id="rId313" Type="http://schemas.openxmlformats.org/officeDocument/2006/relationships/hyperlink" Target="https://scholar.google.com/citations?view_op=view_citation&amp;hl=id&amp;user=mxVOikUAAAAJ&amp;sortby=pubdate&amp;citation_for_view=mxVOikUAAAAJ:WF5omc3nYNoC" TargetMode="External"/><Relationship Id="rId555" Type="http://schemas.openxmlformats.org/officeDocument/2006/relationships/hyperlink" Target="https://scholar.google.com/citations?view_op=view_citation&amp;hl=id&amp;user=UOVG-wcAAAAJ&amp;sortby=pubdate&amp;citation_for_view=UOVG-wcAAAAJ:M3ejUd6NZC8C" TargetMode="External"/><Relationship Id="rId797" Type="http://schemas.openxmlformats.org/officeDocument/2006/relationships/hyperlink" Target="https://scholar.google.com/citations?view_op=view_citation&amp;hl=id&amp;user=H3IYHJUAAAAJ&amp;sortby=pubdate&amp;citation_for_view=H3IYHJUAAAAJ:738O_yMBCRsC" TargetMode="External"/><Relationship Id="rId319" Type="http://schemas.openxmlformats.org/officeDocument/2006/relationships/hyperlink" Target="https://scholar.google.com/citations?view_op=view_citation&amp;hl=id&amp;user=UkVZyQ0AAAAJ&amp;sortby=pubdate&amp;citation_for_view=UkVZyQ0AAAAJ:hC7cP41nSMkC" TargetMode="External"/><Relationship Id="rId318" Type="http://schemas.openxmlformats.org/officeDocument/2006/relationships/hyperlink" Target="https://scholar.google.com/citations?view_op=view_citation&amp;hl=id&amp;user=UkVZyQ0AAAAJ&amp;sortby=pubdate&amp;citation_for_view=UkVZyQ0AAAAJ:hC7cP41nSMkC" TargetMode="External"/><Relationship Id="rId317" Type="http://schemas.openxmlformats.org/officeDocument/2006/relationships/hyperlink" Target="https://scholar.google.com/citations?view_op=view_citation&amp;hl=id&amp;user=mxVOikUAAAAJ&amp;sortby=pubdate&amp;citation_for_view=mxVOikUAAAAJ:Se3iqnhoufwC" TargetMode="External"/><Relationship Id="rId559" Type="http://schemas.openxmlformats.org/officeDocument/2006/relationships/hyperlink" Target="https://scholar.google.com/citations?view_op=view_citation&amp;hl=id&amp;user=UOVG-wcAAAAJ&amp;sortby=pubdate&amp;citation_for_view=UOVG-wcAAAAJ:ULOm3_A8WrAC" TargetMode="External"/><Relationship Id="rId550" Type="http://schemas.openxmlformats.org/officeDocument/2006/relationships/hyperlink" Target="https://scholar.google.com/citations?view_op=view_citation&amp;hl=id&amp;user=UOVG-wcAAAAJ&amp;sortby=pubdate&amp;citation_for_view=UOVG-wcAAAAJ:4DMP91E08xMC" TargetMode="External"/><Relationship Id="rId792" Type="http://schemas.openxmlformats.org/officeDocument/2006/relationships/hyperlink" Target="https://scholar.google.com/citations?view_op=view_citation&amp;hl=id&amp;user=H3IYHJUAAAAJ&amp;sortby=pubdate&amp;citation_for_view=H3IYHJUAAAAJ:B3FOqHPlNUQC" TargetMode="External"/><Relationship Id="rId791" Type="http://schemas.openxmlformats.org/officeDocument/2006/relationships/hyperlink" Target="https://scholar.google.com/citations?view_op=view_citation&amp;hl=id&amp;user=H3IYHJUAAAAJ&amp;sortby=pubdate&amp;citation_for_view=H3IYHJUAAAAJ:sSrBHYA8nusC" TargetMode="External"/><Relationship Id="rId790" Type="http://schemas.openxmlformats.org/officeDocument/2006/relationships/hyperlink" Target="https://scholar.google.com/citations?view_op=view_citation&amp;hl=id&amp;user=H3IYHJUAAAAJ&amp;sortby=pubdate&amp;citation_for_view=H3IYHJUAAAAJ:sSrBHYA8nusC" TargetMode="External"/><Relationship Id="rId312" Type="http://schemas.openxmlformats.org/officeDocument/2006/relationships/hyperlink" Target="https://scholar.google.com/citations?view_op=view_citation&amp;hl=id&amp;user=mxVOikUAAAAJ&amp;sortby=pubdate&amp;citation_for_view=mxVOikUAAAAJ:WF5omc3nYNoC" TargetMode="External"/><Relationship Id="rId554" Type="http://schemas.openxmlformats.org/officeDocument/2006/relationships/hyperlink" Target="https://scholar.google.com/citations?view_op=view_citation&amp;hl=id&amp;user=UOVG-wcAAAAJ&amp;sortby=pubdate&amp;citation_for_view=UOVG-wcAAAAJ:M3ejUd6NZC8C" TargetMode="External"/><Relationship Id="rId796" Type="http://schemas.openxmlformats.org/officeDocument/2006/relationships/hyperlink" Target="https://scholar.google.com/citations?view_op=view_citation&amp;hl=id&amp;user=H3IYHJUAAAAJ&amp;sortby=pubdate&amp;citation_for_view=H3IYHJUAAAAJ:738O_yMBCRsC" TargetMode="External"/><Relationship Id="rId311" Type="http://schemas.openxmlformats.org/officeDocument/2006/relationships/hyperlink" Target="https://scholar.google.com/citations?view_op=view_citation&amp;hl=id&amp;user=mxVOikUAAAAJ&amp;sortby=pubdate&amp;citation_for_view=mxVOikUAAAAJ:_FxGoFyzp5QC" TargetMode="External"/><Relationship Id="rId553" Type="http://schemas.openxmlformats.org/officeDocument/2006/relationships/hyperlink" Target="https://scholar.google.com/citations?view_op=view_citation&amp;hl=id&amp;user=UOVG-wcAAAAJ&amp;sortby=pubdate&amp;citation_for_view=UOVG-wcAAAAJ:mVmsd5A6BfQC" TargetMode="External"/><Relationship Id="rId795" Type="http://schemas.openxmlformats.org/officeDocument/2006/relationships/hyperlink" Target="https://scholar.google.com/citations?view_op=view_citation&amp;hl=id&amp;user=H3IYHJUAAAAJ&amp;sortby=pubdate&amp;citation_for_view=H3IYHJUAAAAJ:4fKUyHm3Qg0C" TargetMode="External"/><Relationship Id="rId310" Type="http://schemas.openxmlformats.org/officeDocument/2006/relationships/hyperlink" Target="https://scholar.google.com/citations?view_op=view_citation&amp;hl=id&amp;user=mxVOikUAAAAJ&amp;sortby=pubdate&amp;citation_for_view=mxVOikUAAAAJ:_FxGoFyzp5QC" TargetMode="External"/><Relationship Id="rId552" Type="http://schemas.openxmlformats.org/officeDocument/2006/relationships/hyperlink" Target="https://scholar.google.com/citations?view_op=view_citation&amp;hl=id&amp;user=UOVG-wcAAAAJ&amp;sortby=pubdate&amp;citation_for_view=UOVG-wcAAAAJ:mVmsd5A6BfQC" TargetMode="External"/><Relationship Id="rId794" Type="http://schemas.openxmlformats.org/officeDocument/2006/relationships/hyperlink" Target="https://scholar.google.com/citations?view_op=view_citation&amp;hl=id&amp;user=H3IYHJUAAAAJ&amp;sortby=pubdate&amp;citation_for_view=H3IYHJUAAAAJ:4fKUyHm3Qg0C" TargetMode="External"/><Relationship Id="rId551" Type="http://schemas.openxmlformats.org/officeDocument/2006/relationships/hyperlink" Target="https://scholar.google.com/citations?view_op=view_citation&amp;hl=id&amp;user=UOVG-wcAAAAJ&amp;sortby=pubdate&amp;citation_for_view=UOVG-wcAAAAJ:4DMP91E08xMC" TargetMode="External"/><Relationship Id="rId793" Type="http://schemas.openxmlformats.org/officeDocument/2006/relationships/hyperlink" Target="https://scholar.google.com/citations?view_op=view_citation&amp;hl=id&amp;user=H3IYHJUAAAAJ&amp;sortby=pubdate&amp;citation_for_view=H3IYHJUAAAAJ:B3FOqHPlNUQC" TargetMode="External"/><Relationship Id="rId297" Type="http://schemas.openxmlformats.org/officeDocument/2006/relationships/hyperlink" Target="https://scholar.google.com/citations?view_op=view_citation&amp;hl=id&amp;user=WwrDWnEAAAAJ&amp;sortby=pubdate&amp;citation_for_view=WwrDWnEAAAAJ:eJXPG6dFmWUC" TargetMode="External"/><Relationship Id="rId296" Type="http://schemas.openxmlformats.org/officeDocument/2006/relationships/hyperlink" Target="https://scholar.google.com/citations?view_op=view_citation&amp;hl=id&amp;user=WwrDWnEAAAAJ&amp;sortby=pubdate&amp;citation_for_view=WwrDWnEAAAAJ:eJXPG6dFmWUC" TargetMode="External"/><Relationship Id="rId295" Type="http://schemas.openxmlformats.org/officeDocument/2006/relationships/hyperlink" Target="https://scholar.google.com/citations?view_op=view_citation&amp;hl=id&amp;user=WwrDWnEAAAAJ&amp;sortby=pubdate&amp;citation_for_view=WwrDWnEAAAAJ:eflP2zaiRacC" TargetMode="External"/><Relationship Id="rId294" Type="http://schemas.openxmlformats.org/officeDocument/2006/relationships/hyperlink" Target="https://scholar.google.com/citations?view_op=view_citation&amp;hl=id&amp;user=WwrDWnEAAAAJ&amp;sortby=pubdate&amp;citation_for_view=WwrDWnEAAAAJ:eflP2zaiRacC" TargetMode="External"/><Relationship Id="rId299" Type="http://schemas.openxmlformats.org/officeDocument/2006/relationships/hyperlink" Target="https://scholar.google.com/citations?view_op=view_citation&amp;hl=id&amp;user=WwrDWnEAAAAJ&amp;sortby=pubdate&amp;citation_for_view=WwrDWnEAAAAJ:q3oQSFYPqjQC" TargetMode="External"/><Relationship Id="rId298" Type="http://schemas.openxmlformats.org/officeDocument/2006/relationships/hyperlink" Target="https://scholar.google.com/citations?view_op=view_citation&amp;hl=id&amp;user=WwrDWnEAAAAJ&amp;sortby=pubdate&amp;citation_for_view=WwrDWnEAAAAJ:q3oQSFYPqjQC" TargetMode="External"/><Relationship Id="rId271" Type="http://schemas.openxmlformats.org/officeDocument/2006/relationships/hyperlink" Target="https://scholar.google.com/citations?view_op=view_citation&amp;hl=en&amp;user=sOigQO0AAAAJ&amp;sortby=pubdate&amp;citation_for_view=sOigQO0AAAAJ:Se3iqnhoufwC" TargetMode="External"/><Relationship Id="rId270" Type="http://schemas.openxmlformats.org/officeDocument/2006/relationships/hyperlink" Target="https://scholar.google.com/citations?view_op=view_citation&amp;hl=en&amp;user=sOigQO0AAAAJ&amp;sortby=pubdate&amp;citation_for_view=sOigQO0AAAAJ:Se3iqnhoufwC" TargetMode="External"/><Relationship Id="rId269" Type="http://schemas.openxmlformats.org/officeDocument/2006/relationships/hyperlink" Target="https://scholar.google.com/scholar?q=+intitle:" TargetMode="External"/><Relationship Id="rId264" Type="http://schemas.openxmlformats.org/officeDocument/2006/relationships/hyperlink" Target="https://scholar.google.com/citations?view_op=view_citation&amp;hl=en&amp;user=sOigQO0AAAAJ&amp;sortby=pubdate&amp;citation_for_view=sOigQO0AAAAJ:_FxGoFyzp5QC" TargetMode="External"/><Relationship Id="rId263" Type="http://schemas.openxmlformats.org/officeDocument/2006/relationships/hyperlink" Target="https://scholar.google.com/citations?view_op=view_citation&amp;hl=en&amp;user=sOigQO0AAAAJ&amp;sortby=pubdate&amp;citation_for_view=sOigQO0AAAAJ:0EnyYjriUFMC" TargetMode="External"/><Relationship Id="rId262" Type="http://schemas.openxmlformats.org/officeDocument/2006/relationships/hyperlink" Target="https://scholar.google.com/citations?view_op=view_citation&amp;hl=en&amp;user=sOigQO0AAAAJ&amp;sortby=pubdate&amp;citation_for_view=sOigQO0AAAAJ:0EnyYjriUFMC" TargetMode="External"/><Relationship Id="rId261" Type="http://schemas.openxmlformats.org/officeDocument/2006/relationships/hyperlink" Target="http://jip.polinema.ac.id/ojs3/index.php/jip/article/view/1501" TargetMode="External"/><Relationship Id="rId268" Type="http://schemas.openxmlformats.org/officeDocument/2006/relationships/hyperlink" Target="https://scholar.google.com/scholar?q=+intitle:" TargetMode="External"/><Relationship Id="rId267" Type="http://schemas.openxmlformats.org/officeDocument/2006/relationships/hyperlink" Target="https://scholar.google.com/citations?view_op=view_citation&amp;hl=en&amp;user=sOigQO0AAAAJ&amp;sortby=pubdate&amp;citation_for_view=sOigQO0AAAAJ:LkGwnXOMwfcC" TargetMode="External"/><Relationship Id="rId266" Type="http://schemas.openxmlformats.org/officeDocument/2006/relationships/hyperlink" Target="https://scholar.google.com/citations?view_op=view_citation&amp;hl=en&amp;user=sOigQO0AAAAJ&amp;sortby=pubdate&amp;citation_for_view=sOigQO0AAAAJ:LkGwnXOMwfcC" TargetMode="External"/><Relationship Id="rId265" Type="http://schemas.openxmlformats.org/officeDocument/2006/relationships/hyperlink" Target="https://scholar.google.com/citations?view_op=view_citation&amp;hl=en&amp;user=sOigQO0AAAAJ&amp;sortby=pubdate&amp;citation_for_view=sOigQO0AAAAJ:_FxGoFyzp5QC" TargetMode="External"/><Relationship Id="rId260" Type="http://schemas.openxmlformats.org/officeDocument/2006/relationships/hyperlink" Target="https://www.jurnal.polgan.ac.id/index.php/jmp/article/view/12419" TargetMode="External"/><Relationship Id="rId259" Type="http://schemas.openxmlformats.org/officeDocument/2006/relationships/hyperlink" Target="https://scholar.google.co.id/citations?view_op=view_citation&amp;hl=id&amp;user=wD_Sa-QAAAAJ&amp;sortby=pubdate&amp;citation_for_view=wD_Sa-QAAAAJ:WF5omc3nYNoC" TargetMode="External"/><Relationship Id="rId258" Type="http://schemas.openxmlformats.org/officeDocument/2006/relationships/hyperlink" Target="https://scholar.google.co.id/citations?view_op=view_citation&amp;hl=id&amp;user=wD_Sa-QAAAAJ&amp;sortby=pubdate&amp;citation_for_view=wD_Sa-QAAAAJ:roLk4NBRz8UC" TargetMode="External"/><Relationship Id="rId253" Type="http://schemas.openxmlformats.org/officeDocument/2006/relationships/hyperlink" Target="https://scholar.google.com/citations?view_op=view_citation&amp;hl=id&amp;user=i9ivLAkAAAAJ&amp;sortby=pubdate&amp;authuser=1&amp;citation_for_view=i9ivLAkAAAAJ:QsaTk4IG4EwC" TargetMode="External"/><Relationship Id="rId495" Type="http://schemas.openxmlformats.org/officeDocument/2006/relationships/hyperlink" Target="https://scholar.google.com/citations?view_op=view_citation&amp;hl=id&amp;user=-WHmEDkAAAAJ&amp;sortby=pubdate&amp;citation_for_view=-WHmEDkAAAAJ:YFjsv_pBGBYC" TargetMode="External"/><Relationship Id="rId252" Type="http://schemas.openxmlformats.org/officeDocument/2006/relationships/hyperlink" Target="https://scholar.google.com/citations?view_op=view_citation&amp;hl=id&amp;user=i9ivLAkAAAAJ&amp;pagesize=100&amp;citation_for_view=i9ivLAkAAAAJ:wvYxNZNCP7wC" TargetMode="External"/><Relationship Id="rId494" Type="http://schemas.openxmlformats.org/officeDocument/2006/relationships/hyperlink" Target="https://scholar.google.com/citations?view_op=view_citation&amp;hl=id&amp;user=-WHmEDkAAAAJ&amp;sortby=pubdate&amp;citation_for_view=-WHmEDkAAAAJ:YFjsv_pBGBYC" TargetMode="External"/><Relationship Id="rId251" Type="http://schemas.openxmlformats.org/officeDocument/2006/relationships/hyperlink" Target="https://scholar.google.com/citations?view_op=view_citation&amp;hl=id&amp;user=i9ivLAkAAAAJ&amp;pagesize=100&amp;citation_for_view=i9ivLAkAAAAJ:UuEBAcK4md4C" TargetMode="External"/><Relationship Id="rId493" Type="http://schemas.openxmlformats.org/officeDocument/2006/relationships/hyperlink" Target="https://scholar.google.com/citations?view_op=view_citation&amp;hl=id&amp;user=-WHmEDkAAAAJ&amp;sortby=pubdate&amp;citation_for_view=-WHmEDkAAAAJ:M05iB0D1s5AC" TargetMode="External"/><Relationship Id="rId250" Type="http://schemas.openxmlformats.org/officeDocument/2006/relationships/hyperlink" Target="https://scholar.google.com/citations?view_op=view_citation&amp;hl=id&amp;user=i9ivLAkAAAAJ&amp;pagesize=100&amp;citation_for_view=i9ivLAkAAAAJ:Hck25ST_3aIC" TargetMode="External"/><Relationship Id="rId492" Type="http://schemas.openxmlformats.org/officeDocument/2006/relationships/hyperlink" Target="https://scholar.google.com/citations?view_op=view_citation&amp;hl=id&amp;user=-WHmEDkAAAAJ&amp;sortby=pubdate&amp;citation_for_view=-WHmEDkAAAAJ:M05iB0D1s5AC" TargetMode="External"/><Relationship Id="rId257" Type="http://schemas.openxmlformats.org/officeDocument/2006/relationships/hyperlink" Target="https://scholar.google.co.id/citations?view_op=view_citation&amp;hl=id&amp;user=wD_Sa-QAAAAJ&amp;sortby=pubdate&amp;citation_for_view=wD_Sa-QAAAAJ:KlAtU1dfN6UC" TargetMode="External"/><Relationship Id="rId499" Type="http://schemas.openxmlformats.org/officeDocument/2006/relationships/hyperlink" Target="https://scholar.google.com/citations?view_op=view_citation&amp;hl=id&amp;user=-WHmEDkAAAAJ&amp;sortby=pubdate&amp;citation_for_view=-WHmEDkAAAAJ:blknAaTinKkC" TargetMode="External"/><Relationship Id="rId256" Type="http://schemas.openxmlformats.org/officeDocument/2006/relationships/hyperlink" Target="https://scholar.google.com/citations?view_op=view_citation&amp;hl=en&amp;user=i9ivLAkAAAAJ&amp;pagesize=100&amp;citation_for_view=i9ivLAkAAAAJ:silx2ntsSuwC" TargetMode="External"/><Relationship Id="rId498" Type="http://schemas.openxmlformats.org/officeDocument/2006/relationships/hyperlink" Target="https://scholar.google.com/citations?view_op=view_citation&amp;hl=id&amp;user=-WHmEDkAAAAJ&amp;sortby=pubdate&amp;citation_for_view=-WHmEDkAAAAJ:blknAaTinKkC" TargetMode="External"/><Relationship Id="rId255" Type="http://schemas.openxmlformats.org/officeDocument/2006/relationships/hyperlink" Target="https://scholar.google.com/citations?view_op=view_citation&amp;hl=id&amp;user=i9ivLAkAAAAJ&amp;pagesize=100&amp;citation_for_view=i9ivLAkAAAAJ:zGdJYJv2LkUC" TargetMode="External"/><Relationship Id="rId497" Type="http://schemas.openxmlformats.org/officeDocument/2006/relationships/hyperlink" Target="https://scholar.google.com/citations?view_op=view_citation&amp;hl=id&amp;user=-WHmEDkAAAAJ&amp;sortby=pubdate&amp;citation_for_view=-WHmEDkAAAAJ:hMod-77fHWUC" TargetMode="External"/><Relationship Id="rId254" Type="http://schemas.openxmlformats.org/officeDocument/2006/relationships/hyperlink" Target="https://scholar.google.com/scholar?hl=id&amp;as_sdt=0%2C5&amp;q=Management+of+Research+Results+and+Intellectual+Property+Commercialization&amp;btnG=" TargetMode="External"/><Relationship Id="rId496" Type="http://schemas.openxmlformats.org/officeDocument/2006/relationships/hyperlink" Target="https://scholar.google.com/citations?view_op=view_citation&amp;hl=id&amp;user=-WHmEDkAAAAJ&amp;sortby=pubdate&amp;citation_for_view=-WHmEDkAAAAJ:hMod-77fHWUC" TargetMode="External"/><Relationship Id="rId293" Type="http://schemas.openxmlformats.org/officeDocument/2006/relationships/hyperlink" Target="https://scholar.google.com/citations?view_op=view_citation&amp;hl=id&amp;user=WwrDWnEAAAAJ&amp;sortby=pubdate&amp;citation_for_view=WwrDWnEAAAAJ:mvPsJ3kp5DgC" TargetMode="External"/><Relationship Id="rId292" Type="http://schemas.openxmlformats.org/officeDocument/2006/relationships/hyperlink" Target="https://scholar.google.com/citations?view_op=view_citation&amp;hl=id&amp;user=WwrDWnEAAAAJ&amp;sortby=pubdate&amp;citation_for_view=WwrDWnEAAAAJ:mvPsJ3kp5DgC" TargetMode="External"/><Relationship Id="rId291" Type="http://schemas.openxmlformats.org/officeDocument/2006/relationships/hyperlink" Target="https://scholar.google.com/citations?view_op=view_citation&amp;hl=id&amp;user=WwrDWnEAAAAJ&amp;sortby=pubdate&amp;citation_for_view=WwrDWnEAAAAJ:BrmTIyaxlBUC" TargetMode="External"/><Relationship Id="rId290" Type="http://schemas.openxmlformats.org/officeDocument/2006/relationships/hyperlink" Target="https://scholar.google.com/citations?view_op=view_citation&amp;hl=id&amp;user=WwrDWnEAAAAJ&amp;sortby=pubdate&amp;citation_for_view=WwrDWnEAAAAJ:BrmTIyaxlBUC" TargetMode="External"/><Relationship Id="rId286" Type="http://schemas.openxmlformats.org/officeDocument/2006/relationships/hyperlink" Target="https://scholar.google.com/citations?view_op=view_citation&amp;hl=id&amp;user=WwrDWnEAAAAJ&amp;sortby=pubdate&amp;citation_for_view=WwrDWnEAAAAJ:wbdj-CoPYUoC" TargetMode="External"/><Relationship Id="rId285" Type="http://schemas.openxmlformats.org/officeDocument/2006/relationships/hyperlink" Target="https://scholar.google.com/citations?view_op=view_citation&amp;hl=id&amp;user=WwrDWnEAAAAJ&amp;sortby=pubdate&amp;citation_for_view=WwrDWnEAAAAJ:5ugPr518TE4C" TargetMode="External"/><Relationship Id="rId284" Type="http://schemas.openxmlformats.org/officeDocument/2006/relationships/hyperlink" Target="https://scholar.google.com/citations?view_op=view_citation&amp;hl=id&amp;user=WwrDWnEAAAAJ&amp;sortby=pubdate&amp;citation_for_view=WwrDWnEAAAAJ:5ugPr518TE4C" TargetMode="External"/><Relationship Id="rId283" Type="http://schemas.openxmlformats.org/officeDocument/2006/relationships/hyperlink" Target="https://scholar.google.com/citations?view_op=view_citation&amp;hl=id&amp;user=XeFZX9kAAAAJ&amp;sortby=pubdate&amp;citation_for_view=XeFZX9kAAAAJ:RGFaLdJalmkC" TargetMode="External"/><Relationship Id="rId289" Type="http://schemas.openxmlformats.org/officeDocument/2006/relationships/hyperlink" Target="https://scholar.google.com/citations?view_op=view_citation&amp;hl=id&amp;user=WwrDWnEAAAAJ&amp;sortby=pubdate&amp;citation_for_view=WwrDWnEAAAAJ:J-pR_7NvFogC" TargetMode="External"/><Relationship Id="rId288" Type="http://schemas.openxmlformats.org/officeDocument/2006/relationships/hyperlink" Target="https://scholar.google.com/citations?view_op=view_citation&amp;hl=id&amp;user=WwrDWnEAAAAJ&amp;sortby=pubdate&amp;citation_for_view=WwrDWnEAAAAJ:J-pR_7NvFogC" TargetMode="External"/><Relationship Id="rId287" Type="http://schemas.openxmlformats.org/officeDocument/2006/relationships/hyperlink" Target="https://scholar.google.com/citations?view_op=view_citation&amp;hl=id&amp;user=WwrDWnEAAAAJ&amp;sortby=pubdate&amp;citation_for_view=WwrDWnEAAAAJ:wbdj-CoPYUoC" TargetMode="External"/><Relationship Id="rId282" Type="http://schemas.openxmlformats.org/officeDocument/2006/relationships/hyperlink" Target="https://scholar.google.com/citations?view_op=view_citation&amp;hl=id&amp;user=XeFZX9kAAAAJ&amp;sortby=pubdate&amp;citation_for_view=XeFZX9kAAAAJ:RGFaLdJalmkC" TargetMode="External"/><Relationship Id="rId281" Type="http://schemas.openxmlformats.org/officeDocument/2006/relationships/hyperlink" Target="https://scholar.google.com/citations?view_op=view_citation&amp;hl=id&amp;user=XeFZX9kAAAAJ&amp;sortby=pubdate&amp;citation_for_view=XeFZX9kAAAAJ:J_g5lzvAfSwC" TargetMode="External"/><Relationship Id="rId280" Type="http://schemas.openxmlformats.org/officeDocument/2006/relationships/hyperlink" Target="https://scholar.google.com/citations?view_op=view_citation&amp;hl=id&amp;user=XeFZX9kAAAAJ&amp;sortby=pubdate&amp;citation_for_view=XeFZX9kAAAAJ:J_g5lzvAfSwC" TargetMode="External"/><Relationship Id="rId275" Type="http://schemas.openxmlformats.org/officeDocument/2006/relationships/hyperlink" Target="https://scholar.google.co.id/citations?view_op=view_citation&amp;hl=id&amp;user=Gps_SrkAAAAJ&amp;sortby=pubdate&amp;citation_for_view=Gps_SrkAAAAJ:LkGwnXOMwfcC" TargetMode="External"/><Relationship Id="rId274" Type="http://schemas.openxmlformats.org/officeDocument/2006/relationships/hyperlink" Target="https://scholar.google.co.id/citations?view_op=view_citation&amp;hl=id&amp;user=Gps_SrkAAAAJ&amp;sortby=pubdate&amp;citation_for_view=Gps_SrkAAAAJ:roLk4NBRz8UC" TargetMode="External"/><Relationship Id="rId273" Type="http://schemas.openxmlformats.org/officeDocument/2006/relationships/hyperlink" Target="https://scholar.google.co.id/citations?view_op=view_citation&amp;hl=id&amp;user=Gps_SrkAAAAJ&amp;sortby=pubdate&amp;citation_for_view=Gps_SrkAAAAJ:UebtZRa9Y70C" TargetMode="External"/><Relationship Id="rId272" Type="http://schemas.openxmlformats.org/officeDocument/2006/relationships/hyperlink" Target="https://scholar.google.co.id/citations?view_op=view_citation&amp;hl=id&amp;user=Gps_SrkAAAAJ&amp;sortby=pubdate&amp;citation_for_view=Gps_SrkAAAAJ:Se3iqnhoufwC" TargetMode="External"/><Relationship Id="rId279" Type="http://schemas.openxmlformats.org/officeDocument/2006/relationships/hyperlink" Target="https://scholar.google.com/citations?view_op=view_citation&amp;hl=id&amp;user=XeFZX9kAAAAJ&amp;sortby=pubdate&amp;citation_for_view=XeFZX9kAAAAJ:70eg2SAEIzsC" TargetMode="External"/><Relationship Id="rId278" Type="http://schemas.openxmlformats.org/officeDocument/2006/relationships/hyperlink" Target="https://scholar.google.com/citations?view_op=view_citation&amp;hl=id&amp;user=XeFZX9kAAAAJ&amp;sortby=pubdate&amp;citation_for_view=XeFZX9kAAAAJ:70eg2SAEIzsC" TargetMode="External"/><Relationship Id="rId277" Type="http://schemas.openxmlformats.org/officeDocument/2006/relationships/hyperlink" Target="https://scholar.google.com/citations?view_op=view_citation&amp;hl=id&amp;user=XeFZX9kAAAAJ&amp;sortby=pubdate&amp;citation_for_view=XeFZX9kAAAAJ:35N4QoGY0k4C" TargetMode="External"/><Relationship Id="rId276" Type="http://schemas.openxmlformats.org/officeDocument/2006/relationships/hyperlink" Target="https://scholar.google.com/citations?view_op=view_citation&amp;hl=id&amp;user=XeFZX9kAAAAJ&amp;sortby=pubdate&amp;citation_for_view=XeFZX9kAAAAJ:35N4QoGY0k4C" TargetMode="External"/><Relationship Id="rId629" Type="http://schemas.openxmlformats.org/officeDocument/2006/relationships/hyperlink" Target="https://scholar.google.com/citations?view_op=view_citation&amp;hl=id&amp;user=A1592kEAAAAJ&amp;cstart=20&amp;pagesize=80&amp;sortby=pubdate&amp;citation_for_view=A1592kEAAAAJ:urP0JZOBBUsC" TargetMode="External"/><Relationship Id="rId624" Type="http://schemas.openxmlformats.org/officeDocument/2006/relationships/hyperlink" Target="https://scholar.google.com/citations?view_op=view_citation&amp;hl=id&amp;user=A1592kEAAAAJ&amp;cstart=20&amp;pagesize=80&amp;sortby=pubdate&amp;citation_for_view=A1592kEAAAAJ:B2rIPIGFPLEC" TargetMode="External"/><Relationship Id="rId866" Type="http://schemas.openxmlformats.org/officeDocument/2006/relationships/hyperlink" Target="https://scholar.google.com/citations?view_op=view_citation&amp;hl=id&amp;user=A_KvRKUAAAAJ&amp;sortby=pubdate&amp;citation_for_view=A_KvRKUAAAAJ:aqlVkmm33-oC" TargetMode="External"/><Relationship Id="rId623" Type="http://schemas.openxmlformats.org/officeDocument/2006/relationships/hyperlink" Target="https://scholar.google.com/citations?view_op=view_citation&amp;hl=id&amp;user=A1592kEAAAAJ&amp;cstart=20&amp;pagesize=80&amp;sortby=pubdate&amp;citation_for_view=A1592kEAAAAJ:rpSJNIKeXWsC" TargetMode="External"/><Relationship Id="rId865" Type="http://schemas.openxmlformats.org/officeDocument/2006/relationships/hyperlink" Target="https://scholar.google.com/citations?view_op=view_citation&amp;hl=id&amp;user=A_KvRKUAAAAJ&amp;sortby=pubdate&amp;citation_for_view=A_KvRKUAAAAJ:qxL8FJ1GzNcC" TargetMode="External"/><Relationship Id="rId622" Type="http://schemas.openxmlformats.org/officeDocument/2006/relationships/hyperlink" Target="https://scholar.google.com/citations?view_op=view_citation&amp;hl=id&amp;user=A1592kEAAAAJ&amp;cstart=20&amp;pagesize=80&amp;sortby=pubdate&amp;citation_for_view=A1592kEAAAAJ:rpSJNIKeXWsC" TargetMode="External"/><Relationship Id="rId864" Type="http://schemas.openxmlformats.org/officeDocument/2006/relationships/hyperlink" Target="https://scholar.google.com/citations?view_op=view_citation&amp;hl=id&amp;user=A_KvRKUAAAAJ&amp;sortby=pubdate&amp;citation_for_view=A_KvRKUAAAAJ:qxL8FJ1GzNcC" TargetMode="External"/><Relationship Id="rId621" Type="http://schemas.openxmlformats.org/officeDocument/2006/relationships/hyperlink" Target="https://scholar.google.com/citations?view_op=view_citation&amp;hl=id&amp;user=A1592kEAAAAJ&amp;cstart=20&amp;pagesize=80&amp;sortby=pubdate&amp;citation_for_view=A1592kEAAAAJ:hEXC_dOfxuUC" TargetMode="External"/><Relationship Id="rId863" Type="http://schemas.openxmlformats.org/officeDocument/2006/relationships/hyperlink" Target="https://scholar.google.com/citations?view_op=view_citation&amp;hl=id&amp;user=A_KvRKUAAAAJ&amp;sortby=pubdate&amp;citation_for_view=A_KvRKUAAAAJ:Wp0gIr-vW9MC" TargetMode="External"/><Relationship Id="rId628" Type="http://schemas.openxmlformats.org/officeDocument/2006/relationships/hyperlink" Target="https://scholar.google.com/citations?view_op=view_citation&amp;hl=id&amp;user=A1592kEAAAAJ&amp;cstart=20&amp;pagesize=80&amp;sortby=pubdate&amp;citation_for_view=A1592kEAAAAJ:urP0JZOBBUsC" TargetMode="External"/><Relationship Id="rId627" Type="http://schemas.openxmlformats.org/officeDocument/2006/relationships/hyperlink" Target="https://scholar.google.com/citations?view_op=view_citation&amp;hl=id&amp;user=A1592kEAAAAJ&amp;cstart=20&amp;pagesize=80&amp;sortby=pubdate&amp;citation_for_view=A1592kEAAAAJ:yCjxvIMm6_oC" TargetMode="External"/><Relationship Id="rId869" Type="http://schemas.openxmlformats.org/officeDocument/2006/relationships/hyperlink" Target="https://scholar.google.com/citations?view_op=view_citation&amp;hl=id&amp;user=A_KvRKUAAAAJ&amp;sortby=pubdate&amp;citation_for_view=A_KvRKUAAAAJ:mVmsd5A6BfQC" TargetMode="External"/><Relationship Id="rId626" Type="http://schemas.openxmlformats.org/officeDocument/2006/relationships/hyperlink" Target="https://scholar.google.com/citations?view_op=view_citation&amp;hl=id&amp;user=A1592kEAAAAJ&amp;cstart=20&amp;pagesize=80&amp;sortby=pubdate&amp;citation_for_view=A1592kEAAAAJ:yCjxvIMm6_oC" TargetMode="External"/><Relationship Id="rId868" Type="http://schemas.openxmlformats.org/officeDocument/2006/relationships/hyperlink" Target="https://scholar.google.com/citations?view_op=view_citation&amp;hl=id&amp;user=A_KvRKUAAAAJ&amp;sortby=pubdate&amp;citation_for_view=A_KvRKUAAAAJ:mVmsd5A6BfQC" TargetMode="External"/><Relationship Id="rId625" Type="http://schemas.openxmlformats.org/officeDocument/2006/relationships/hyperlink" Target="https://scholar.google.com/citations?view_op=view_citation&amp;hl=id&amp;user=A1592kEAAAAJ&amp;cstart=20&amp;pagesize=80&amp;sortby=pubdate&amp;citation_for_view=A1592kEAAAAJ:B2rIPIGFPLEC" TargetMode="External"/><Relationship Id="rId867" Type="http://schemas.openxmlformats.org/officeDocument/2006/relationships/hyperlink" Target="https://scholar.google.com/citations?view_op=view_citation&amp;hl=id&amp;user=A_KvRKUAAAAJ&amp;sortby=pubdate&amp;citation_for_view=A_KvRKUAAAAJ:aqlVkmm33-oC" TargetMode="External"/><Relationship Id="rId620" Type="http://schemas.openxmlformats.org/officeDocument/2006/relationships/hyperlink" Target="https://scholar.google.com/citations?view_op=view_citation&amp;hl=id&amp;user=A1592kEAAAAJ&amp;cstart=20&amp;pagesize=80&amp;sortby=pubdate&amp;citation_for_view=A1592kEAAAAJ:hEXC_dOfxuUC" TargetMode="External"/><Relationship Id="rId862" Type="http://schemas.openxmlformats.org/officeDocument/2006/relationships/hyperlink" Target="https://scholar.google.com/citations?view_op=view_citation&amp;hl=id&amp;user=A_KvRKUAAAAJ&amp;sortby=pubdate&amp;citation_for_view=A_KvRKUAAAAJ:Wp0gIr-vW9MC" TargetMode="External"/><Relationship Id="rId861" Type="http://schemas.openxmlformats.org/officeDocument/2006/relationships/hyperlink" Target="https://scholar.google.com/citations?view_op=view_citation&amp;hl=id&amp;user=A_KvRKUAAAAJ&amp;sortby=pubdate&amp;citation_for_view=A_KvRKUAAAAJ:M3ejUd6NZC8C" TargetMode="External"/><Relationship Id="rId860" Type="http://schemas.openxmlformats.org/officeDocument/2006/relationships/hyperlink" Target="https://scholar.google.com/citations?view_op=view_citation&amp;hl=id&amp;user=A_KvRKUAAAAJ&amp;sortby=pubdate&amp;citation_for_view=A_KvRKUAAAAJ:M3ejUd6NZC8C" TargetMode="External"/><Relationship Id="rId619" Type="http://schemas.openxmlformats.org/officeDocument/2006/relationships/hyperlink" Target="https://scholar.google.com/citations?view_op=view_citation&amp;hl=id&amp;user=A1592kEAAAAJ&amp;cstart=20&amp;pagesize=80&amp;sortby=pubdate&amp;citation_for_view=A1592kEAAAAJ:x2hKVfJWtf0C" TargetMode="External"/><Relationship Id="rId618" Type="http://schemas.openxmlformats.org/officeDocument/2006/relationships/hyperlink" Target="https://scholar.google.com/citations?view_op=view_citation&amp;hl=id&amp;user=A1592kEAAAAJ&amp;cstart=20&amp;pagesize=80&amp;sortby=pubdate&amp;citation_for_view=A1592kEAAAAJ:x2hKVfJWtf0C" TargetMode="External"/><Relationship Id="rId613" Type="http://schemas.openxmlformats.org/officeDocument/2006/relationships/hyperlink" Target="https://scholar.google.com/citations?view_op=view_citation&amp;hl=id&amp;user=A1592kEAAAAJ&amp;cstart=20&amp;pagesize=80&amp;sortby=pubdate&amp;citation_for_view=A1592kEAAAAJ:MGPUR4WVBMEC" TargetMode="External"/><Relationship Id="rId855" Type="http://schemas.openxmlformats.org/officeDocument/2006/relationships/hyperlink" Target="https://scholar.google.com/citations?view_op=view_citation&amp;hl=id&amp;user=A_KvRKUAAAAJ&amp;sortby=pubdate&amp;citation_for_view=A_KvRKUAAAAJ:qUcmZB5y_30C" TargetMode="External"/><Relationship Id="rId612" Type="http://schemas.openxmlformats.org/officeDocument/2006/relationships/hyperlink" Target="https://scholar.google.com/citations?view_op=view_citation&amp;hl=id&amp;user=A1592kEAAAAJ&amp;cstart=20&amp;pagesize=80&amp;sortby=pubdate&amp;citation_for_view=A1592kEAAAAJ:MGPUR4WVBMEC" TargetMode="External"/><Relationship Id="rId854" Type="http://schemas.openxmlformats.org/officeDocument/2006/relationships/hyperlink" Target="https://scholar.google.com/citations?view_op=view_citation&amp;hl=id&amp;user=A_KvRKUAAAAJ&amp;sortby=pubdate&amp;citation_for_view=A_KvRKUAAAAJ:qUcmZB5y_30C" TargetMode="External"/><Relationship Id="rId611" Type="http://schemas.openxmlformats.org/officeDocument/2006/relationships/hyperlink" Target="https://scholar.google.com/citations?view_op=view_citation&amp;hl=id&amp;user=A1592kEAAAAJ&amp;cstart=20&amp;pagesize=80&amp;sortby=pubdate&amp;citation_for_view=A1592kEAAAAJ:IT1MJ6E3JesC" TargetMode="External"/><Relationship Id="rId853" Type="http://schemas.openxmlformats.org/officeDocument/2006/relationships/hyperlink" Target="https://scholar.google.com/citations?view_op=view_citation&amp;hl=id&amp;user=A_KvRKUAAAAJ&amp;sortby=pubdate&amp;citation_for_view=A_KvRKUAAAAJ:hFOr9nPyWt4C" TargetMode="External"/><Relationship Id="rId610" Type="http://schemas.openxmlformats.org/officeDocument/2006/relationships/hyperlink" Target="https://scholar.google.com/citations?view_op=view_citation&amp;hl=id&amp;user=A1592kEAAAAJ&amp;cstart=20&amp;pagesize=80&amp;sortby=pubdate&amp;citation_for_view=A1592kEAAAAJ:IT1MJ6E3JesC" TargetMode="External"/><Relationship Id="rId852" Type="http://schemas.openxmlformats.org/officeDocument/2006/relationships/hyperlink" Target="https://scholar.google.com/citations?view_op=view_citation&amp;hl=id&amp;user=A_KvRKUAAAAJ&amp;sortby=pubdate&amp;citation_for_view=A_KvRKUAAAAJ:hFOr9nPyWt4C" TargetMode="External"/><Relationship Id="rId617" Type="http://schemas.openxmlformats.org/officeDocument/2006/relationships/hyperlink" Target="https://scholar.google.com/citations?view_op=view_citation&amp;hl=id&amp;user=A1592kEAAAAJ&amp;cstart=20&amp;pagesize=80&amp;sortby=pubdate&amp;citation_for_view=A1592kEAAAAJ:BPS1z4jHU5cC" TargetMode="External"/><Relationship Id="rId859" Type="http://schemas.openxmlformats.org/officeDocument/2006/relationships/hyperlink" Target="https://scholar.google.com/citations?view_op=view_citation&amp;hl=id&amp;user=A_KvRKUAAAAJ&amp;sortby=pubdate&amp;citation_for_view=A_KvRKUAAAAJ:QIV2ME_5wuYC" TargetMode="External"/><Relationship Id="rId616" Type="http://schemas.openxmlformats.org/officeDocument/2006/relationships/hyperlink" Target="https://scholar.google.com/citations?view_op=view_citation&amp;hl=id&amp;user=A1592kEAAAAJ&amp;cstart=20&amp;pagesize=80&amp;sortby=pubdate&amp;citation_for_view=A1592kEAAAAJ:BPS1z4jHU5cC" TargetMode="External"/><Relationship Id="rId858" Type="http://schemas.openxmlformats.org/officeDocument/2006/relationships/hyperlink" Target="https://scholar.google.com/citations?view_op=view_citation&amp;hl=id&amp;user=A_KvRKUAAAAJ&amp;sortby=pubdate&amp;citation_for_view=A_KvRKUAAAAJ:QIV2ME_5wuYC" TargetMode="External"/><Relationship Id="rId615" Type="http://schemas.openxmlformats.org/officeDocument/2006/relationships/hyperlink" Target="https://scholar.google.com/citations?view_op=view_citation&amp;hl=id&amp;user=A1592kEAAAAJ&amp;cstart=20&amp;pagesize=80&amp;sortby=pubdate&amp;citation_for_view=A1592kEAAAAJ:vxA22ZmNLkoC" TargetMode="External"/><Relationship Id="rId857" Type="http://schemas.openxmlformats.org/officeDocument/2006/relationships/hyperlink" Target="https://scholar.google.com/citations?view_op=view_citation&amp;hl=id&amp;user=A_KvRKUAAAAJ&amp;sortby=pubdate&amp;citation_for_view=A_KvRKUAAAAJ:ZeXyd9-uunAC" TargetMode="External"/><Relationship Id="rId614" Type="http://schemas.openxmlformats.org/officeDocument/2006/relationships/hyperlink" Target="https://scholar.google.com/citations?view_op=view_citation&amp;hl=id&amp;user=A1592kEAAAAJ&amp;cstart=20&amp;pagesize=80&amp;sortby=pubdate&amp;citation_for_view=A1592kEAAAAJ:vxA22ZmNLkoC" TargetMode="External"/><Relationship Id="rId856" Type="http://schemas.openxmlformats.org/officeDocument/2006/relationships/hyperlink" Target="https://scholar.google.com/citations?view_op=view_citation&amp;hl=id&amp;user=A_KvRKUAAAAJ&amp;sortby=pubdate&amp;citation_for_view=A_KvRKUAAAAJ:ZeXyd9-uunAC" TargetMode="External"/><Relationship Id="rId851" Type="http://schemas.openxmlformats.org/officeDocument/2006/relationships/hyperlink" Target="https://scholar.google.com/citations?view_op=view_citation&amp;hl=id&amp;user=H3IYHJUAAAAJ&amp;cstart=20&amp;pagesize=80&amp;sortby=pubdate&amp;citation_for_view=H3IYHJUAAAAJ:SeFeTyx0c_EC" TargetMode="External"/><Relationship Id="rId850" Type="http://schemas.openxmlformats.org/officeDocument/2006/relationships/hyperlink" Target="https://scholar.google.com/citations?view_op=view_citation&amp;hl=id&amp;user=H3IYHJUAAAAJ&amp;cstart=20&amp;pagesize=80&amp;sortby=pubdate&amp;citation_for_view=H3IYHJUAAAAJ:SeFeTyx0c_EC" TargetMode="External"/><Relationship Id="rId409" Type="http://schemas.openxmlformats.org/officeDocument/2006/relationships/hyperlink" Target="https://scholar.google.com/citations?view_op=view_citation&amp;hl=id&amp;user=aWHkGCMAAAAJ&amp;sortby=pubdate&amp;citation_for_view=aWHkGCMAAAAJ:Se3iqnhoufwC" TargetMode="External"/><Relationship Id="rId404" Type="http://schemas.openxmlformats.org/officeDocument/2006/relationships/hyperlink" Target="https://scholar.google.com/citations?view_op=view_citation&amp;hl=id&amp;user=aWHkGCMAAAAJ&amp;sortby=pubdate&amp;citation_for_view=aWHkGCMAAAAJ:ULOm3_A8WrAC" TargetMode="External"/><Relationship Id="rId646" Type="http://schemas.openxmlformats.org/officeDocument/2006/relationships/hyperlink" Target="https://scholar.google.com/citations?view_op=view_citation&amp;hl=id&amp;user=gNEBMMEAAAAJ&amp;sortby=pubdate&amp;citation_for_view=gNEBMMEAAAAJ:sSrBHYA8nusC" TargetMode="External"/><Relationship Id="rId888" Type="http://schemas.openxmlformats.org/officeDocument/2006/relationships/hyperlink" Target="https://scholar.google.com/citations?view_op=view_citation&amp;hl=id&amp;user=B7sSwwEAAAAJ&amp;sortby=pubdate&amp;citation_for_view=B7sSwwEAAAAJ:p2g8aNsByqUC" TargetMode="External"/><Relationship Id="rId403" Type="http://schemas.openxmlformats.org/officeDocument/2006/relationships/hyperlink" Target="https://scholar.google.com/citations?view_op=view_citation&amp;hl=id&amp;user=aWHkGCMAAAAJ&amp;sortby=pubdate&amp;citation_for_view=aWHkGCMAAAAJ:KlAtU1dfN6UC" TargetMode="External"/><Relationship Id="rId645" Type="http://schemas.openxmlformats.org/officeDocument/2006/relationships/hyperlink" Target="https://scholar.google.com/citations?view_op=view_citation&amp;hl=id&amp;user=gNEBMMEAAAAJ&amp;sortby=pubdate&amp;citation_for_view=gNEBMMEAAAAJ:WbkHhVStYXYC" TargetMode="External"/><Relationship Id="rId887" Type="http://schemas.openxmlformats.org/officeDocument/2006/relationships/hyperlink" Target="https://scholar.google.com/citations?view_op=view_citation&amp;hl=id&amp;user=B7sSwwEAAAAJ&amp;sortby=pubdate&amp;citation_for_view=B7sSwwEAAAAJ:EUQCXRtRnyEC" TargetMode="External"/><Relationship Id="rId402" Type="http://schemas.openxmlformats.org/officeDocument/2006/relationships/hyperlink" Target="https://scholar.google.com/citations?view_op=view_citation&amp;hl=id&amp;user=aWHkGCMAAAAJ&amp;sortby=pubdate&amp;citation_for_view=aWHkGCMAAAAJ:KlAtU1dfN6UC" TargetMode="External"/><Relationship Id="rId644" Type="http://schemas.openxmlformats.org/officeDocument/2006/relationships/hyperlink" Target="https://scholar.google.com/citations?view_op=view_citation&amp;hl=id&amp;user=gNEBMMEAAAAJ&amp;sortby=pubdate&amp;citation_for_view=gNEBMMEAAAAJ:WbkHhVStYXYC" TargetMode="External"/><Relationship Id="rId886" Type="http://schemas.openxmlformats.org/officeDocument/2006/relationships/hyperlink" Target="https://scholar.google.com/citations?view_op=view_citation&amp;hl=id&amp;user=B7sSwwEAAAAJ&amp;sortby=pubdate&amp;citation_for_view=B7sSwwEAAAAJ:EUQCXRtRnyEC" TargetMode="External"/><Relationship Id="rId401" Type="http://schemas.openxmlformats.org/officeDocument/2006/relationships/hyperlink" Target="https://scholar.google.com/citations?view_op=view_citation&amp;hl=id&amp;user=aWHkGCMAAAAJ&amp;sortby=pubdate&amp;citation_for_view=aWHkGCMAAAAJ:Zph67rFs4hoC" TargetMode="External"/><Relationship Id="rId643" Type="http://schemas.openxmlformats.org/officeDocument/2006/relationships/hyperlink" Target="https://scholar.google.com/citations?view_op=view_citation&amp;hl=id&amp;user=gNEBMMEAAAAJ&amp;sortby=pubdate&amp;citation_for_view=gNEBMMEAAAAJ:K3LRdlH-MEoC" TargetMode="External"/><Relationship Id="rId885" Type="http://schemas.openxmlformats.org/officeDocument/2006/relationships/hyperlink" Target="https://scholar.google.com/citations?view_op=view_citation&amp;hl=id&amp;user=B7sSwwEAAAAJ&amp;sortby=pubdate&amp;citation_for_view=B7sSwwEAAAAJ:fPk4N6BV_jEC" TargetMode="External"/><Relationship Id="rId408" Type="http://schemas.openxmlformats.org/officeDocument/2006/relationships/hyperlink" Target="https://scholar.google.com/citations?view_op=view_citation&amp;hl=id&amp;user=aWHkGCMAAAAJ&amp;sortby=pubdate&amp;citation_for_view=aWHkGCMAAAAJ:Se3iqnhoufwC" TargetMode="External"/><Relationship Id="rId407" Type="http://schemas.openxmlformats.org/officeDocument/2006/relationships/hyperlink" Target="https://scholar.google.com/citations?view_op=view_citation&amp;hl=id&amp;user=aWHkGCMAAAAJ&amp;sortby=pubdate&amp;citation_for_view=aWHkGCMAAAAJ:0EnyYjriUFMC" TargetMode="External"/><Relationship Id="rId649" Type="http://schemas.openxmlformats.org/officeDocument/2006/relationships/hyperlink" Target="https://scholar.google.com/citations?view_op=view_citation&amp;hl=id&amp;user=APpDZAwAAAAJ&amp;sortby=pubdate&amp;citation_for_view=APpDZAwAAAAJ:O3NaXMp0MMsC" TargetMode="External"/><Relationship Id="rId406" Type="http://schemas.openxmlformats.org/officeDocument/2006/relationships/hyperlink" Target="https://scholar.google.com/citations?view_op=view_citation&amp;hl=id&amp;user=aWHkGCMAAAAJ&amp;sortby=pubdate&amp;citation_for_view=aWHkGCMAAAAJ:0EnyYjriUFMC" TargetMode="External"/><Relationship Id="rId648" Type="http://schemas.openxmlformats.org/officeDocument/2006/relationships/hyperlink" Target="https://scholar.google.com/citations?view_op=view_citation&amp;hl=id&amp;user=APpDZAwAAAAJ&amp;sortby=pubdate&amp;citation_for_view=APpDZAwAAAAJ:O3NaXMp0MMsC" TargetMode="External"/><Relationship Id="rId405" Type="http://schemas.openxmlformats.org/officeDocument/2006/relationships/hyperlink" Target="https://scholar.google.com/citations?view_op=view_citation&amp;hl=id&amp;user=aWHkGCMAAAAJ&amp;sortby=pubdate&amp;citation_for_view=aWHkGCMAAAAJ:ULOm3_A8WrAC" TargetMode="External"/><Relationship Id="rId647" Type="http://schemas.openxmlformats.org/officeDocument/2006/relationships/hyperlink" Target="https://scholar.google.com/citations?view_op=view_citation&amp;hl=id&amp;user=gNEBMMEAAAAJ&amp;sortby=pubdate&amp;citation_for_view=gNEBMMEAAAAJ:sSrBHYA8nusC" TargetMode="External"/><Relationship Id="rId889" Type="http://schemas.openxmlformats.org/officeDocument/2006/relationships/hyperlink" Target="https://scholar.google.com/citations?view_op=view_citation&amp;hl=id&amp;user=B7sSwwEAAAAJ&amp;sortby=pubdate&amp;citation_for_view=B7sSwwEAAAAJ:p2g8aNsByqUC" TargetMode="External"/><Relationship Id="rId880" Type="http://schemas.openxmlformats.org/officeDocument/2006/relationships/hyperlink" Target="https://scholar.google.com/citations?view_op=view_citation&amp;hl=id&amp;user=B7sSwwEAAAAJ&amp;sortby=pubdate&amp;citation_for_view=B7sSwwEAAAAJ:CHSYGLWDkRkC" TargetMode="External"/><Relationship Id="rId400" Type="http://schemas.openxmlformats.org/officeDocument/2006/relationships/hyperlink" Target="https://scholar.google.com/citations?view_op=view_citation&amp;hl=id&amp;user=aWHkGCMAAAAJ&amp;sortby=pubdate&amp;citation_for_view=aWHkGCMAAAAJ:Zph67rFs4hoC" TargetMode="External"/><Relationship Id="rId642" Type="http://schemas.openxmlformats.org/officeDocument/2006/relationships/hyperlink" Target="https://scholar.google.com/citations?view_op=view_citation&amp;hl=id&amp;user=gNEBMMEAAAAJ&amp;sortby=pubdate&amp;citation_for_view=gNEBMMEAAAAJ:K3LRdlH-MEoC" TargetMode="External"/><Relationship Id="rId884" Type="http://schemas.openxmlformats.org/officeDocument/2006/relationships/hyperlink" Target="https://scholar.google.com/citations?view_op=view_citation&amp;hl=id&amp;user=B7sSwwEAAAAJ&amp;sortby=pubdate&amp;citation_for_view=B7sSwwEAAAAJ:fPk4N6BV_jEC" TargetMode="External"/><Relationship Id="rId641" Type="http://schemas.openxmlformats.org/officeDocument/2006/relationships/hyperlink" Target="https://scholar.google.com/citations?view_op=view_citation&amp;hl=id&amp;user=gNEBMMEAAAAJ&amp;sortby=pubdate&amp;citation_for_view=gNEBMMEAAAAJ:tOudhMTPpwUC" TargetMode="External"/><Relationship Id="rId883" Type="http://schemas.openxmlformats.org/officeDocument/2006/relationships/hyperlink" Target="https://scholar.google.com/citations?view_op=view_citation&amp;hl=id&amp;user=B7sSwwEAAAAJ&amp;sortby=pubdate&amp;citation_for_view=B7sSwwEAAAAJ:UxriW0iASnsC" TargetMode="External"/><Relationship Id="rId640" Type="http://schemas.openxmlformats.org/officeDocument/2006/relationships/hyperlink" Target="https://scholar.google.com/citations?view_op=view_citation&amp;hl=id&amp;user=gNEBMMEAAAAJ&amp;sortby=pubdate&amp;citation_for_view=gNEBMMEAAAAJ:tOudhMTPpwUC" TargetMode="External"/><Relationship Id="rId882" Type="http://schemas.openxmlformats.org/officeDocument/2006/relationships/hyperlink" Target="https://scholar.google.com/citations?view_op=view_citation&amp;hl=id&amp;user=B7sSwwEAAAAJ&amp;sortby=pubdate&amp;citation_for_view=B7sSwwEAAAAJ:UxriW0iASnsC" TargetMode="External"/><Relationship Id="rId881" Type="http://schemas.openxmlformats.org/officeDocument/2006/relationships/hyperlink" Target="https://scholar.google.com/citations?view_op=view_citation&amp;hl=id&amp;user=B7sSwwEAAAAJ&amp;sortby=pubdate&amp;citation_for_view=B7sSwwEAAAAJ:CHSYGLWDkRkC" TargetMode="External"/><Relationship Id="rId635" Type="http://schemas.openxmlformats.org/officeDocument/2006/relationships/hyperlink" Target="https://scholar.google.com/citations?view_op=view_citation&amp;hl=id&amp;user=gNEBMMEAAAAJ&amp;sortby=pubdate&amp;citation_for_view=gNEBMMEAAAAJ:08ZZubdj9fEC" TargetMode="External"/><Relationship Id="rId877" Type="http://schemas.openxmlformats.org/officeDocument/2006/relationships/hyperlink" Target="https://scholar.google.com/citations?view_op=view_citation&amp;hl=id&amp;user=B7sSwwEAAAAJ&amp;sortby=pubdate&amp;citation_for_view=B7sSwwEAAAAJ:KxtntwgDAa4C" TargetMode="External"/><Relationship Id="rId634" Type="http://schemas.openxmlformats.org/officeDocument/2006/relationships/hyperlink" Target="https://scholar.google.com/citations?view_op=view_citation&amp;hl=id&amp;user=gNEBMMEAAAAJ&amp;sortby=pubdate&amp;citation_for_view=gNEBMMEAAAAJ:08ZZubdj9fEC" TargetMode="External"/><Relationship Id="rId876" Type="http://schemas.openxmlformats.org/officeDocument/2006/relationships/hyperlink" Target="https://scholar.google.com/citations?view_op=view_citation&amp;hl=id&amp;user=B7sSwwEAAAAJ&amp;sortby=pubdate&amp;citation_for_view=B7sSwwEAAAAJ:KxtntwgDAa4C" TargetMode="External"/><Relationship Id="rId633" Type="http://schemas.openxmlformats.org/officeDocument/2006/relationships/hyperlink" Target="https://scholar.google.com/citations?view_op=view_citation&amp;hl=id&amp;user=gNEBMMEAAAAJ&amp;sortby=pubdate&amp;citation_for_view=gNEBMMEAAAAJ:D_sINldO8mEC" TargetMode="External"/><Relationship Id="rId875" Type="http://schemas.openxmlformats.org/officeDocument/2006/relationships/hyperlink" Target="https://scholar.google.com/citations?view_op=view_citation&amp;hl=id&amp;user=B7sSwwEAAAAJ&amp;sortby=pubdate&amp;citation_for_view=B7sSwwEAAAAJ:dshw04ExmUIC" TargetMode="External"/><Relationship Id="rId632" Type="http://schemas.openxmlformats.org/officeDocument/2006/relationships/hyperlink" Target="https://scholar.google.com/citations?view_op=view_citation&amp;hl=id&amp;user=gNEBMMEAAAAJ&amp;sortby=pubdate&amp;citation_for_view=gNEBMMEAAAAJ:D_sINldO8mEC" TargetMode="External"/><Relationship Id="rId874" Type="http://schemas.openxmlformats.org/officeDocument/2006/relationships/hyperlink" Target="https://scholar.google.com/citations?view_op=view_citation&amp;hl=id&amp;user=B7sSwwEAAAAJ&amp;sortby=pubdate&amp;citation_for_view=B7sSwwEAAAAJ:dshw04ExmUIC" TargetMode="External"/><Relationship Id="rId639" Type="http://schemas.openxmlformats.org/officeDocument/2006/relationships/hyperlink" Target="https://scholar.google.com/citations?view_op=view_citation&amp;hl=id&amp;user=gNEBMMEAAAAJ&amp;sortby=pubdate&amp;citation_for_view=gNEBMMEAAAAJ:vRqMK49ujn8C" TargetMode="External"/><Relationship Id="rId638" Type="http://schemas.openxmlformats.org/officeDocument/2006/relationships/hyperlink" Target="https://scholar.google.com/citations?view_op=view_citation&amp;hl=id&amp;user=gNEBMMEAAAAJ&amp;sortby=pubdate&amp;citation_for_view=gNEBMMEAAAAJ:vRqMK49ujn8C" TargetMode="External"/><Relationship Id="rId637" Type="http://schemas.openxmlformats.org/officeDocument/2006/relationships/hyperlink" Target="https://scholar.google.com/citations?view_op=view_citation&amp;hl=id&amp;user=gNEBMMEAAAAJ&amp;sortby=pubdate&amp;citation_for_view=gNEBMMEAAAAJ:B3FOqHPlNUQC" TargetMode="External"/><Relationship Id="rId879" Type="http://schemas.openxmlformats.org/officeDocument/2006/relationships/hyperlink" Target="https://scholar.google.com/citations?view_op=view_citation&amp;hl=id&amp;user=B7sSwwEAAAAJ&amp;sortby=pubdate&amp;citation_for_view=B7sSwwEAAAAJ:nb7KW1ujOQ8C" TargetMode="External"/><Relationship Id="rId636" Type="http://schemas.openxmlformats.org/officeDocument/2006/relationships/hyperlink" Target="https://scholar.google.com/citations?view_op=view_citation&amp;hl=id&amp;user=gNEBMMEAAAAJ&amp;sortby=pubdate&amp;citation_for_view=gNEBMMEAAAAJ:B3FOqHPlNUQC" TargetMode="External"/><Relationship Id="rId878" Type="http://schemas.openxmlformats.org/officeDocument/2006/relationships/hyperlink" Target="https://scholar.google.com/citations?view_op=view_citation&amp;hl=id&amp;user=B7sSwwEAAAAJ&amp;sortby=pubdate&amp;citation_for_view=B7sSwwEAAAAJ:nb7KW1ujOQ8C" TargetMode="External"/><Relationship Id="rId631" Type="http://schemas.openxmlformats.org/officeDocument/2006/relationships/hyperlink" Target="https://scholar.google.com/citations?view_op=view_citation&amp;hl=id&amp;user=gNEBMMEAAAAJ&amp;sortby=pubdate&amp;citation_for_view=gNEBMMEAAAAJ:eJXPG6dFmWUC" TargetMode="External"/><Relationship Id="rId873" Type="http://schemas.openxmlformats.org/officeDocument/2006/relationships/hyperlink" Target="https://scholar.google.com/citations?view_op=view_citation&amp;hl=id&amp;user=B7sSwwEAAAAJ&amp;sortby=pubdate&amp;citation_for_view=B7sSwwEAAAAJ:u9iWguZQMMsC" TargetMode="External"/><Relationship Id="rId630" Type="http://schemas.openxmlformats.org/officeDocument/2006/relationships/hyperlink" Target="https://scholar.google.com/citations?view_op=view_citation&amp;hl=id&amp;user=gNEBMMEAAAAJ&amp;sortby=pubdate&amp;citation_for_view=gNEBMMEAAAAJ:eJXPG6dFmWUC" TargetMode="External"/><Relationship Id="rId872" Type="http://schemas.openxmlformats.org/officeDocument/2006/relationships/hyperlink" Target="https://scholar.google.com/citations?view_op=view_citation&amp;hl=id&amp;user=B7sSwwEAAAAJ&amp;sortby=pubdate&amp;citation_for_view=B7sSwwEAAAAJ:u9iWguZQMMsC" TargetMode="External"/><Relationship Id="rId871" Type="http://schemas.openxmlformats.org/officeDocument/2006/relationships/hyperlink" Target="https://scholar.google.com/citations?view_op=view_citation&amp;hl=id&amp;user=B7sSwwEAAAAJ&amp;sortby=pubdate&amp;citation_for_view=B7sSwwEAAAAJ:Tiz5es2fbqcC" TargetMode="External"/><Relationship Id="rId870" Type="http://schemas.openxmlformats.org/officeDocument/2006/relationships/hyperlink" Target="https://scholar.google.com/citations?view_op=view_citation&amp;hl=id&amp;user=B7sSwwEAAAAJ&amp;sortby=pubdate&amp;citation_for_view=B7sSwwEAAAAJ:Tiz5es2fbqcC" TargetMode="External"/><Relationship Id="rId829" Type="http://schemas.openxmlformats.org/officeDocument/2006/relationships/hyperlink" Target="https://scholar.google.com/citations?view_op=view_citation&amp;hl=id&amp;user=H3IYHJUAAAAJ&amp;cstart=20&amp;pagesize=80&amp;sortby=pubdate&amp;citation_for_view=H3IYHJUAAAAJ:SP6oXDckpogC" TargetMode="External"/><Relationship Id="rId828" Type="http://schemas.openxmlformats.org/officeDocument/2006/relationships/hyperlink" Target="https://scholar.google.com/citations?view_op=view_citation&amp;hl=id&amp;user=H3IYHJUAAAAJ&amp;cstart=20&amp;pagesize=80&amp;sortby=pubdate&amp;citation_for_view=H3IYHJUAAAAJ:SP6oXDckpogC" TargetMode="External"/><Relationship Id="rId827" Type="http://schemas.openxmlformats.org/officeDocument/2006/relationships/hyperlink" Target="https://scholar.google.com/citations?view_op=view_citation&amp;hl=id&amp;user=H3IYHJUAAAAJ&amp;cstart=20&amp;pagesize=80&amp;sortby=pubdate&amp;citation_for_view=H3IYHJUAAAAJ:P5F9QuxV20EC" TargetMode="External"/><Relationship Id="rId822" Type="http://schemas.openxmlformats.org/officeDocument/2006/relationships/hyperlink" Target="https://scholar.google.com/citations?view_op=view_citation&amp;hl=id&amp;user=H3IYHJUAAAAJ&amp;cstart=20&amp;pagesize=80&amp;sortby=pubdate&amp;citation_for_view=H3IYHJUAAAAJ:KxtntwgDAa4C" TargetMode="External"/><Relationship Id="rId821" Type="http://schemas.openxmlformats.org/officeDocument/2006/relationships/hyperlink" Target="https://scholar.google.com/citations?view_op=view_citation&amp;hl=id&amp;user=H3IYHJUAAAAJ&amp;cstart=20&amp;pagesize=80&amp;sortby=pubdate&amp;citation_for_view=H3IYHJUAAAAJ:bFI3QPDXJZMC" TargetMode="External"/><Relationship Id="rId820" Type="http://schemas.openxmlformats.org/officeDocument/2006/relationships/hyperlink" Target="https://scholar.google.com/citations?view_op=view_citation&amp;hl=id&amp;user=H3IYHJUAAAAJ&amp;cstart=20&amp;pagesize=80&amp;sortby=pubdate&amp;citation_for_view=H3IYHJUAAAAJ:bFI3QPDXJZMC" TargetMode="External"/><Relationship Id="rId826" Type="http://schemas.openxmlformats.org/officeDocument/2006/relationships/hyperlink" Target="https://scholar.google.com/citations?view_op=view_citation&amp;hl=id&amp;user=H3IYHJUAAAAJ&amp;cstart=20&amp;pagesize=80&amp;sortby=pubdate&amp;citation_for_view=H3IYHJUAAAAJ:P5F9QuxV20EC" TargetMode="External"/><Relationship Id="rId825" Type="http://schemas.openxmlformats.org/officeDocument/2006/relationships/hyperlink" Target="https://scholar.google.com/citations?view_op=view_citation&amp;hl=id&amp;user=H3IYHJUAAAAJ&amp;cstart=20&amp;pagesize=80&amp;sortby=pubdate&amp;citation_for_view=H3IYHJUAAAAJ:nb7KW1ujOQ8C" TargetMode="External"/><Relationship Id="rId824" Type="http://schemas.openxmlformats.org/officeDocument/2006/relationships/hyperlink" Target="https://scholar.google.com/citations?view_op=view_citation&amp;hl=id&amp;user=H3IYHJUAAAAJ&amp;cstart=20&amp;pagesize=80&amp;sortby=pubdate&amp;citation_for_view=H3IYHJUAAAAJ:nb7KW1ujOQ8C" TargetMode="External"/><Relationship Id="rId823" Type="http://schemas.openxmlformats.org/officeDocument/2006/relationships/hyperlink" Target="https://scholar.google.com/citations?view_op=view_citation&amp;hl=id&amp;user=H3IYHJUAAAAJ&amp;cstart=20&amp;pagesize=80&amp;sortby=pubdate&amp;citation_for_view=H3IYHJUAAAAJ:KxtntwgDAa4C" TargetMode="External"/><Relationship Id="rId819" Type="http://schemas.openxmlformats.org/officeDocument/2006/relationships/hyperlink" Target="https://scholar.google.com/citations?view_op=view_citation&amp;hl=id&amp;user=H3IYHJUAAAAJ&amp;sortby=pubdate&amp;citation_for_view=H3IYHJUAAAAJ:_xSYboBqXhAC" TargetMode="External"/><Relationship Id="rId818" Type="http://schemas.openxmlformats.org/officeDocument/2006/relationships/hyperlink" Target="https://scholar.google.com/citations?view_op=view_citation&amp;hl=id&amp;user=H3IYHJUAAAAJ&amp;sortby=pubdate&amp;citation_for_view=H3IYHJUAAAAJ:_xSYboBqXhAC" TargetMode="External"/><Relationship Id="rId817" Type="http://schemas.openxmlformats.org/officeDocument/2006/relationships/hyperlink" Target="https://scholar.google.com/citations?view_op=view_citation&amp;hl=id&amp;user=H3IYHJUAAAAJ&amp;sortby=pubdate&amp;citation_for_view=H3IYHJUAAAAJ:dshw04ExmUIC" TargetMode="External"/><Relationship Id="rId816" Type="http://schemas.openxmlformats.org/officeDocument/2006/relationships/hyperlink" Target="https://scholar.google.com/citations?view_op=view_citation&amp;hl=id&amp;user=H3IYHJUAAAAJ&amp;sortby=pubdate&amp;citation_for_view=H3IYHJUAAAAJ:dshw04ExmUIC" TargetMode="External"/><Relationship Id="rId811" Type="http://schemas.openxmlformats.org/officeDocument/2006/relationships/hyperlink" Target="https://scholar.google.com/citations?view_op=view_citation&amp;hl=id&amp;user=H3IYHJUAAAAJ&amp;sortby=pubdate&amp;citation_for_view=H3IYHJUAAAAJ:OU6Ihb5iCvQC" TargetMode="External"/><Relationship Id="rId810" Type="http://schemas.openxmlformats.org/officeDocument/2006/relationships/hyperlink" Target="https://scholar.google.com/citations?view_op=view_citation&amp;hl=id&amp;user=H3IYHJUAAAAJ&amp;sortby=pubdate&amp;citation_for_view=H3IYHJUAAAAJ:OU6Ihb5iCvQC" TargetMode="External"/><Relationship Id="rId815" Type="http://schemas.openxmlformats.org/officeDocument/2006/relationships/hyperlink" Target="https://scholar.google.com/citations?view_op=view_citation&amp;hl=id&amp;user=H3IYHJUAAAAJ&amp;sortby=pubdate&amp;citation_for_view=H3IYHJUAAAAJ:UxriW0iASnsC" TargetMode="External"/><Relationship Id="rId814" Type="http://schemas.openxmlformats.org/officeDocument/2006/relationships/hyperlink" Target="https://scholar.google.com/citations?view_op=view_citation&amp;hl=id&amp;user=H3IYHJUAAAAJ&amp;sortby=pubdate&amp;citation_for_view=H3IYHJUAAAAJ:UxriW0iASnsC" TargetMode="External"/><Relationship Id="rId813" Type="http://schemas.openxmlformats.org/officeDocument/2006/relationships/hyperlink" Target="https://scholar.google.com/citations?view_op=view_citation&amp;hl=id&amp;user=H3IYHJUAAAAJ&amp;sortby=pubdate&amp;citation_for_view=H3IYHJUAAAAJ:uWQEDVKXjbEC" TargetMode="External"/><Relationship Id="rId812" Type="http://schemas.openxmlformats.org/officeDocument/2006/relationships/hyperlink" Target="https://scholar.google.com/citations?view_op=view_citation&amp;hl=id&amp;user=H3IYHJUAAAAJ&amp;sortby=pubdate&amp;citation_for_view=H3IYHJUAAAAJ:uWQEDVKXjbEC" TargetMode="External"/><Relationship Id="rId609" Type="http://schemas.openxmlformats.org/officeDocument/2006/relationships/hyperlink" Target="https://scholar.google.com/citations?view_op=view_citation&amp;hl=id&amp;user=A1592kEAAAAJ&amp;cstart=20&amp;pagesize=80&amp;sortby=pubdate&amp;citation_for_view=A1592kEAAAAJ:MNNNGtAgD4EC" TargetMode="External"/><Relationship Id="rId608" Type="http://schemas.openxmlformats.org/officeDocument/2006/relationships/hyperlink" Target="https://scholar.google.com/citations?view_op=view_citation&amp;hl=id&amp;user=A1592kEAAAAJ&amp;cstart=20&amp;pagesize=80&amp;sortby=pubdate&amp;citation_for_view=A1592kEAAAAJ:MNNNGtAgD4EC" TargetMode="External"/><Relationship Id="rId607" Type="http://schemas.openxmlformats.org/officeDocument/2006/relationships/hyperlink" Target="https://scholar.google.com/citations?view_op=view_citation&amp;hl=id&amp;user=A1592kEAAAAJ&amp;cstart=20&amp;pagesize=80&amp;sortby=pubdate&amp;citation_for_view=A1592kEAAAAJ:XeErXHja3Z8C" TargetMode="External"/><Relationship Id="rId849" Type="http://schemas.openxmlformats.org/officeDocument/2006/relationships/hyperlink" Target="https://scholar.google.com/citations?view_op=view_citation&amp;hl=id&amp;user=H3IYHJUAAAAJ&amp;cstart=20&amp;pagesize=80&amp;sortby=pubdate&amp;citation_for_view=H3IYHJUAAAAJ:rO6llkc54NcC" TargetMode="External"/><Relationship Id="rId602" Type="http://schemas.openxmlformats.org/officeDocument/2006/relationships/hyperlink" Target="https://scholar.google.com/citations?view_op=view_citation&amp;hl=id&amp;user=A1592kEAAAAJ&amp;cstart=20&amp;pagesize=80&amp;sortby=pubdate&amp;citation_for_view=A1592kEAAAAJ:tgTmbKTkO1IC" TargetMode="External"/><Relationship Id="rId844" Type="http://schemas.openxmlformats.org/officeDocument/2006/relationships/hyperlink" Target="https://scholar.google.com/citations?view_op=view_citation&amp;hl=id&amp;user=H3IYHJUAAAAJ&amp;cstart=20&amp;pagesize=80&amp;sortby=pubdate&amp;citation_for_view=H3IYHJUAAAAJ:cFHS6HbyZ2cC" TargetMode="External"/><Relationship Id="rId601" Type="http://schemas.openxmlformats.org/officeDocument/2006/relationships/hyperlink" Target="https://scholar.google.com/citations?view_op=view_citation&amp;hl=id&amp;user=A1592kEAAAAJ&amp;sortby=pubdate&amp;citation_for_view=A1592kEAAAAJ:SWgZeABleR0C" TargetMode="External"/><Relationship Id="rId843" Type="http://schemas.openxmlformats.org/officeDocument/2006/relationships/hyperlink" Target="https://scholar.google.com/citations?view_op=view_citation&amp;hl=id&amp;user=H3IYHJUAAAAJ&amp;cstart=20&amp;pagesize=80&amp;sortby=pubdate&amp;citation_for_view=H3IYHJUAAAAJ:yD5IFk8b50cC" TargetMode="External"/><Relationship Id="rId600" Type="http://schemas.openxmlformats.org/officeDocument/2006/relationships/hyperlink" Target="https://scholar.google.com/citations?view_op=view_citation&amp;hl=id&amp;user=A1592kEAAAAJ&amp;sortby=pubdate&amp;citation_for_view=A1592kEAAAAJ:SWgZeABleR0C" TargetMode="External"/><Relationship Id="rId842" Type="http://schemas.openxmlformats.org/officeDocument/2006/relationships/hyperlink" Target="https://scholar.google.com/citations?view_op=view_citation&amp;hl=id&amp;user=H3IYHJUAAAAJ&amp;cstart=20&amp;pagesize=80&amp;sortby=pubdate&amp;citation_for_view=H3IYHJUAAAAJ:yD5IFk8b50cC" TargetMode="External"/><Relationship Id="rId841" Type="http://schemas.openxmlformats.org/officeDocument/2006/relationships/hyperlink" Target="https://scholar.google.com/citations?view_op=view_citation&amp;hl=id&amp;user=H3IYHJUAAAAJ&amp;cstart=20&amp;pagesize=80&amp;sortby=pubdate&amp;citation_for_view=H3IYHJUAAAAJ:4OULZ7Gr8RgC" TargetMode="External"/><Relationship Id="rId606" Type="http://schemas.openxmlformats.org/officeDocument/2006/relationships/hyperlink" Target="https://scholar.google.com/citations?view_op=view_citation&amp;hl=id&amp;user=A1592kEAAAAJ&amp;cstart=20&amp;pagesize=80&amp;sortby=pubdate&amp;citation_for_view=A1592kEAAAAJ:XeErXHja3Z8C" TargetMode="External"/><Relationship Id="rId848" Type="http://schemas.openxmlformats.org/officeDocument/2006/relationships/hyperlink" Target="https://scholar.google.com/citations?view_op=view_citation&amp;hl=id&amp;user=H3IYHJUAAAAJ&amp;cstart=20&amp;pagesize=80&amp;sortby=pubdate&amp;citation_for_view=H3IYHJUAAAAJ:rO6llkc54NcC" TargetMode="External"/><Relationship Id="rId605" Type="http://schemas.openxmlformats.org/officeDocument/2006/relationships/hyperlink" Target="https://scholar.google.com/citations?view_op=view_citation&amp;hl=id&amp;user=A1592kEAAAAJ&amp;cstart=20&amp;pagesize=80&amp;sortby=pubdate&amp;citation_for_view=A1592kEAAAAJ:1paMEeroeoQC" TargetMode="External"/><Relationship Id="rId847" Type="http://schemas.openxmlformats.org/officeDocument/2006/relationships/hyperlink" Target="https://scholar.google.com/citations?view_op=view_citation&amp;hl=id&amp;user=H3IYHJUAAAAJ&amp;cstart=20&amp;pagesize=80&amp;sortby=pubdate&amp;citation_for_view=H3IYHJUAAAAJ:fPk4N6BV_jEC" TargetMode="External"/><Relationship Id="rId604" Type="http://schemas.openxmlformats.org/officeDocument/2006/relationships/hyperlink" Target="https://scholar.google.com/citations?view_op=view_citation&amp;hl=id&amp;user=A1592kEAAAAJ&amp;cstart=20&amp;pagesize=80&amp;sortby=pubdate&amp;citation_for_view=A1592kEAAAAJ:1paMEeroeoQC" TargetMode="External"/><Relationship Id="rId846" Type="http://schemas.openxmlformats.org/officeDocument/2006/relationships/hyperlink" Target="https://scholar.google.com/citations?view_op=view_citation&amp;hl=id&amp;user=H3IYHJUAAAAJ&amp;cstart=20&amp;pagesize=80&amp;sortby=pubdate&amp;citation_for_view=H3IYHJUAAAAJ:fPk4N6BV_jEC" TargetMode="External"/><Relationship Id="rId603" Type="http://schemas.openxmlformats.org/officeDocument/2006/relationships/hyperlink" Target="https://scholar.google.com/citations?view_op=view_citation&amp;hl=id&amp;user=A1592kEAAAAJ&amp;cstart=20&amp;pagesize=80&amp;sortby=pubdate&amp;citation_for_view=A1592kEAAAAJ:tgTmbKTkO1IC" TargetMode="External"/><Relationship Id="rId845" Type="http://schemas.openxmlformats.org/officeDocument/2006/relationships/hyperlink" Target="https://scholar.google.com/citations?view_op=view_citation&amp;hl=id&amp;user=H3IYHJUAAAAJ&amp;cstart=20&amp;pagesize=80&amp;sortby=pubdate&amp;citation_for_view=H3IYHJUAAAAJ:cFHS6HbyZ2cC" TargetMode="External"/><Relationship Id="rId840" Type="http://schemas.openxmlformats.org/officeDocument/2006/relationships/hyperlink" Target="https://scholar.google.com/citations?view_op=view_citation&amp;hl=id&amp;user=H3IYHJUAAAAJ&amp;cstart=20&amp;pagesize=80&amp;sortby=pubdate&amp;citation_for_view=H3IYHJUAAAAJ:4OULZ7Gr8RgC" TargetMode="External"/><Relationship Id="rId839" Type="http://schemas.openxmlformats.org/officeDocument/2006/relationships/hyperlink" Target="https://scholar.google.com/citations?view_op=view_citation&amp;hl=id&amp;user=H3IYHJUAAAAJ&amp;cstart=20&amp;pagesize=80&amp;sortby=pubdate&amp;citation_for_view=H3IYHJUAAAAJ:pyW8ca7W8N0C" TargetMode="External"/><Relationship Id="rId838" Type="http://schemas.openxmlformats.org/officeDocument/2006/relationships/hyperlink" Target="https://scholar.google.com/citations?view_op=view_citation&amp;hl=id&amp;user=H3IYHJUAAAAJ&amp;cstart=20&amp;pagesize=80&amp;sortby=pubdate&amp;citation_for_view=H3IYHJUAAAAJ:pyW8ca7W8N0C" TargetMode="External"/><Relationship Id="rId833" Type="http://schemas.openxmlformats.org/officeDocument/2006/relationships/hyperlink" Target="https://scholar.google.com/citations?view_op=view_citation&amp;hl=id&amp;user=H3IYHJUAAAAJ&amp;cstart=20&amp;pagesize=80&amp;sortby=pubdate&amp;citation_for_view=H3IYHJUAAAAJ:f2IySw72cVMC" TargetMode="External"/><Relationship Id="rId832" Type="http://schemas.openxmlformats.org/officeDocument/2006/relationships/hyperlink" Target="https://scholar.google.com/citations?view_op=view_citation&amp;hl=id&amp;user=H3IYHJUAAAAJ&amp;cstart=20&amp;pagesize=80&amp;sortby=pubdate&amp;citation_for_view=H3IYHJUAAAAJ:f2IySw72cVMC" TargetMode="External"/><Relationship Id="rId831" Type="http://schemas.openxmlformats.org/officeDocument/2006/relationships/hyperlink" Target="https://scholar.google.com/citations?view_op=view_citation&amp;hl=id&amp;user=H3IYHJUAAAAJ&amp;cstart=20&amp;pagesize=80&amp;sortby=pubdate&amp;citation_for_view=H3IYHJUAAAAJ:EUQCXRtRnyEC" TargetMode="External"/><Relationship Id="rId830" Type="http://schemas.openxmlformats.org/officeDocument/2006/relationships/hyperlink" Target="https://scholar.google.com/citations?view_op=view_citation&amp;hl=id&amp;user=H3IYHJUAAAAJ&amp;cstart=20&amp;pagesize=80&amp;sortby=pubdate&amp;citation_for_view=H3IYHJUAAAAJ:EUQCXRtRnyEC" TargetMode="External"/><Relationship Id="rId837" Type="http://schemas.openxmlformats.org/officeDocument/2006/relationships/hyperlink" Target="https://scholar.google.com/citations?view_op=view_citation&amp;hl=id&amp;user=H3IYHJUAAAAJ&amp;cstart=20&amp;pagesize=80&amp;sortby=pubdate&amp;citation_for_view=H3IYHJUAAAAJ:a0OBvERweLwC" TargetMode="External"/><Relationship Id="rId836" Type="http://schemas.openxmlformats.org/officeDocument/2006/relationships/hyperlink" Target="https://scholar.google.com/citations?view_op=view_citation&amp;hl=id&amp;user=H3IYHJUAAAAJ&amp;cstart=20&amp;pagesize=80&amp;sortby=pubdate&amp;citation_for_view=H3IYHJUAAAAJ:a0OBvERweLwC" TargetMode="External"/><Relationship Id="rId835" Type="http://schemas.openxmlformats.org/officeDocument/2006/relationships/hyperlink" Target="https://scholar.google.com/citations?view_op=view_citation&amp;hl=id&amp;user=H3IYHJUAAAAJ&amp;cstart=20&amp;pagesize=80&amp;sortby=pubdate&amp;citation_for_view=H3IYHJUAAAAJ:D03iK_w7-QYC" TargetMode="External"/><Relationship Id="rId834" Type="http://schemas.openxmlformats.org/officeDocument/2006/relationships/hyperlink" Target="https://scholar.google.com/citations?view_op=view_citation&amp;hl=id&amp;user=H3IYHJUAAAAJ&amp;cstart=20&amp;pagesize=80&amp;sortby=pubdate&amp;citation_for_view=H3IYHJUAAAAJ:D03iK_w7-QYC" TargetMode="External"/><Relationship Id="rId228" Type="http://schemas.openxmlformats.org/officeDocument/2006/relationships/hyperlink" Target="https://scholar.google.co.id/citations?view_op=view_citation&amp;hl=en&amp;user=rTFTuCYAAAAJ&amp;sortby=pubdate&amp;citation_for_view=rTFTuCYAAAAJ:8k81kl-MbHgC" TargetMode="External"/><Relationship Id="rId227" Type="http://schemas.openxmlformats.org/officeDocument/2006/relationships/hyperlink" Target="https://scholar.google.co.id/citations?view_op=view_citation&amp;hl=en&amp;user=rTFTuCYAAAAJ&amp;sortby=pubdate&amp;citation_for_view=rTFTuCYAAAAJ:KlAtU1dfN6UC" TargetMode="External"/><Relationship Id="rId469" Type="http://schemas.openxmlformats.org/officeDocument/2006/relationships/hyperlink" Target="https://scholar.google.com/citations?view_op=view_citation&amp;hl=id&amp;user=3duyAQMAAAAJ&amp;sortby=pubdate&amp;citation_for_view=3duyAQMAAAAJ:_kc_bZDykSQC" TargetMode="External"/><Relationship Id="rId226" Type="http://schemas.openxmlformats.org/officeDocument/2006/relationships/hyperlink" Target="https://scholar.google.co.id/citations?view_op=view_citation&amp;hl=en&amp;user=rTFTuCYAAAAJ&amp;sortby=pubdate&amp;citation_for_view=rTFTuCYAAAAJ:KlAtU1dfN6UC" TargetMode="External"/><Relationship Id="rId468" Type="http://schemas.openxmlformats.org/officeDocument/2006/relationships/hyperlink" Target="https://scholar.google.com/citations?view_op=view_citation&amp;hl=id&amp;user=3duyAQMAAAAJ&amp;sortby=pubdate&amp;citation_for_view=3duyAQMAAAAJ:_kc_bZDykSQC" TargetMode="External"/><Relationship Id="rId225" Type="http://schemas.openxmlformats.org/officeDocument/2006/relationships/hyperlink" Target="https://scholar.google.co.id/citations?view_op=view_citation&amp;hl=en&amp;user=rTFTuCYAAAAJ&amp;sortby=pubdate&amp;citation_for_view=rTFTuCYAAAAJ:3fE2CSJIrl8C" TargetMode="External"/><Relationship Id="rId467" Type="http://schemas.openxmlformats.org/officeDocument/2006/relationships/hyperlink" Target="https://scholar.google.com/citations?view_op=view_citation&amp;hl=id&amp;user=3duyAQMAAAAJ&amp;sortby=pubdate&amp;citation_for_view=3duyAQMAAAAJ:_FxGoFyzp5QC" TargetMode="External"/><Relationship Id="rId229" Type="http://schemas.openxmlformats.org/officeDocument/2006/relationships/hyperlink" Target="https://scholar.google.co.id/citations?view_op=view_citation&amp;hl=en&amp;user=rTFTuCYAAAAJ&amp;sortby=pubdate&amp;citation_for_view=rTFTuCYAAAAJ:8k81kl-MbHgC" TargetMode="External"/><Relationship Id="rId220" Type="http://schemas.openxmlformats.org/officeDocument/2006/relationships/hyperlink" Target="https://scholar.google.com/citations?view_op=view_citation&amp;hl=en&amp;user=Hs9bkN0AAAAJ&amp;sortby=pubdate&amp;citation_for_view=Hs9bkN0AAAAJ:Wp0gIr-vW9MC" TargetMode="External"/><Relationship Id="rId462" Type="http://schemas.openxmlformats.org/officeDocument/2006/relationships/hyperlink" Target="https://scholar.google.com/citations?view_op=view_citation&amp;hl=id&amp;user=3duyAQMAAAAJ&amp;sortby=pubdate&amp;citation_for_view=3duyAQMAAAAJ:Se3iqnhoufwC" TargetMode="External"/><Relationship Id="rId461" Type="http://schemas.openxmlformats.org/officeDocument/2006/relationships/hyperlink" Target="https://scholar.google.com/citations?view_op=view_citation&amp;hl=id&amp;user=3duyAQMAAAAJ&amp;sortby=pubdate&amp;citation_for_view=3duyAQMAAAAJ:LkGwnXOMwfcC" TargetMode="External"/><Relationship Id="rId460" Type="http://schemas.openxmlformats.org/officeDocument/2006/relationships/hyperlink" Target="https://scholar.google.com/citations?view_op=view_citation&amp;hl=id&amp;user=3duyAQMAAAAJ&amp;sortby=pubdate&amp;citation_for_view=3duyAQMAAAAJ:LkGwnXOMwfcC" TargetMode="External"/><Relationship Id="rId224" Type="http://schemas.openxmlformats.org/officeDocument/2006/relationships/hyperlink" Target="https://scholar.google.co.id/citations?view_op=view_citation&amp;hl=en&amp;user=rTFTuCYAAAAJ&amp;sortby=pubdate&amp;citation_for_view=rTFTuCYAAAAJ:3fE2CSJIrl8C" TargetMode="External"/><Relationship Id="rId466" Type="http://schemas.openxmlformats.org/officeDocument/2006/relationships/hyperlink" Target="https://scholar.google.com/citations?view_op=view_citation&amp;hl=id&amp;user=3duyAQMAAAAJ&amp;sortby=pubdate&amp;citation_for_view=3duyAQMAAAAJ:_FxGoFyzp5QC" TargetMode="External"/><Relationship Id="rId223" Type="http://schemas.openxmlformats.org/officeDocument/2006/relationships/hyperlink" Target="https://scholar.google.co.id/citations?view_op=view_citation&amp;hl=en&amp;user=rTFTuCYAAAAJ&amp;sortby=pubdate&amp;citation_for_view=rTFTuCYAAAAJ:kNdYIx-mwKoC" TargetMode="External"/><Relationship Id="rId465" Type="http://schemas.openxmlformats.org/officeDocument/2006/relationships/hyperlink" Target="https://scholar.google.com/citations?view_op=view_citation&amp;hl=id&amp;user=3duyAQMAAAAJ&amp;sortby=pubdate&amp;citation_for_view=3duyAQMAAAAJ:hqOjcs7Dif8C" TargetMode="External"/><Relationship Id="rId222" Type="http://schemas.openxmlformats.org/officeDocument/2006/relationships/hyperlink" Target="https://scholar.google.co.id/citations?view_op=view_citation&amp;hl=en&amp;user=rTFTuCYAAAAJ&amp;sortby=pubdate&amp;citation_for_view=rTFTuCYAAAAJ:kNdYIx-mwKoC" TargetMode="External"/><Relationship Id="rId464" Type="http://schemas.openxmlformats.org/officeDocument/2006/relationships/hyperlink" Target="https://scholar.google.com/citations?view_op=view_citation&amp;hl=id&amp;user=3duyAQMAAAAJ&amp;sortby=pubdate&amp;citation_for_view=3duyAQMAAAAJ:hqOjcs7Dif8C" TargetMode="External"/><Relationship Id="rId221" Type="http://schemas.openxmlformats.org/officeDocument/2006/relationships/hyperlink" Target="https://scholar.google.com/citations?view_op=view_citation&amp;hl=en&amp;user=Hs9bkN0AAAAJ&amp;sortby=pubdate&amp;citation_for_view=Hs9bkN0AAAAJ:4DMP91E08xMC" TargetMode="External"/><Relationship Id="rId463" Type="http://schemas.openxmlformats.org/officeDocument/2006/relationships/hyperlink" Target="https://scholar.google.com/citations?view_op=view_citation&amp;hl=id&amp;user=3duyAQMAAAAJ&amp;sortby=pubdate&amp;citation_for_view=3duyAQMAAAAJ:Se3iqnhoufwC" TargetMode="External"/><Relationship Id="rId217" Type="http://schemas.openxmlformats.org/officeDocument/2006/relationships/hyperlink" Target="https://www.jurnal.polgan.ac.id/index.php/sinkron/article/view/13055" TargetMode="External"/><Relationship Id="rId459" Type="http://schemas.openxmlformats.org/officeDocument/2006/relationships/hyperlink" Target="https://scholar.google.com/citations?view_op=view_citation&amp;hl=id&amp;user=3duyAQMAAAAJ&amp;sortby=pubdate&amp;citation_for_view=3duyAQMAAAAJ:roLk4NBRz8UC" TargetMode="External"/><Relationship Id="rId216" Type="http://schemas.openxmlformats.org/officeDocument/2006/relationships/hyperlink" Target="http://nstproceeding.com/index.php/nuscientech/article/view/892" TargetMode="External"/><Relationship Id="rId458" Type="http://schemas.openxmlformats.org/officeDocument/2006/relationships/hyperlink" Target="https://scholar.google.com/citations?view_op=view_citation&amp;hl=id&amp;user=3duyAQMAAAAJ&amp;sortby=pubdate&amp;citation_for_view=3duyAQMAAAAJ:roLk4NBRz8UC" TargetMode="External"/><Relationship Id="rId215" Type="http://schemas.openxmlformats.org/officeDocument/2006/relationships/hyperlink" Target="https://www.polgan.ac.id/jurnal/index.php/jmp/article/view/12351" TargetMode="External"/><Relationship Id="rId457" Type="http://schemas.openxmlformats.org/officeDocument/2006/relationships/hyperlink" Target="https://scholar.google.com/citations?view_op=view_citation&amp;hl=id&amp;user=3duyAQMAAAAJ&amp;sortby=pubdate&amp;citation_for_view=3duyAQMAAAAJ:ULOm3_A8WrAC" TargetMode="External"/><Relationship Id="rId699" Type="http://schemas.openxmlformats.org/officeDocument/2006/relationships/hyperlink" Target="https://scholar.google.com/citations?view_op=view_citation&amp;hl=id&amp;user=Ysdl_MIAAAAJ&amp;sortby=pubdate&amp;citation_for_view=Ysdl_MIAAAAJ:TFP_iSt0sucC" TargetMode="External"/><Relationship Id="rId214" Type="http://schemas.openxmlformats.org/officeDocument/2006/relationships/hyperlink" Target="https://pubs.aip.org/aip/acp/article-abstract/2531/1/050003/2887512/Natural-language-processing-based-chatbot-for" TargetMode="External"/><Relationship Id="rId456" Type="http://schemas.openxmlformats.org/officeDocument/2006/relationships/hyperlink" Target="https://scholar.google.com/citations?view_op=view_citation&amp;hl=id&amp;user=3duyAQMAAAAJ&amp;sortby=pubdate&amp;citation_for_view=3duyAQMAAAAJ:ULOm3_A8WrAC" TargetMode="External"/><Relationship Id="rId698" Type="http://schemas.openxmlformats.org/officeDocument/2006/relationships/hyperlink" Target="https://scholar.google.com/citations?view_op=view_citation&amp;hl=id&amp;user=Ysdl_MIAAAAJ&amp;sortby=pubdate&amp;citation_for_view=Ysdl_MIAAAAJ:TFP_iSt0sucC" TargetMode="External"/><Relationship Id="rId219" Type="http://schemas.openxmlformats.org/officeDocument/2006/relationships/hyperlink" Target="https://jurnal.polinema.ac.id/index.php/jip/article/view/1728" TargetMode="External"/><Relationship Id="rId218" Type="http://schemas.openxmlformats.org/officeDocument/2006/relationships/hyperlink" Target="https://www.ejurnal.stmik-budidarma.ac.id/index.php/mib/article/view/5330" TargetMode="External"/><Relationship Id="rId451" Type="http://schemas.openxmlformats.org/officeDocument/2006/relationships/hyperlink" Target="https://scholar.google.com/citations?view_op=view_citation&amp;hl=id&amp;user=3duyAQMAAAAJ&amp;sortby=pubdate&amp;citation_for_view=3duyAQMAAAAJ:qxL8FJ1GzNcC" TargetMode="External"/><Relationship Id="rId693" Type="http://schemas.openxmlformats.org/officeDocument/2006/relationships/hyperlink" Target="https://scholar.google.com/citations?view_op=view_citation&amp;hl=id&amp;user=Ysdl_MIAAAAJ&amp;sortby=pubdate&amp;citation_for_view=Ysdl_MIAAAAJ:blknAaTinKkC" TargetMode="External"/><Relationship Id="rId450" Type="http://schemas.openxmlformats.org/officeDocument/2006/relationships/hyperlink" Target="https://scholar.google.com/citations?view_op=view_citation&amp;hl=id&amp;user=3duyAQMAAAAJ&amp;sortby=pubdate&amp;citation_for_view=3duyAQMAAAAJ:qxL8FJ1GzNcC" TargetMode="External"/><Relationship Id="rId692" Type="http://schemas.openxmlformats.org/officeDocument/2006/relationships/hyperlink" Target="https://scholar.google.com/citations?view_op=view_citation&amp;hl=id&amp;user=Ysdl_MIAAAAJ&amp;sortby=pubdate&amp;citation_for_view=Ysdl_MIAAAAJ:blknAaTinKkC" TargetMode="External"/><Relationship Id="rId691" Type="http://schemas.openxmlformats.org/officeDocument/2006/relationships/hyperlink" Target="https://scholar.google.com/citations?view_op=view_citation&amp;hl=id&amp;user=0QGqMHYAAAAJ&amp;sortby=pubdate&amp;citation_for_view=0QGqMHYAAAAJ:d1gkVwhDpl0C" TargetMode="External"/><Relationship Id="rId690" Type="http://schemas.openxmlformats.org/officeDocument/2006/relationships/hyperlink" Target="https://scholar.google.com/citations?view_op=view_citation&amp;hl=id&amp;user=0QGqMHYAAAAJ&amp;sortby=pubdate&amp;citation_for_view=0QGqMHYAAAAJ:d1gkVwhDpl0C" TargetMode="External"/><Relationship Id="rId213" Type="http://schemas.openxmlformats.org/officeDocument/2006/relationships/hyperlink" Target="https://scholar.google.com/citations?view_op=view_citation&amp;hl=en&amp;user=cduv_fAAAAAJ&amp;sortby=pubdate&amp;citation_for_view=cduv_fAAAAAJ:-f6ydRqryjwC" TargetMode="External"/><Relationship Id="rId455" Type="http://schemas.openxmlformats.org/officeDocument/2006/relationships/hyperlink" Target="https://scholar.google.com/citations?view_op=view_citation&amp;hl=id&amp;user=3duyAQMAAAAJ&amp;sortby=pubdate&amp;citation_for_view=3duyAQMAAAAJ:MXK_kJrjxJIC" TargetMode="External"/><Relationship Id="rId697" Type="http://schemas.openxmlformats.org/officeDocument/2006/relationships/hyperlink" Target="https://scholar.google.com/citations?view_op=view_citation&amp;hl=id&amp;user=Ysdl_MIAAAAJ&amp;sortby=pubdate&amp;citation_for_view=Ysdl_MIAAAAJ:isC4tDSrTZIC" TargetMode="External"/><Relationship Id="rId212" Type="http://schemas.openxmlformats.org/officeDocument/2006/relationships/hyperlink" Target="https://scholar.google.com/citations?view_op=view_citation&amp;hl=id&amp;user=VwPMszcAAAAJ&amp;pagesize=100&amp;citation_for_view=VwPMszcAAAAJ:nb7KW1ujOQ8C" TargetMode="External"/><Relationship Id="rId454" Type="http://schemas.openxmlformats.org/officeDocument/2006/relationships/hyperlink" Target="https://scholar.google.com/citations?view_op=view_citation&amp;hl=id&amp;user=3duyAQMAAAAJ&amp;sortby=pubdate&amp;citation_for_view=3duyAQMAAAAJ:MXK_kJrjxJIC" TargetMode="External"/><Relationship Id="rId696" Type="http://schemas.openxmlformats.org/officeDocument/2006/relationships/hyperlink" Target="https://scholar.google.com/citations?view_op=view_citation&amp;hl=id&amp;user=Ysdl_MIAAAAJ&amp;sortby=pubdate&amp;citation_for_view=Ysdl_MIAAAAJ:isC4tDSrTZIC" TargetMode="External"/><Relationship Id="rId211" Type="http://schemas.openxmlformats.org/officeDocument/2006/relationships/hyperlink" Target="https://www.sciencedirect.com/science/article/pii/S037877962300250X" TargetMode="External"/><Relationship Id="rId453" Type="http://schemas.openxmlformats.org/officeDocument/2006/relationships/hyperlink" Target="https://scholar.google.com/citations?view_op=view_citation&amp;hl=id&amp;user=3duyAQMAAAAJ&amp;sortby=pubdate&amp;citation_for_view=3duyAQMAAAAJ:KlAtU1dfN6UC" TargetMode="External"/><Relationship Id="rId695" Type="http://schemas.openxmlformats.org/officeDocument/2006/relationships/hyperlink" Target="https://scholar.google.com/citations?view_op=view_citation&amp;hl=id&amp;user=Ysdl_MIAAAAJ&amp;sortby=pubdate&amp;citation_for_view=Ysdl_MIAAAAJ:M3NEmzRMIkIC" TargetMode="External"/><Relationship Id="rId210" Type="http://schemas.openxmlformats.org/officeDocument/2006/relationships/hyperlink" Target="https://scholar.google.com/citations?view_op=view_citation&amp;hl=id&amp;user=Xd6qYYAAAAAJ&amp;sortby=pubdate&amp;authuser=1&amp;citation_for_view=Xd6qYYAAAAAJ:GnPB-g6toBAC" TargetMode="External"/><Relationship Id="rId452" Type="http://schemas.openxmlformats.org/officeDocument/2006/relationships/hyperlink" Target="https://scholar.google.com/citations?view_op=view_citation&amp;hl=id&amp;user=3duyAQMAAAAJ&amp;sortby=pubdate&amp;citation_for_view=3duyAQMAAAAJ:KlAtU1dfN6UC" TargetMode="External"/><Relationship Id="rId694" Type="http://schemas.openxmlformats.org/officeDocument/2006/relationships/hyperlink" Target="https://scholar.google.com/citations?view_op=view_citation&amp;hl=id&amp;user=Ysdl_MIAAAAJ&amp;sortby=pubdate&amp;citation_for_view=Ysdl_MIAAAAJ:M3NEmzRMIkIC" TargetMode="External"/><Relationship Id="rId491" Type="http://schemas.openxmlformats.org/officeDocument/2006/relationships/hyperlink" Target="https://scholar.google.com/citations?view_op=view_citation&amp;hl=id&amp;user=-WHmEDkAAAAJ&amp;sortby=pubdate&amp;citation_for_view=-WHmEDkAAAAJ:HoB7MX3m0LUC" TargetMode="External"/><Relationship Id="rId490" Type="http://schemas.openxmlformats.org/officeDocument/2006/relationships/hyperlink" Target="https://scholar.google.com/citations?view_op=view_citation&amp;hl=id&amp;user=-WHmEDkAAAAJ&amp;sortby=pubdate&amp;citation_for_view=-WHmEDkAAAAJ:HoB7MX3m0LUC" TargetMode="External"/><Relationship Id="rId249" Type="http://schemas.openxmlformats.org/officeDocument/2006/relationships/hyperlink" Target="https://pubs.aip.org/aip/acp/article-abstract/2646/1/050113/2887136/Design-and-analysis-of-the-effectiveness-of-an" TargetMode="External"/><Relationship Id="rId248" Type="http://schemas.openxmlformats.org/officeDocument/2006/relationships/hyperlink" Target="http://jurnal.polinema.ac.id/index.php/IJFTE/article/view/480" TargetMode="External"/><Relationship Id="rId247" Type="http://schemas.openxmlformats.org/officeDocument/2006/relationships/hyperlink" Target="https://pubs.aip.org/aip/acp/article-abstract/2646/1/050117/2887060/Distance-detection-systems-for-motorized-vehicles" TargetMode="External"/><Relationship Id="rId489" Type="http://schemas.openxmlformats.org/officeDocument/2006/relationships/hyperlink" Target="https://scholar.google.com/citations?view_op=view_citation&amp;hl=id&amp;user=-WHmEDkAAAAJ&amp;sortby=pubdate&amp;citation_for_view=-WHmEDkAAAAJ:ZHo1McVdvXMC" TargetMode="External"/><Relationship Id="rId242" Type="http://schemas.openxmlformats.org/officeDocument/2006/relationships/hyperlink" Target="http://jurnal.polinema.ac.id/index.php/jip/article/view/1726" TargetMode="External"/><Relationship Id="rId484" Type="http://schemas.openxmlformats.org/officeDocument/2006/relationships/hyperlink" Target="https://scholar.google.com/citations?view_op=view_citation&amp;hl=id&amp;user=-WHmEDkAAAAJ&amp;sortby=pubdate&amp;citation_for_view=-WHmEDkAAAAJ:u_35RYKgDlwC" TargetMode="External"/><Relationship Id="rId241" Type="http://schemas.openxmlformats.org/officeDocument/2006/relationships/hyperlink" Target="https://scholar.google.co.id/citations?view_op=view_citation&amp;hl=id&amp;user=i9ivLAkAAAAJ&amp;sortby=pubdate&amp;citation_for_view=i9ivLAkAAAAJ:zdjWy_NXXwUC" TargetMode="External"/><Relationship Id="rId483" Type="http://schemas.openxmlformats.org/officeDocument/2006/relationships/hyperlink" Target="https://scholar.google.com/citations?view_op=view_citation&amp;hl=id&amp;user=-WHmEDkAAAAJ&amp;sortby=pubdate&amp;citation_for_view=-WHmEDkAAAAJ:fPk4N6BV_jEC" TargetMode="External"/><Relationship Id="rId240" Type="http://schemas.openxmlformats.org/officeDocument/2006/relationships/hyperlink" Target="https://scholar.google.co.id/citations?view_op=view_citation&amp;hl=id&amp;user=i9ivLAkAAAAJ&amp;sortby=pubdate&amp;citation_for_view=i9ivLAkAAAAJ:zdjWy_NXXwUC" TargetMode="External"/><Relationship Id="rId482" Type="http://schemas.openxmlformats.org/officeDocument/2006/relationships/hyperlink" Target="https://scholar.google.com/citations?view_op=view_citation&amp;hl=id&amp;user=-WHmEDkAAAAJ&amp;sortby=pubdate&amp;citation_for_view=-WHmEDkAAAAJ:fPk4N6BV_jEC" TargetMode="External"/><Relationship Id="rId481" Type="http://schemas.openxmlformats.org/officeDocument/2006/relationships/hyperlink" Target="https://scholar.google.com/citations?view_op=view_citation&amp;hl=id&amp;user=3duyAQMAAAAJ&amp;sortby=pubdate&amp;citation_for_view=3duyAQMAAAAJ:UebtZRa9Y70C" TargetMode="External"/><Relationship Id="rId246" Type="http://schemas.openxmlformats.org/officeDocument/2006/relationships/hyperlink" Target="https://ieeexplore.ieee.org/abstract/document/10348262" TargetMode="External"/><Relationship Id="rId488" Type="http://schemas.openxmlformats.org/officeDocument/2006/relationships/hyperlink" Target="https://scholar.google.com/citations?view_op=view_citation&amp;hl=id&amp;user=-WHmEDkAAAAJ&amp;sortby=pubdate&amp;citation_for_view=-WHmEDkAAAAJ:ZHo1McVdvXMC" TargetMode="External"/><Relationship Id="rId245" Type="http://schemas.openxmlformats.org/officeDocument/2006/relationships/hyperlink" Target="https://ieeexplore.ieee.org/abstract/document/10220995" TargetMode="External"/><Relationship Id="rId487" Type="http://schemas.openxmlformats.org/officeDocument/2006/relationships/hyperlink" Target="https://scholar.google.com/citations?view_op=view_citation&amp;hl=id&amp;user=-WHmEDkAAAAJ&amp;sortby=pubdate&amp;citation_for_view=-WHmEDkAAAAJ:zA6iFVUQeVQC" TargetMode="External"/><Relationship Id="rId244" Type="http://schemas.openxmlformats.org/officeDocument/2006/relationships/hyperlink" Target="https://ieeexplore.ieee.org/abstract/document/10335519" TargetMode="External"/><Relationship Id="rId486" Type="http://schemas.openxmlformats.org/officeDocument/2006/relationships/hyperlink" Target="https://scholar.google.com/citations?view_op=view_citation&amp;hl=id&amp;user=-WHmEDkAAAAJ&amp;sortby=pubdate&amp;citation_for_view=-WHmEDkAAAAJ:zA6iFVUQeVQC" TargetMode="External"/><Relationship Id="rId243" Type="http://schemas.openxmlformats.org/officeDocument/2006/relationships/hyperlink" Target="https://pubs.aip.org/aip/acp/article-abstract/2646/1/050116/2887068/Design-and-analysis-of-planar-monopole-antenna-for" TargetMode="External"/><Relationship Id="rId485" Type="http://schemas.openxmlformats.org/officeDocument/2006/relationships/hyperlink" Target="https://scholar.google.com/citations?view_op=view_citation&amp;hl=id&amp;user=-WHmEDkAAAAJ&amp;sortby=pubdate&amp;citation_for_view=-WHmEDkAAAAJ:u_35RYKgDlwC" TargetMode="External"/><Relationship Id="rId480" Type="http://schemas.openxmlformats.org/officeDocument/2006/relationships/hyperlink" Target="https://scholar.google.com/citations?view_op=view_citation&amp;hl=id&amp;user=3duyAQMAAAAJ&amp;sortby=pubdate&amp;citation_for_view=3duyAQMAAAAJ:UebtZRa9Y70C" TargetMode="External"/><Relationship Id="rId239" Type="http://schemas.openxmlformats.org/officeDocument/2006/relationships/hyperlink" Target="https://scholar.google.co.id/citations?view_op=view_citation&amp;hl=id&amp;user=i9ivLAkAAAAJ&amp;sortby=pubdate&amp;citation_for_view=i9ivLAkAAAAJ:wE-fMHVdjMkC" TargetMode="External"/><Relationship Id="rId238" Type="http://schemas.openxmlformats.org/officeDocument/2006/relationships/hyperlink" Target="https://scholar.google.co.id/citations?view_op=view_citation&amp;hl=id&amp;user=i9ivLAkAAAAJ&amp;sortby=pubdate&amp;citation_for_view=i9ivLAkAAAAJ:wE-fMHVdjMkC" TargetMode="External"/><Relationship Id="rId237" Type="http://schemas.openxmlformats.org/officeDocument/2006/relationships/hyperlink" Target="https://scholar.google.co.id/citations?view_op=view_citation&amp;hl=id&amp;user=i9ivLAkAAAAJ&amp;sortby=pubdate&amp;citation_for_view=i9ivLAkAAAAJ:ghEM2AJqZyQC" TargetMode="External"/><Relationship Id="rId479" Type="http://schemas.openxmlformats.org/officeDocument/2006/relationships/hyperlink" Target="https://scholar.google.com/citations?view_op=view_citation&amp;hl=id&amp;user=3duyAQMAAAAJ&amp;sortby=pubdate&amp;citation_for_view=3duyAQMAAAAJ:YsMSGLbcyi4C" TargetMode="External"/><Relationship Id="rId236" Type="http://schemas.openxmlformats.org/officeDocument/2006/relationships/hyperlink" Target="https://scholar.google.co.id/citations?view_op=view_citation&amp;hl=id&amp;user=i9ivLAkAAAAJ&amp;sortby=pubdate&amp;citation_for_view=i9ivLAkAAAAJ:ghEM2AJqZyQC" TargetMode="External"/><Relationship Id="rId478" Type="http://schemas.openxmlformats.org/officeDocument/2006/relationships/hyperlink" Target="https://scholar.google.com/citations?view_op=view_citation&amp;hl=id&amp;user=3duyAQMAAAAJ&amp;sortby=pubdate&amp;citation_for_view=3duyAQMAAAAJ:YsMSGLbcyi4C" TargetMode="External"/><Relationship Id="rId231" Type="http://schemas.openxmlformats.org/officeDocument/2006/relationships/hyperlink" Target="https://scholar.google.co.id/citations?view_op=view_citation&amp;hl=en&amp;user=rTFTuCYAAAAJ&amp;sortby=pubdate&amp;citation_for_view=rTFTuCYAAAAJ:Se3iqnhoufwC" TargetMode="External"/><Relationship Id="rId473" Type="http://schemas.openxmlformats.org/officeDocument/2006/relationships/hyperlink" Target="https://scholar.google.com/citations?view_op=view_citation&amp;hl=id&amp;user=3duyAQMAAAAJ&amp;sortby=pubdate&amp;citation_for_view=3duyAQMAAAAJ:Zph67rFs4hoC" TargetMode="External"/><Relationship Id="rId230" Type="http://schemas.openxmlformats.org/officeDocument/2006/relationships/hyperlink" Target="https://scholar.google.co.id/citations?view_op=view_citation&amp;hl=en&amp;user=rTFTuCYAAAAJ&amp;sortby=pubdate&amp;citation_for_view=rTFTuCYAAAAJ:MXK_kJrjxJIC" TargetMode="External"/><Relationship Id="rId472" Type="http://schemas.openxmlformats.org/officeDocument/2006/relationships/hyperlink" Target="https://scholar.google.com/citations?view_op=view_citation&amp;hl=id&amp;user=3duyAQMAAAAJ&amp;sortby=pubdate&amp;citation_for_view=3duyAQMAAAAJ:Zph67rFs4hoC" TargetMode="External"/><Relationship Id="rId471" Type="http://schemas.openxmlformats.org/officeDocument/2006/relationships/hyperlink" Target="https://scholar.google.com/citations?view_op=view_citation&amp;hl=id&amp;user=3duyAQMAAAAJ&amp;sortby=pubdate&amp;citation_for_view=3duyAQMAAAAJ:YOwf2qJgpHMC" TargetMode="External"/><Relationship Id="rId470" Type="http://schemas.openxmlformats.org/officeDocument/2006/relationships/hyperlink" Target="https://scholar.google.com/citations?view_op=view_citation&amp;hl=id&amp;user=3duyAQMAAAAJ&amp;sortby=pubdate&amp;citation_for_view=3duyAQMAAAAJ:YOwf2qJgpHMC" TargetMode="External"/><Relationship Id="rId235" Type="http://schemas.openxmlformats.org/officeDocument/2006/relationships/hyperlink" Target="https://scholar.google.co.id/citations?view_op=view_citation&amp;hl=en&amp;user=rTFTuCYAAAAJ&amp;sortby=pubdate&amp;citation_for_view=rTFTuCYAAAAJ:roLk4NBRz8UC" TargetMode="External"/><Relationship Id="rId477" Type="http://schemas.openxmlformats.org/officeDocument/2006/relationships/hyperlink" Target="https://scholar.google.com/citations?view_op=view_citation&amp;hl=id&amp;user=3duyAQMAAAAJ&amp;sortby=pubdate&amp;citation_for_view=3duyAQMAAAAJ:Y0pCki6q_DkC" TargetMode="External"/><Relationship Id="rId234" Type="http://schemas.openxmlformats.org/officeDocument/2006/relationships/hyperlink" Target="https://scholar.google.co.id/citations?view_op=view_citation&amp;hl=en&amp;user=rTFTuCYAAAAJ&amp;sortby=pubdate&amp;citation_for_view=rTFTuCYAAAAJ:roLk4NBRz8UC" TargetMode="External"/><Relationship Id="rId476" Type="http://schemas.openxmlformats.org/officeDocument/2006/relationships/hyperlink" Target="https://scholar.google.com/citations?view_op=view_citation&amp;hl=id&amp;user=3duyAQMAAAAJ&amp;sortby=pubdate&amp;citation_for_view=3duyAQMAAAAJ:Y0pCki6q_DkC" TargetMode="External"/><Relationship Id="rId233" Type="http://schemas.openxmlformats.org/officeDocument/2006/relationships/hyperlink" Target="https://scholar.google.co.id/citations?view_op=view_citation&amp;hl=en&amp;user=rTFTuCYAAAAJ&amp;sortby=pubdate&amp;citation_for_view=rTFTuCYAAAAJ:0EnyYjriUFMC" TargetMode="External"/><Relationship Id="rId475" Type="http://schemas.openxmlformats.org/officeDocument/2006/relationships/hyperlink" Target="https://scholar.google.com/citations?view_op=view_citation&amp;hl=id&amp;user=3duyAQMAAAAJ&amp;sortby=pubdate&amp;citation_for_view=3duyAQMAAAAJ:W7OEmFMy1HYC" TargetMode="External"/><Relationship Id="rId232" Type="http://schemas.openxmlformats.org/officeDocument/2006/relationships/hyperlink" Target="https://scholar.google.co.id/citations?view_op=view_citation&amp;hl=en&amp;user=rTFTuCYAAAAJ&amp;sortby=pubdate&amp;citation_for_view=rTFTuCYAAAAJ:5nxA0vEk-isC" TargetMode="External"/><Relationship Id="rId474" Type="http://schemas.openxmlformats.org/officeDocument/2006/relationships/hyperlink" Target="https://scholar.google.com/citations?view_op=view_citation&amp;hl=id&amp;user=3duyAQMAAAAJ&amp;sortby=pubdate&amp;citation_for_view=3duyAQMAAAAJ:W7OEmFMy1HYC" TargetMode="External"/><Relationship Id="rId426" Type="http://schemas.openxmlformats.org/officeDocument/2006/relationships/hyperlink" Target="https://scholar.google.com/citations?view_op=view_citation&amp;hl=id&amp;user=en_GKhcAAAAJ&amp;sortby=pubdate&amp;citation_for_view=en_GKhcAAAAJ:ufrVoPGSRksC" TargetMode="External"/><Relationship Id="rId668" Type="http://schemas.openxmlformats.org/officeDocument/2006/relationships/hyperlink" Target="https://scholar.google.com/citations?view_op=view_citation&amp;hl=id&amp;user=077wlE8AAAAJ&amp;sortby=pubdate&amp;citation_for_view=077wlE8AAAAJ:ZeXyd9-uunAC" TargetMode="External"/><Relationship Id="rId425" Type="http://schemas.openxmlformats.org/officeDocument/2006/relationships/hyperlink" Target="https://scholar.google.com/citations?view_op=view_citation&amp;hl=id&amp;user=bdsKS00AAAAJ&amp;sortby=pubdate&amp;citation_for_view=bdsKS00AAAAJ:W7OEmFMy1HYC" TargetMode="External"/><Relationship Id="rId667" Type="http://schemas.openxmlformats.org/officeDocument/2006/relationships/hyperlink" Target="https://scholar.google.com/citations?view_op=view_citation&amp;hl=id&amp;user=077wlE8AAAAJ&amp;sortby=pubdate&amp;citation_for_view=077wlE8AAAAJ:dhFuZR0502QC" TargetMode="External"/><Relationship Id="rId424" Type="http://schemas.openxmlformats.org/officeDocument/2006/relationships/hyperlink" Target="https://scholar.google.com/citations?view_op=view_citation&amp;hl=id&amp;user=bdsKS00AAAAJ&amp;sortby=pubdate&amp;citation_for_view=bdsKS00AAAAJ:W7OEmFMy1HYC" TargetMode="External"/><Relationship Id="rId666" Type="http://schemas.openxmlformats.org/officeDocument/2006/relationships/hyperlink" Target="https://scholar.google.com/citations?view_op=view_citation&amp;hl=id&amp;user=077wlE8AAAAJ&amp;sortby=pubdate&amp;citation_for_view=077wlE8AAAAJ:dhFuZR0502QC" TargetMode="External"/><Relationship Id="rId423" Type="http://schemas.openxmlformats.org/officeDocument/2006/relationships/hyperlink" Target="https://scholar.google.com/citations?view_op=view_citation&amp;hl=id&amp;user=bdsKS00AAAAJ&amp;sortby=pubdate&amp;citation_for_view=bdsKS00AAAAJ:ufrVoPGSRksC" TargetMode="External"/><Relationship Id="rId665" Type="http://schemas.openxmlformats.org/officeDocument/2006/relationships/hyperlink" Target="https://scholar.google.com/citations?view_op=view_citation&amp;hl=id&amp;user=077wlE8AAAAJ&amp;sortby=pubdate&amp;citation_for_view=077wlE8AAAAJ:IWHjjKOFINEC" TargetMode="External"/><Relationship Id="rId429" Type="http://schemas.openxmlformats.org/officeDocument/2006/relationships/hyperlink" Target="https://scholar.google.com/citations?view_op=view_citation&amp;hl=id&amp;user=en_GKhcAAAAJ&amp;sortby=pubdate&amp;citation_for_view=en_GKhcAAAAJ:IjCSPb-OGe4C" TargetMode="External"/><Relationship Id="rId428" Type="http://schemas.openxmlformats.org/officeDocument/2006/relationships/hyperlink" Target="https://scholar.google.com/citations?view_op=view_citation&amp;hl=id&amp;user=en_GKhcAAAAJ&amp;sortby=pubdate&amp;citation_for_view=en_GKhcAAAAJ:IjCSPb-OGe4C" TargetMode="External"/><Relationship Id="rId427" Type="http://schemas.openxmlformats.org/officeDocument/2006/relationships/hyperlink" Target="https://scholar.google.com/citations?view_op=view_citation&amp;hl=id&amp;user=en_GKhcAAAAJ&amp;sortby=pubdate&amp;citation_for_view=en_GKhcAAAAJ:ufrVoPGSRksC" TargetMode="External"/><Relationship Id="rId669" Type="http://schemas.openxmlformats.org/officeDocument/2006/relationships/hyperlink" Target="https://scholar.google.com/citations?view_op=view_citation&amp;hl=id&amp;user=077wlE8AAAAJ&amp;sortby=pubdate&amp;citation_for_view=077wlE8AAAAJ:ZeXyd9-uunAC" TargetMode="External"/><Relationship Id="rId660" Type="http://schemas.openxmlformats.org/officeDocument/2006/relationships/hyperlink" Target="https://scholar.google.com/citations?view_op=view_citation&amp;hl=id&amp;user=077wlE8AAAAJ&amp;sortby=pubdate&amp;citation_for_view=077wlE8AAAAJ:hC7cP41nSMkC" TargetMode="External"/><Relationship Id="rId422" Type="http://schemas.openxmlformats.org/officeDocument/2006/relationships/hyperlink" Target="https://scholar.google.com/citations?view_op=view_citation&amp;hl=id&amp;user=bdsKS00AAAAJ&amp;sortby=pubdate&amp;citation_for_view=bdsKS00AAAAJ:ufrVoPGSRksC" TargetMode="External"/><Relationship Id="rId664" Type="http://schemas.openxmlformats.org/officeDocument/2006/relationships/hyperlink" Target="https://scholar.google.com/citations?view_op=view_citation&amp;hl=id&amp;user=077wlE8AAAAJ&amp;sortby=pubdate&amp;citation_for_view=077wlE8AAAAJ:IWHjjKOFINEC" TargetMode="External"/><Relationship Id="rId421" Type="http://schemas.openxmlformats.org/officeDocument/2006/relationships/hyperlink" Target="https://scholar.google.com/citations?view_op=view_citation&amp;hl=id&amp;user=bdsKS00AAAAJ&amp;sortby=pubdate&amp;citation_for_view=bdsKS00AAAAJ:WF5omc3nYNoC" TargetMode="External"/><Relationship Id="rId663" Type="http://schemas.openxmlformats.org/officeDocument/2006/relationships/hyperlink" Target="https://scholar.google.com/citations?view_op=view_citation&amp;hl=id&amp;user=077wlE8AAAAJ&amp;sortby=pubdate&amp;citation_for_view=077wlE8AAAAJ:hFOr9nPyWt4C" TargetMode="External"/><Relationship Id="rId420" Type="http://schemas.openxmlformats.org/officeDocument/2006/relationships/hyperlink" Target="https://scholar.google.com/citations?view_op=view_citation&amp;hl=id&amp;user=bdsKS00AAAAJ&amp;sortby=pubdate&amp;citation_for_view=bdsKS00AAAAJ:WF5omc3nYNoC" TargetMode="External"/><Relationship Id="rId662" Type="http://schemas.openxmlformats.org/officeDocument/2006/relationships/hyperlink" Target="https://scholar.google.com/citations?view_op=view_citation&amp;hl=id&amp;user=077wlE8AAAAJ&amp;sortby=pubdate&amp;citation_for_view=077wlE8AAAAJ:hFOr9nPyWt4C" TargetMode="External"/><Relationship Id="rId661" Type="http://schemas.openxmlformats.org/officeDocument/2006/relationships/hyperlink" Target="https://scholar.google.com/citations?view_op=view_citation&amp;hl=id&amp;user=077wlE8AAAAJ&amp;sortby=pubdate&amp;citation_for_view=077wlE8AAAAJ:hC7cP41nSMkC" TargetMode="External"/><Relationship Id="rId415" Type="http://schemas.openxmlformats.org/officeDocument/2006/relationships/hyperlink" Target="https://scholar.google.com/citations?view_op=view_citation&amp;hl=id&amp;user=bdsKS00AAAAJ&amp;sortby=pubdate&amp;citation_for_view=bdsKS00AAAAJ:roLk4NBRz8UC" TargetMode="External"/><Relationship Id="rId657" Type="http://schemas.openxmlformats.org/officeDocument/2006/relationships/hyperlink" Target="https://scholar.google.com/citations?view_op=view_citation&amp;hl=id&amp;user=APpDZAwAAAAJ&amp;sortby=pubdate&amp;citation_for_view=APpDZAwAAAAJ:NMxIlDl6LWMC" TargetMode="External"/><Relationship Id="rId899" Type="http://schemas.openxmlformats.org/officeDocument/2006/relationships/drawing" Target="../drawings/drawing11.xml"/><Relationship Id="rId414" Type="http://schemas.openxmlformats.org/officeDocument/2006/relationships/hyperlink" Target="https://scholar.google.com/citations?view_op=view_citation&amp;hl=id&amp;user=bdsKS00AAAAJ&amp;sortby=pubdate&amp;citation_for_view=bdsKS00AAAAJ:roLk4NBRz8UC" TargetMode="External"/><Relationship Id="rId656" Type="http://schemas.openxmlformats.org/officeDocument/2006/relationships/hyperlink" Target="https://scholar.google.com/citations?view_op=view_citation&amp;hl=id&amp;user=APpDZAwAAAAJ&amp;sortby=pubdate&amp;citation_for_view=APpDZAwAAAAJ:NMxIlDl6LWMC" TargetMode="External"/><Relationship Id="rId898" Type="http://schemas.openxmlformats.org/officeDocument/2006/relationships/hyperlink" Target="https://drive.google.com/drive/folders/1c4ft6YxxxKYjhUDyevKjEeCDBvQgDqFS?usp=drive_link" TargetMode="External"/><Relationship Id="rId413" Type="http://schemas.openxmlformats.org/officeDocument/2006/relationships/hyperlink" Target="https://scholar.google.com/citations?view_op=view_citation&amp;hl=id&amp;user=bdsKS00AAAAJ&amp;sortby=pubdate&amp;citation_for_view=bdsKS00AAAAJ:0EnyYjriUFMC" TargetMode="External"/><Relationship Id="rId655" Type="http://schemas.openxmlformats.org/officeDocument/2006/relationships/hyperlink" Target="https://scholar.google.com/citations?view_op=view_citation&amp;hl=id&amp;user=APpDZAwAAAAJ&amp;sortby=pubdate&amp;citation_for_view=APpDZAwAAAAJ:GnPB-g6toBAC" TargetMode="External"/><Relationship Id="rId897" Type="http://schemas.openxmlformats.org/officeDocument/2006/relationships/hyperlink" Target="https://scholar.google.com/citations?view_op=view_citation&amp;hl=id&amp;user=B7sSwwEAAAAJ&amp;sortby=pubdate&amp;citation_for_view=B7sSwwEAAAAJ:M05iB0D1s5AC" TargetMode="External"/><Relationship Id="rId412" Type="http://schemas.openxmlformats.org/officeDocument/2006/relationships/hyperlink" Target="https://scholar.google.com/citations?view_op=view_citation&amp;hl=id&amp;user=bdsKS00AAAAJ&amp;sortby=pubdate&amp;citation_for_view=bdsKS00AAAAJ:0EnyYjriUFMC" TargetMode="External"/><Relationship Id="rId654" Type="http://schemas.openxmlformats.org/officeDocument/2006/relationships/hyperlink" Target="https://scholar.google.com/citations?view_op=view_citation&amp;hl=id&amp;user=APpDZAwAAAAJ&amp;sortby=pubdate&amp;citation_for_view=APpDZAwAAAAJ:GnPB-g6toBAC" TargetMode="External"/><Relationship Id="rId896" Type="http://schemas.openxmlformats.org/officeDocument/2006/relationships/hyperlink" Target="https://scholar.google.com/citations?view_op=view_citation&amp;hl=id&amp;user=B7sSwwEAAAAJ&amp;sortby=pubdate&amp;citation_for_view=B7sSwwEAAAAJ:M05iB0D1s5AC" TargetMode="External"/><Relationship Id="rId419" Type="http://schemas.openxmlformats.org/officeDocument/2006/relationships/hyperlink" Target="https://scholar.google.com/citations?view_op=view_citation&amp;hl=id&amp;user=bdsKS00AAAAJ&amp;sortby=pubdate&amp;citation_for_view=bdsKS00AAAAJ:_FxGoFyzp5QC" TargetMode="External"/><Relationship Id="rId418" Type="http://schemas.openxmlformats.org/officeDocument/2006/relationships/hyperlink" Target="https://scholar.google.com/citations?view_op=view_citation&amp;hl=id&amp;user=bdsKS00AAAAJ&amp;sortby=pubdate&amp;citation_for_view=bdsKS00AAAAJ:_FxGoFyzp5QC" TargetMode="External"/><Relationship Id="rId417" Type="http://schemas.openxmlformats.org/officeDocument/2006/relationships/hyperlink" Target="https://scholar.google.com/citations?view_op=view_citation&amp;hl=id&amp;user=bdsKS00AAAAJ&amp;sortby=pubdate&amp;citation_for_view=bdsKS00AAAAJ:UebtZRa9Y70C" TargetMode="External"/><Relationship Id="rId659" Type="http://schemas.openxmlformats.org/officeDocument/2006/relationships/hyperlink" Target="https://scholar.google.com/citations?view_op=view_citation&amp;hl=id&amp;user=APpDZAwAAAAJ&amp;sortby=pubdate&amp;citation_for_view=APpDZAwAAAAJ:YFjsv_pBGBYC" TargetMode="External"/><Relationship Id="rId416" Type="http://schemas.openxmlformats.org/officeDocument/2006/relationships/hyperlink" Target="https://scholar.google.com/citations?view_op=view_citation&amp;hl=id&amp;user=bdsKS00AAAAJ&amp;sortby=pubdate&amp;citation_for_view=bdsKS00AAAAJ:UebtZRa9Y70C" TargetMode="External"/><Relationship Id="rId658" Type="http://schemas.openxmlformats.org/officeDocument/2006/relationships/hyperlink" Target="https://scholar.google.com/citations?view_op=view_citation&amp;hl=id&amp;user=APpDZAwAAAAJ&amp;sortby=pubdate&amp;citation_for_view=APpDZAwAAAAJ:YFjsv_pBGBYC" TargetMode="External"/><Relationship Id="rId891" Type="http://schemas.openxmlformats.org/officeDocument/2006/relationships/hyperlink" Target="https://scholar.google.com/citations?view_op=view_citation&amp;hl=id&amp;user=B7sSwwEAAAAJ&amp;sortby=pubdate&amp;citation_for_view=B7sSwwEAAAAJ:ZHo1McVdvXMC" TargetMode="External"/><Relationship Id="rId890" Type="http://schemas.openxmlformats.org/officeDocument/2006/relationships/hyperlink" Target="https://scholar.google.com/citations?view_op=view_citation&amp;hl=id&amp;user=B7sSwwEAAAAJ&amp;sortby=pubdate&amp;citation_for_view=B7sSwwEAAAAJ:ZHo1McVdvXMC" TargetMode="External"/><Relationship Id="rId411" Type="http://schemas.openxmlformats.org/officeDocument/2006/relationships/hyperlink" Target="https://scholar.google.com/citations?view_op=view_citation&amp;hl=id&amp;user=aWHkGCMAAAAJ&amp;sortby=pubdate&amp;citation_for_view=aWHkGCMAAAAJ:hqOjcs7Dif8C" TargetMode="External"/><Relationship Id="rId653" Type="http://schemas.openxmlformats.org/officeDocument/2006/relationships/hyperlink" Target="https://scholar.google.com/citations?view_op=view_citation&amp;hl=id&amp;user=APpDZAwAAAAJ&amp;sortby=pubdate&amp;citation_for_view=APpDZAwAAAAJ:BqipwSGYUEgC" TargetMode="External"/><Relationship Id="rId895" Type="http://schemas.openxmlformats.org/officeDocument/2006/relationships/hyperlink" Target="https://scholar.google.com/citations?view_op=view_citation&amp;hl=id&amp;user=B7sSwwEAAAAJ&amp;sortby=pubdate&amp;citation_for_view=B7sSwwEAAAAJ:yD5IFk8b50cC" TargetMode="External"/><Relationship Id="rId410" Type="http://schemas.openxmlformats.org/officeDocument/2006/relationships/hyperlink" Target="https://scholar.google.com/citations?view_op=view_citation&amp;hl=id&amp;user=aWHkGCMAAAAJ&amp;sortby=pubdate&amp;citation_for_view=aWHkGCMAAAAJ:hqOjcs7Dif8C" TargetMode="External"/><Relationship Id="rId652" Type="http://schemas.openxmlformats.org/officeDocument/2006/relationships/hyperlink" Target="https://scholar.google.com/citations?view_op=view_citation&amp;hl=id&amp;user=APpDZAwAAAAJ&amp;sortby=pubdate&amp;citation_for_view=APpDZAwAAAAJ:BqipwSGYUEgC" TargetMode="External"/><Relationship Id="rId894" Type="http://schemas.openxmlformats.org/officeDocument/2006/relationships/hyperlink" Target="https://scholar.google.com/citations?view_op=view_citation&amp;hl=id&amp;user=B7sSwwEAAAAJ&amp;sortby=pubdate&amp;citation_for_view=B7sSwwEAAAAJ:yD5IFk8b50cC" TargetMode="External"/><Relationship Id="rId651" Type="http://schemas.openxmlformats.org/officeDocument/2006/relationships/hyperlink" Target="https://scholar.google.com/citations?view_op=view_citation&amp;hl=id&amp;user=APpDZAwAAAAJ&amp;sortby=pubdate&amp;citation_for_view=APpDZAwAAAAJ:RGFaLdJalmkC" TargetMode="External"/><Relationship Id="rId893" Type="http://schemas.openxmlformats.org/officeDocument/2006/relationships/hyperlink" Target="https://scholar.google.com/citations?view_op=view_citation&amp;hl=id&amp;user=B7sSwwEAAAAJ&amp;sortby=pubdate&amp;citation_for_view=B7sSwwEAAAAJ:SeFeTyx0c_EC" TargetMode="External"/><Relationship Id="rId650" Type="http://schemas.openxmlformats.org/officeDocument/2006/relationships/hyperlink" Target="https://scholar.google.com/citations?view_op=view_citation&amp;hl=id&amp;user=APpDZAwAAAAJ&amp;sortby=pubdate&amp;citation_for_view=APpDZAwAAAAJ:RGFaLdJalmkC" TargetMode="External"/><Relationship Id="rId892" Type="http://schemas.openxmlformats.org/officeDocument/2006/relationships/hyperlink" Target="https://scholar.google.com/citations?view_op=view_citation&amp;hl=id&amp;user=B7sSwwEAAAAJ&amp;sortby=pubdate&amp;citation_for_view=B7sSwwEAAAAJ:SeFeTyx0c_EC" TargetMode="External"/><Relationship Id="rId206" Type="http://schemas.openxmlformats.org/officeDocument/2006/relationships/hyperlink" Target="https://scholar.google.co.id/citations?view_op=view_citation&amp;hl=en&amp;user=Xd6qYYAAAAAJ&amp;sortby=pubdate&amp;citation_for_view=Xd6qYYAAAAAJ:M05iB0D1s5AC" TargetMode="External"/><Relationship Id="rId448" Type="http://schemas.openxmlformats.org/officeDocument/2006/relationships/hyperlink" Target="https://scholar.google.com/citations?view_op=view_citation&amp;hl=id&amp;user=3duyAQMAAAAJ&amp;sortby=pubdate&amp;citation_for_view=3duyAQMAAAAJ:8k81kl-MbHgC" TargetMode="External"/><Relationship Id="rId205" Type="http://schemas.openxmlformats.org/officeDocument/2006/relationships/hyperlink" Target="https://scholar.google.co.id/citations?view_op=view_citation&amp;hl=en&amp;user=Xd6qYYAAAAAJ&amp;sortby=pubdate&amp;citation_for_view=Xd6qYYAAAAAJ:M05iB0D1s5AC" TargetMode="External"/><Relationship Id="rId447" Type="http://schemas.openxmlformats.org/officeDocument/2006/relationships/hyperlink" Target="https://scholar.google.com/citations?view_op=view_citation&amp;hl=id&amp;user=3duyAQMAAAAJ&amp;sortby=pubdate&amp;citation_for_view=3duyAQMAAAAJ:M3ejUd6NZC8C" TargetMode="External"/><Relationship Id="rId689" Type="http://schemas.openxmlformats.org/officeDocument/2006/relationships/hyperlink" Target="https://scholar.google.com/citations?view_op=view_citation&amp;hl=id&amp;user=0QGqMHYAAAAJ&amp;sortby=pubdate&amp;citation_for_view=0QGqMHYAAAAJ:2osOgNQ5qMEC" TargetMode="External"/><Relationship Id="rId204" Type="http://schemas.openxmlformats.org/officeDocument/2006/relationships/hyperlink" Target="https://scholar.google.co.id/citations?view_op=view_citation&amp;hl=en&amp;user=Xd6qYYAAAAAJ&amp;sortby=pubdate&amp;citation_for_view=Xd6qYYAAAAAJ:ldfaerwXgEUC" TargetMode="External"/><Relationship Id="rId446" Type="http://schemas.openxmlformats.org/officeDocument/2006/relationships/hyperlink" Target="https://scholar.google.com/citations?view_op=view_citation&amp;hl=id&amp;user=3duyAQMAAAAJ&amp;sortby=pubdate&amp;citation_for_view=3duyAQMAAAAJ:M3ejUd6NZC8C" TargetMode="External"/><Relationship Id="rId688" Type="http://schemas.openxmlformats.org/officeDocument/2006/relationships/hyperlink" Target="https://scholar.google.com/citations?view_op=view_citation&amp;hl=id&amp;user=0QGqMHYAAAAJ&amp;sortby=pubdate&amp;citation_for_view=0QGqMHYAAAAJ:2osOgNQ5qMEC" TargetMode="External"/><Relationship Id="rId203" Type="http://schemas.openxmlformats.org/officeDocument/2006/relationships/hyperlink" Target="https://iopscience.iop.org/article/10.1088/1757-899X/732/1/012063/meta" TargetMode="External"/><Relationship Id="rId445" Type="http://schemas.openxmlformats.org/officeDocument/2006/relationships/hyperlink" Target="https://scholar.google.com/citations?view_op=view_citation&amp;hl=id&amp;user=z4yOSgUAAAAJ&amp;sortby=pubdate&amp;citation_for_view=z4yOSgUAAAAJ:hMod-77fHWUC" TargetMode="External"/><Relationship Id="rId687" Type="http://schemas.openxmlformats.org/officeDocument/2006/relationships/hyperlink" Target="https://scholar.google.com/citations?view_op=view_citation&amp;hl=id&amp;user=0QGqMHYAAAAJ&amp;sortby=pubdate&amp;citation_for_view=0QGqMHYAAAAJ:Tyk-4Ss8FVUC" TargetMode="External"/><Relationship Id="rId209" Type="http://schemas.openxmlformats.org/officeDocument/2006/relationships/hyperlink" Target="https://scholar.google.com/citations?view_op=view_citation&amp;hl=id&amp;user=Xd6qYYAAAAAJ&amp;sortby=pubdate&amp;authuser=1&amp;citation_for_view=Xd6qYYAAAAAJ:GnPB-g6toBAC" TargetMode="External"/><Relationship Id="rId208" Type="http://schemas.openxmlformats.org/officeDocument/2006/relationships/hyperlink" Target="https://scholar.google.com/citations?view_op=view_citation&amp;hl=id&amp;user=Xd6qYYAAAAAJ&amp;pagesize=100&amp;citation_for_view=Xd6qYYAAAAAJ:BqipwSGYUEgC" TargetMode="External"/><Relationship Id="rId207" Type="http://schemas.openxmlformats.org/officeDocument/2006/relationships/hyperlink" Target="https://www.academia.edu/download/95622077/61_28371_v29i1_Jan23.pdf" TargetMode="External"/><Relationship Id="rId449" Type="http://schemas.openxmlformats.org/officeDocument/2006/relationships/hyperlink" Target="https://scholar.google.com/citations?view_op=view_citation&amp;hl=id&amp;user=3duyAQMAAAAJ&amp;sortby=pubdate&amp;citation_for_view=3duyAQMAAAAJ:8k81kl-MbHgC" TargetMode="External"/><Relationship Id="rId440" Type="http://schemas.openxmlformats.org/officeDocument/2006/relationships/hyperlink" Target="https://scholar.google.com/citations?view_op=view_citation&amp;hl=id&amp;user=z4yOSgUAAAAJ&amp;sortby=pubdate&amp;citation_for_view=z4yOSgUAAAAJ:YFjsv_pBGBYC" TargetMode="External"/><Relationship Id="rId682" Type="http://schemas.openxmlformats.org/officeDocument/2006/relationships/hyperlink" Target="https://scholar.google.com/citations?view_op=view_citation&amp;hl=id&amp;user=0QGqMHYAAAAJ&amp;sortby=pubdate&amp;citation_for_view=0QGqMHYAAAAJ:Y0pCki6q_DkC" TargetMode="External"/><Relationship Id="rId681" Type="http://schemas.openxmlformats.org/officeDocument/2006/relationships/hyperlink" Target="https://scholar.google.com/citations?view_op=view_citation&amp;hl=id&amp;user=0QGqMHYAAAAJ&amp;sortby=pubdate&amp;citation_for_view=0QGqMHYAAAAJ:W7OEmFMy1HYC" TargetMode="External"/><Relationship Id="rId680" Type="http://schemas.openxmlformats.org/officeDocument/2006/relationships/hyperlink" Target="https://scholar.google.com/citations?view_op=view_citation&amp;hl=id&amp;user=0QGqMHYAAAAJ&amp;sortby=pubdate&amp;citation_for_view=0QGqMHYAAAAJ:W7OEmFMy1HYC" TargetMode="External"/><Relationship Id="rId202" Type="http://schemas.openxmlformats.org/officeDocument/2006/relationships/hyperlink" Target="https://scholar.google.co.id/citations?view_op=view_citation&amp;hl=en&amp;user=Xd6qYYAAAAAJ&amp;sortby=pubdate&amp;citation_for_view=Xd6qYYAAAAAJ:70eg2SAEIzsC" TargetMode="External"/><Relationship Id="rId444" Type="http://schemas.openxmlformats.org/officeDocument/2006/relationships/hyperlink" Target="https://scholar.google.com/citations?view_op=view_citation&amp;hl=id&amp;user=z4yOSgUAAAAJ&amp;sortby=pubdate&amp;citation_for_view=z4yOSgUAAAAJ:hMod-77fHWUC" TargetMode="External"/><Relationship Id="rId686" Type="http://schemas.openxmlformats.org/officeDocument/2006/relationships/hyperlink" Target="https://scholar.google.com/citations?view_op=view_citation&amp;hl=id&amp;user=0QGqMHYAAAAJ&amp;sortby=pubdate&amp;citation_for_view=0QGqMHYAAAAJ:Tyk-4Ss8FVUC" TargetMode="External"/><Relationship Id="rId201" Type="http://schemas.openxmlformats.org/officeDocument/2006/relationships/hyperlink" Target="https://scholar.google.co.id/citations?view_op=view_citation&amp;hl=en&amp;user=Xd6qYYAAAAAJ&amp;sortby=pubdate&amp;citation_for_view=Xd6qYYAAAAAJ:70eg2SAEIzsC" TargetMode="External"/><Relationship Id="rId443" Type="http://schemas.openxmlformats.org/officeDocument/2006/relationships/hyperlink" Target="https://scholar.google.com/citations?view_op=view_citation&amp;hl=id&amp;user=z4yOSgUAAAAJ&amp;sortby=pubdate&amp;citation_for_view=z4yOSgUAAAAJ:NMxIlDl6LWMC" TargetMode="External"/><Relationship Id="rId685" Type="http://schemas.openxmlformats.org/officeDocument/2006/relationships/hyperlink" Target="https://scholar.google.com/citations?view_op=view_citation&amp;hl=id&amp;user=0QGqMHYAAAAJ&amp;sortby=pubdate&amp;citation_for_view=0QGqMHYAAAAJ:IjCSPb-OGe4C" TargetMode="External"/><Relationship Id="rId200" Type="http://schemas.openxmlformats.org/officeDocument/2006/relationships/hyperlink" Target="https://scholar.google.com/citations?view_op=view_citation&amp;hl=id&amp;user=jVZkkFcAAAAJ&amp;sortby=pubdate&amp;citation_for_view=jVZkkFcAAAAJ:_Qo2XoVZTnwC" TargetMode="External"/><Relationship Id="rId442" Type="http://schemas.openxmlformats.org/officeDocument/2006/relationships/hyperlink" Target="https://scholar.google.com/citations?view_op=view_citation&amp;hl=id&amp;user=z4yOSgUAAAAJ&amp;sortby=pubdate&amp;citation_for_view=z4yOSgUAAAAJ:NMxIlDl6LWMC" TargetMode="External"/><Relationship Id="rId684" Type="http://schemas.openxmlformats.org/officeDocument/2006/relationships/hyperlink" Target="https://scholar.google.com/citations?view_op=view_citation&amp;hl=id&amp;user=0QGqMHYAAAAJ&amp;sortby=pubdate&amp;citation_for_view=0QGqMHYAAAAJ:IjCSPb-OGe4C" TargetMode="External"/><Relationship Id="rId441" Type="http://schemas.openxmlformats.org/officeDocument/2006/relationships/hyperlink" Target="https://scholar.google.com/citations?view_op=view_citation&amp;hl=id&amp;user=z4yOSgUAAAAJ&amp;sortby=pubdate&amp;citation_for_view=z4yOSgUAAAAJ:YFjsv_pBGBYC" TargetMode="External"/><Relationship Id="rId683" Type="http://schemas.openxmlformats.org/officeDocument/2006/relationships/hyperlink" Target="https://scholar.google.com/citations?view_op=view_citation&amp;hl=id&amp;user=0QGqMHYAAAAJ&amp;sortby=pubdate&amp;citation_for_view=0QGqMHYAAAAJ:Y0pCki6q_DkC" TargetMode="External"/><Relationship Id="rId437" Type="http://schemas.openxmlformats.org/officeDocument/2006/relationships/hyperlink" Target="https://scholar.google.com/citations?view_op=view_citation&amp;hl=id&amp;user=z4yOSgUAAAAJ&amp;sortby=pubdate&amp;citation_for_view=z4yOSgUAAAAJ:RYcK_YlVTxYC" TargetMode="External"/><Relationship Id="rId679" Type="http://schemas.openxmlformats.org/officeDocument/2006/relationships/hyperlink" Target="https://scholar.google.com/citations?view_op=view_citation&amp;hl=id&amp;user=0QGqMHYAAAAJ&amp;sortby=pubdate&amp;citation_for_view=0QGqMHYAAAAJ:YsMSGLbcyi4C" TargetMode="External"/><Relationship Id="rId436" Type="http://schemas.openxmlformats.org/officeDocument/2006/relationships/hyperlink" Target="https://scholar.google.com/citations?view_op=view_citation&amp;hl=id&amp;user=z4yOSgUAAAAJ&amp;sortby=pubdate&amp;citation_for_view=z4yOSgUAAAAJ:RYcK_YlVTxYC" TargetMode="External"/><Relationship Id="rId678" Type="http://schemas.openxmlformats.org/officeDocument/2006/relationships/hyperlink" Target="https://scholar.google.com/citations?view_op=view_citation&amp;hl=id&amp;user=0QGqMHYAAAAJ&amp;sortby=pubdate&amp;citation_for_view=0QGqMHYAAAAJ:YsMSGLbcyi4C" TargetMode="External"/><Relationship Id="rId435" Type="http://schemas.openxmlformats.org/officeDocument/2006/relationships/hyperlink" Target="https://scholar.google.com/citations?view_op=view_citation&amp;hl=id&amp;user=z4yOSgUAAAAJ&amp;sortby=pubdate&amp;citation_for_view=z4yOSgUAAAAJ:vV6vV6tmYwMC" TargetMode="External"/><Relationship Id="rId677" Type="http://schemas.openxmlformats.org/officeDocument/2006/relationships/hyperlink" Target="https://scholar.google.com/citations?view_op=view_citation&amp;hl=id&amp;user=0QGqMHYAAAAJ&amp;sortby=pubdate&amp;citation_for_view=0QGqMHYAAAAJ:eQOLeE2rZwMC" TargetMode="External"/><Relationship Id="rId434" Type="http://schemas.openxmlformats.org/officeDocument/2006/relationships/hyperlink" Target="https://scholar.google.com/citations?view_op=view_citation&amp;hl=id&amp;user=z4yOSgUAAAAJ&amp;sortby=pubdate&amp;citation_for_view=z4yOSgUAAAAJ:vV6vV6tmYwMC" TargetMode="External"/><Relationship Id="rId676" Type="http://schemas.openxmlformats.org/officeDocument/2006/relationships/hyperlink" Target="https://scholar.google.com/citations?view_op=view_citation&amp;hl=id&amp;user=0QGqMHYAAAAJ&amp;sortby=pubdate&amp;citation_for_view=0QGqMHYAAAAJ:eQOLeE2rZwMC" TargetMode="External"/><Relationship Id="rId439" Type="http://schemas.openxmlformats.org/officeDocument/2006/relationships/hyperlink" Target="https://scholar.google.com/citations?view_op=view_citation&amp;hl=id&amp;user=z4yOSgUAAAAJ&amp;sortby=pubdate&amp;citation_for_view=z4yOSgUAAAAJ:J_g5lzvAfSwC" TargetMode="External"/><Relationship Id="rId438" Type="http://schemas.openxmlformats.org/officeDocument/2006/relationships/hyperlink" Target="https://scholar.google.com/citations?view_op=view_citation&amp;hl=id&amp;user=z4yOSgUAAAAJ&amp;sortby=pubdate&amp;citation_for_view=z4yOSgUAAAAJ:J_g5lzvAfSwC" TargetMode="External"/><Relationship Id="rId671" Type="http://schemas.openxmlformats.org/officeDocument/2006/relationships/hyperlink" Target="https://scholar.google.com/citations?view_op=view_citation&amp;hl=id&amp;user=077wlE8AAAAJ&amp;sortby=pubdate&amp;citation_for_view=077wlE8AAAAJ:mVmsd5A6BfQC" TargetMode="External"/><Relationship Id="rId670" Type="http://schemas.openxmlformats.org/officeDocument/2006/relationships/hyperlink" Target="https://scholar.google.com/citations?view_op=view_citation&amp;hl=id&amp;user=077wlE8AAAAJ&amp;sortby=pubdate&amp;citation_for_view=077wlE8AAAAJ:mVmsd5A6BfQC" TargetMode="External"/><Relationship Id="rId433" Type="http://schemas.openxmlformats.org/officeDocument/2006/relationships/hyperlink" Target="https://scholar.google.com/citations?view_op=view_citation&amp;hl=id&amp;user=z4yOSgUAAAAJ&amp;sortby=pubdate&amp;citation_for_view=z4yOSgUAAAAJ:35N4QoGY0k4C" TargetMode="External"/><Relationship Id="rId675" Type="http://schemas.openxmlformats.org/officeDocument/2006/relationships/hyperlink" Target="https://scholar.google.com/citations?view_op=view_citation&amp;hl=id&amp;user=077wlE8AAAAJ&amp;sortby=pubdate&amp;citation_for_view=077wlE8AAAAJ:QIV2ME_5wuYC" TargetMode="External"/><Relationship Id="rId432" Type="http://schemas.openxmlformats.org/officeDocument/2006/relationships/hyperlink" Target="https://scholar.google.com/citations?view_op=view_citation&amp;hl=id&amp;user=z4yOSgUAAAAJ&amp;sortby=pubdate&amp;citation_for_view=z4yOSgUAAAAJ:35N4QoGY0k4C" TargetMode="External"/><Relationship Id="rId674" Type="http://schemas.openxmlformats.org/officeDocument/2006/relationships/hyperlink" Target="https://scholar.google.com/citations?view_op=view_citation&amp;hl=id&amp;user=077wlE8AAAAJ&amp;sortby=pubdate&amp;citation_for_view=077wlE8AAAAJ:QIV2ME_5wuYC" TargetMode="External"/><Relationship Id="rId431" Type="http://schemas.openxmlformats.org/officeDocument/2006/relationships/hyperlink" Target="https://scholar.google.com/citations?view_op=view_citation&amp;hl=id&amp;user=en_GKhcAAAAJ&amp;sortby=pubdate&amp;citation_for_view=en_GKhcAAAAJ:YsMSGLbcyi4C" TargetMode="External"/><Relationship Id="rId673" Type="http://schemas.openxmlformats.org/officeDocument/2006/relationships/hyperlink" Target="https://scholar.google.com/citations?view_op=view_citation&amp;hl=id&amp;user=077wlE8AAAAJ&amp;sortby=pubdate&amp;citation_for_view=077wlE8AAAAJ:9ZlFYXVOiuMC" TargetMode="External"/><Relationship Id="rId430" Type="http://schemas.openxmlformats.org/officeDocument/2006/relationships/hyperlink" Target="https://scholar.google.com/citations?view_op=view_citation&amp;hl=id&amp;user=en_GKhcAAAAJ&amp;sortby=pubdate&amp;citation_for_view=en_GKhcAAAAJ:YsMSGLbcyi4C" TargetMode="External"/><Relationship Id="rId672" Type="http://schemas.openxmlformats.org/officeDocument/2006/relationships/hyperlink" Target="https://scholar.google.com/citations?view_op=view_citation&amp;hl=id&amp;user=077wlE8AAAAJ&amp;sortby=pubdate&amp;citation_for_view=077wlE8AAAAJ:9ZlFYXVOiuMC"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
    <col customWidth="1" min="3" max="3" width="74.38"/>
    <col customWidth="1" min="4" max="4" width="65.25"/>
  </cols>
  <sheetData>
    <row r="2">
      <c r="A2" s="1" t="s">
        <v>0</v>
      </c>
      <c r="B2" s="2" t="s">
        <v>1</v>
      </c>
      <c r="C2" s="2" t="s">
        <v>2</v>
      </c>
      <c r="D2" s="2" t="s">
        <v>3</v>
      </c>
    </row>
    <row r="3">
      <c r="A3" s="3">
        <v>1.0</v>
      </c>
      <c r="B3" s="4" t="s">
        <v>4</v>
      </c>
      <c r="C3" s="5" t="s">
        <v>5</v>
      </c>
      <c r="D3" s="6" t="s">
        <v>6</v>
      </c>
    </row>
    <row r="4">
      <c r="A4" s="3">
        <v>2.0</v>
      </c>
      <c r="B4" s="7" t="s">
        <v>7</v>
      </c>
      <c r="C4" s="8" t="s">
        <v>8</v>
      </c>
      <c r="D4" s="9"/>
    </row>
    <row r="5">
      <c r="A5" s="3">
        <v>3.0</v>
      </c>
      <c r="B5" s="3" t="s">
        <v>9</v>
      </c>
      <c r="C5" s="10" t="s">
        <v>10</v>
      </c>
      <c r="D5" s="9"/>
    </row>
    <row r="6">
      <c r="A6" s="3">
        <v>4.0</v>
      </c>
      <c r="B6" s="3" t="s">
        <v>11</v>
      </c>
      <c r="C6" s="8" t="s">
        <v>12</v>
      </c>
      <c r="D6" s="11"/>
    </row>
  </sheetData>
  <mergeCells count="1">
    <mergeCell ref="D3:D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9.88"/>
  </cols>
  <sheetData>
    <row r="1">
      <c r="A1" s="12" t="s">
        <v>13</v>
      </c>
      <c r="B1" s="13" t="s">
        <v>14</v>
      </c>
    </row>
    <row r="2">
      <c r="A2" s="12" t="s">
        <v>15</v>
      </c>
      <c r="B2" s="13" t="s">
        <v>16</v>
      </c>
    </row>
    <row r="3">
      <c r="A3" s="12" t="s">
        <v>17</v>
      </c>
      <c r="B3" s="13" t="s">
        <v>18</v>
      </c>
    </row>
    <row r="4">
      <c r="A4" s="12" t="s">
        <v>19</v>
      </c>
      <c r="B4" s="13" t="s">
        <v>20</v>
      </c>
    </row>
    <row r="5">
      <c r="A5" s="12" t="s">
        <v>21</v>
      </c>
      <c r="B5" s="13" t="s">
        <v>22</v>
      </c>
    </row>
    <row r="6">
      <c r="A6" s="12" t="s">
        <v>23</v>
      </c>
      <c r="B6" s="13" t="s">
        <v>24</v>
      </c>
    </row>
    <row r="7">
      <c r="A7" s="12" t="s">
        <v>25</v>
      </c>
      <c r="B7" s="13" t="s">
        <v>26</v>
      </c>
    </row>
    <row r="8">
      <c r="A8" s="12" t="s">
        <v>27</v>
      </c>
      <c r="B8" s="13" t="s">
        <v>28</v>
      </c>
    </row>
    <row r="9">
      <c r="A9" s="12" t="s">
        <v>29</v>
      </c>
      <c r="B9" s="13" t="s">
        <v>30</v>
      </c>
    </row>
    <row r="10">
      <c r="A10" s="12" t="s">
        <v>31</v>
      </c>
      <c r="B10" s="13" t="s">
        <v>32</v>
      </c>
    </row>
    <row r="11">
      <c r="A11" s="12" t="s">
        <v>33</v>
      </c>
      <c r="B11" s="13" t="s">
        <v>34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4.88"/>
    <col customWidth="1" min="2" max="2" width="60.88"/>
    <col customWidth="1" min="3" max="3" width="29.38"/>
    <col customWidth="1" min="4" max="4" width="33.88"/>
    <col customWidth="1" min="5" max="5" width="30.25"/>
    <col customWidth="1" min="6" max="6" width="32.75"/>
    <col customWidth="1" min="7" max="7" width="20.75"/>
  </cols>
  <sheetData>
    <row r="1">
      <c r="A1" s="14"/>
      <c r="B1" s="15"/>
      <c r="C1" s="15">
        <v>1.0</v>
      </c>
      <c r="D1" s="15">
        <v>2.0</v>
      </c>
      <c r="E1" s="15">
        <v>3.0</v>
      </c>
      <c r="F1" s="15">
        <v>4.0</v>
      </c>
      <c r="G1" s="15">
        <v>5.0</v>
      </c>
      <c r="H1" s="16"/>
      <c r="I1" s="16"/>
      <c r="J1" s="16"/>
      <c r="K1" s="16"/>
      <c r="L1" s="16"/>
      <c r="M1" s="16"/>
      <c r="N1" s="17"/>
      <c r="O1" s="17"/>
      <c r="P1" s="17"/>
      <c r="Q1" s="17"/>
      <c r="R1" s="17"/>
      <c r="S1" s="17"/>
      <c r="T1" s="17"/>
      <c r="U1" s="17"/>
      <c r="V1" s="17"/>
      <c r="W1" s="17"/>
      <c r="X1" s="17"/>
      <c r="Y1" s="17"/>
      <c r="Z1" s="17"/>
    </row>
    <row r="2" ht="94.5" customHeight="1">
      <c r="A2" s="18" t="s">
        <v>0</v>
      </c>
      <c r="B2" s="19"/>
      <c r="C2" s="20" t="str">
        <f>PPM!C$3</f>
        <v>Menjadi pembelajar sepanjang hayat yang senantiasa beradaptasi dengan tren industri, serta menjunjung tinggi etika profesi serta ketakwaan kepada Tuhan Yang Maha Esa</v>
      </c>
      <c r="D2" s="21" t="str">
        <f>PPM!C$4</f>
        <v>Menjadi tenaga ahli yang diakui kemampuannya dalam menganalisis kebutuhan organisasi, serta secara nyata mampu mengintegrasikan tren teknologi dan disiplin ilmu relevan untuk membangun solusi IT yang berdampak positif.</v>
      </c>
      <c r="E2" s="22" t="str">
        <f>PPM!C$5</f>
        <v>Menunjukkan rekam jejak karir yang baik dengan mengambil peran kepemimpinan, memfasilitasi kerjasama tim secara efektif, dan menjadi inisiator dalam penyelesaian masalah di tempat kerjanya.</v>
      </c>
      <c r="F2" s="23" t="str">
        <f>PPM!C$6</f>
        <v>Dipercaya untuk mengambil peran penting teknis maupun manajerial dalam pelaksanaan proyek informatika berskala profesional di lingkungan kerjanya.</v>
      </c>
      <c r="G2" s="24"/>
      <c r="H2" s="25"/>
      <c r="I2" s="25"/>
      <c r="J2" s="25"/>
      <c r="K2" s="25"/>
      <c r="L2" s="25"/>
      <c r="M2" s="25"/>
    </row>
    <row r="3">
      <c r="A3" s="26">
        <v>1.0</v>
      </c>
      <c r="B3" s="27" t="s">
        <v>35</v>
      </c>
      <c r="C3" s="28" t="s">
        <v>36</v>
      </c>
      <c r="D3" s="28" t="s">
        <v>37</v>
      </c>
      <c r="E3" s="28"/>
      <c r="F3" s="29"/>
      <c r="G3" s="29"/>
      <c r="H3" s="30"/>
      <c r="I3" s="31"/>
      <c r="J3" s="30"/>
      <c r="K3" s="30"/>
      <c r="L3" s="30"/>
      <c r="M3" s="30"/>
    </row>
    <row r="4">
      <c r="A4" s="32">
        <v>2.0</v>
      </c>
      <c r="B4" s="21" t="s">
        <v>38</v>
      </c>
      <c r="C4" s="28"/>
      <c r="D4" s="28" t="s">
        <v>36</v>
      </c>
      <c r="E4" s="29"/>
      <c r="F4" s="29"/>
      <c r="G4" s="29"/>
      <c r="H4" s="30"/>
      <c r="I4" s="30"/>
      <c r="J4" s="30"/>
      <c r="K4" s="30"/>
      <c r="L4" s="30"/>
      <c r="M4" s="30"/>
    </row>
    <row r="5">
      <c r="A5" s="32">
        <v>3.0</v>
      </c>
      <c r="B5" s="27" t="s">
        <v>39</v>
      </c>
      <c r="C5" s="28" t="s">
        <v>36</v>
      </c>
      <c r="D5" s="29"/>
      <c r="E5" s="28" t="s">
        <v>36</v>
      </c>
      <c r="F5" s="28"/>
      <c r="G5" s="29"/>
      <c r="H5" s="30"/>
      <c r="I5" s="31"/>
      <c r="J5" s="31"/>
      <c r="K5" s="31"/>
      <c r="L5" s="31"/>
      <c r="M5" s="30"/>
    </row>
    <row r="6">
      <c r="A6" s="32">
        <v>4.0</v>
      </c>
      <c r="B6" s="27" t="s">
        <v>40</v>
      </c>
      <c r="C6" s="29"/>
      <c r="D6" s="29"/>
      <c r="E6" s="28" t="s">
        <v>36</v>
      </c>
      <c r="F6" s="28" t="s">
        <v>36</v>
      </c>
      <c r="G6" s="28"/>
      <c r="H6" s="30"/>
      <c r="I6" s="30"/>
      <c r="J6" s="30"/>
      <c r="K6" s="31"/>
      <c r="L6" s="30"/>
      <c r="M6" s="30"/>
    </row>
    <row r="7">
      <c r="A7" s="32">
        <v>5.0</v>
      </c>
      <c r="B7" s="33" t="s">
        <v>41</v>
      </c>
      <c r="C7" s="29"/>
      <c r="D7" s="28"/>
      <c r="E7" s="29"/>
      <c r="F7" s="28" t="s">
        <v>36</v>
      </c>
      <c r="G7" s="29"/>
      <c r="H7" s="30"/>
      <c r="I7" s="30"/>
      <c r="J7" s="30"/>
      <c r="K7" s="30"/>
      <c r="L7" s="30"/>
      <c r="M7" s="30"/>
    </row>
    <row r="8">
      <c r="A8" s="32">
        <v>6.0</v>
      </c>
      <c r="B8" s="34" t="s">
        <v>42</v>
      </c>
      <c r="C8" s="35"/>
      <c r="D8" s="28"/>
      <c r="E8" s="29"/>
      <c r="F8" s="28" t="s">
        <v>36</v>
      </c>
      <c r="G8" s="29"/>
      <c r="H8" s="30"/>
      <c r="I8" s="30"/>
      <c r="J8" s="30"/>
      <c r="K8" s="30"/>
      <c r="L8" s="30"/>
      <c r="M8" s="30"/>
    </row>
    <row r="9">
      <c r="A9" s="32">
        <v>7.0</v>
      </c>
      <c r="B9" s="33" t="s">
        <v>43</v>
      </c>
      <c r="C9" s="29"/>
      <c r="D9" s="28" t="s">
        <v>36</v>
      </c>
      <c r="E9" s="29"/>
      <c r="F9" s="28"/>
      <c r="G9" s="29"/>
      <c r="H9" s="30"/>
      <c r="I9" s="30"/>
      <c r="J9" s="30"/>
      <c r="K9" s="30"/>
      <c r="L9" s="31"/>
      <c r="M9" s="30"/>
    </row>
    <row r="10">
      <c r="A10" s="32">
        <v>8.0</v>
      </c>
      <c r="B10" s="36" t="s">
        <v>44</v>
      </c>
      <c r="C10" s="37"/>
      <c r="D10" s="29"/>
      <c r="E10" s="28" t="s">
        <v>36</v>
      </c>
      <c r="F10" s="28" t="s">
        <v>36</v>
      </c>
      <c r="G10" s="29"/>
      <c r="H10" s="30"/>
      <c r="I10" s="30"/>
      <c r="J10" s="30"/>
      <c r="K10" s="30"/>
      <c r="L10" s="30"/>
      <c r="M10" s="30"/>
    </row>
    <row r="11">
      <c r="A11" s="32">
        <v>9.0</v>
      </c>
      <c r="B11" s="36" t="s">
        <v>45</v>
      </c>
      <c r="C11" s="37"/>
      <c r="D11" s="28" t="s">
        <v>36</v>
      </c>
      <c r="E11" s="28" t="s">
        <v>36</v>
      </c>
      <c r="F11" s="28"/>
      <c r="G11" s="29"/>
      <c r="H11" s="30"/>
      <c r="I11" s="30"/>
      <c r="J11" s="30"/>
      <c r="K11" s="30"/>
      <c r="L11" s="30"/>
      <c r="M11" s="30"/>
    </row>
    <row r="12">
      <c r="A12" s="38">
        <v>10.0</v>
      </c>
      <c r="B12" s="39" t="s">
        <v>46</v>
      </c>
      <c r="C12" s="40" t="s">
        <v>36</v>
      </c>
      <c r="D12" s="40" t="s">
        <v>36</v>
      </c>
      <c r="E12" s="41"/>
      <c r="F12" s="41"/>
      <c r="G12" s="41"/>
      <c r="H12" s="31"/>
      <c r="I12" s="31"/>
      <c r="J12" s="31"/>
      <c r="K12" s="31"/>
      <c r="L12" s="31"/>
      <c r="M12" s="31"/>
    </row>
    <row r="13">
      <c r="A13" s="42"/>
      <c r="B13" s="42"/>
      <c r="C13" s="41">
        <f t="shared" ref="C13:G13" si="1">COUNTIF(C3:C12,"X")</f>
        <v>3</v>
      </c>
      <c r="D13" s="41">
        <f t="shared" si="1"/>
        <v>4</v>
      </c>
      <c r="E13" s="41">
        <f t="shared" si="1"/>
        <v>4</v>
      </c>
      <c r="F13" s="41">
        <f t="shared" si="1"/>
        <v>4</v>
      </c>
      <c r="G13" s="41">
        <f t="shared" si="1"/>
        <v>0</v>
      </c>
      <c r="H13" s="31"/>
      <c r="I13" s="31"/>
      <c r="J13" s="31"/>
      <c r="K13" s="31"/>
      <c r="L13" s="31"/>
      <c r="M13" s="3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5.63"/>
    <col customWidth="1" min="2" max="2" width="46.25"/>
    <col customWidth="1" min="3" max="3" width="22.25"/>
    <col customWidth="1" min="4" max="4" width="22.0"/>
    <col customWidth="1" min="5" max="5" width="25.38"/>
    <col customWidth="1" min="6" max="6" width="23.25"/>
    <col customWidth="1" min="7" max="7" width="23.5"/>
    <col customWidth="1" min="8" max="8" width="23.13"/>
    <col customWidth="1" min="9" max="9" width="24.75"/>
    <col customWidth="1" min="10" max="10" width="25.38"/>
    <col customWidth="1" min="11" max="11" width="26.0"/>
    <col customWidth="1" min="12" max="12" width="29.25"/>
    <col customWidth="1" min="13" max="13" width="27.25"/>
  </cols>
  <sheetData>
    <row r="1" ht="15.75" customHeight="1">
      <c r="B1" s="12"/>
      <c r="C1" s="12" t="s">
        <v>13</v>
      </c>
      <c r="D1" s="12" t="s">
        <v>15</v>
      </c>
      <c r="E1" s="12" t="s">
        <v>17</v>
      </c>
      <c r="F1" s="12" t="s">
        <v>19</v>
      </c>
      <c r="G1" s="12" t="s">
        <v>21</v>
      </c>
      <c r="H1" s="12" t="s">
        <v>23</v>
      </c>
      <c r="I1" s="12" t="s">
        <v>25</v>
      </c>
      <c r="J1" s="12" t="s">
        <v>27</v>
      </c>
      <c r="K1" s="12" t="s">
        <v>29</v>
      </c>
      <c r="L1" s="12" t="s">
        <v>31</v>
      </c>
      <c r="M1" s="12" t="s">
        <v>33</v>
      </c>
    </row>
    <row r="2" ht="135.75" customHeight="1">
      <c r="A2" s="43" t="s">
        <v>47</v>
      </c>
      <c r="B2" s="44"/>
      <c r="C2" s="13" t="s">
        <v>48</v>
      </c>
      <c r="D2" s="13" t="s">
        <v>16</v>
      </c>
      <c r="E2" s="13" t="s">
        <v>18</v>
      </c>
      <c r="F2" s="13" t="s">
        <v>20</v>
      </c>
      <c r="G2" s="13" t="s">
        <v>22</v>
      </c>
      <c r="H2" s="13" t="s">
        <v>24</v>
      </c>
      <c r="I2" s="13" t="s">
        <v>26</v>
      </c>
      <c r="J2" s="13" t="s">
        <v>28</v>
      </c>
      <c r="K2" s="13" t="s">
        <v>30</v>
      </c>
      <c r="L2" s="13" t="s">
        <v>32</v>
      </c>
      <c r="M2" s="13" t="s">
        <v>34</v>
      </c>
      <c r="N2" s="44"/>
      <c r="O2" s="44"/>
      <c r="P2" s="44"/>
      <c r="Q2" s="44"/>
      <c r="R2" s="44"/>
      <c r="S2" s="44"/>
      <c r="T2" s="44"/>
      <c r="U2" s="44"/>
      <c r="V2" s="44"/>
      <c r="W2" s="44"/>
      <c r="X2" s="44"/>
      <c r="Y2" s="44"/>
      <c r="Z2" s="44"/>
    </row>
    <row r="3">
      <c r="A3" s="45">
        <v>1.0</v>
      </c>
      <c r="B3" s="27" t="s">
        <v>35</v>
      </c>
      <c r="C3" s="46"/>
      <c r="D3" s="46"/>
      <c r="E3" s="46"/>
      <c r="F3" s="46"/>
      <c r="G3" s="46"/>
      <c r="H3" s="47" t="s">
        <v>36</v>
      </c>
      <c r="I3" s="47" t="s">
        <v>36</v>
      </c>
      <c r="J3" s="47"/>
      <c r="K3" s="47"/>
      <c r="L3" s="46"/>
      <c r="M3" s="47" t="s">
        <v>36</v>
      </c>
      <c r="N3" s="48">
        <f t="shared" ref="N3:N12" si="1">COUNTIF(C3:M3,"X")</f>
        <v>3</v>
      </c>
    </row>
    <row r="4">
      <c r="A4" s="49">
        <v>2.0</v>
      </c>
      <c r="B4" s="21" t="s">
        <v>38</v>
      </c>
      <c r="C4" s="47" t="s">
        <v>36</v>
      </c>
      <c r="D4" s="47"/>
      <c r="E4" s="47" t="s">
        <v>36</v>
      </c>
      <c r="F4" s="50"/>
      <c r="G4" s="47" t="s">
        <v>36</v>
      </c>
      <c r="H4" s="50"/>
      <c r="I4" s="47"/>
      <c r="J4" s="46"/>
      <c r="K4" s="46"/>
      <c r="L4" s="47"/>
      <c r="M4" s="50"/>
      <c r="N4" s="48">
        <f t="shared" si="1"/>
        <v>3</v>
      </c>
    </row>
    <row r="5">
      <c r="A5" s="49">
        <v>3.0</v>
      </c>
      <c r="B5" s="27" t="s">
        <v>49</v>
      </c>
      <c r="C5" s="46"/>
      <c r="D5" s="46"/>
      <c r="E5" s="46"/>
      <c r="F5" s="46"/>
      <c r="G5" s="46"/>
      <c r="H5" s="46"/>
      <c r="I5" s="47"/>
      <c r="J5" s="47" t="s">
        <v>36</v>
      </c>
      <c r="K5" s="47" t="s">
        <v>36</v>
      </c>
      <c r="L5" s="47" t="s">
        <v>36</v>
      </c>
      <c r="M5" s="47"/>
      <c r="N5" s="48">
        <f t="shared" si="1"/>
        <v>3</v>
      </c>
    </row>
    <row r="6">
      <c r="A6" s="49">
        <v>4.0</v>
      </c>
      <c r="B6" s="27" t="s">
        <v>40</v>
      </c>
      <c r="C6" s="46"/>
      <c r="D6" s="47" t="s">
        <v>36</v>
      </c>
      <c r="E6" s="46"/>
      <c r="F6" s="47"/>
      <c r="G6" s="47"/>
      <c r="H6" s="47" t="s">
        <v>36</v>
      </c>
      <c r="I6" s="47"/>
      <c r="J6" s="47"/>
      <c r="K6" s="47" t="s">
        <v>36</v>
      </c>
      <c r="L6" s="46"/>
      <c r="M6" s="46"/>
      <c r="N6" s="48">
        <f t="shared" si="1"/>
        <v>3</v>
      </c>
    </row>
    <row r="7">
      <c r="A7" s="49">
        <v>5.0</v>
      </c>
      <c r="B7" s="33" t="s">
        <v>41</v>
      </c>
      <c r="C7" s="47" t="s">
        <v>36</v>
      </c>
      <c r="D7" s="47"/>
      <c r="E7" s="47" t="s">
        <v>36</v>
      </c>
      <c r="F7" s="47"/>
      <c r="G7" s="47" t="s">
        <v>36</v>
      </c>
      <c r="H7" s="46"/>
      <c r="I7" s="46"/>
      <c r="J7" s="46"/>
      <c r="K7" s="46"/>
      <c r="L7" s="46"/>
      <c r="M7" s="46"/>
      <c r="N7" s="48">
        <f t="shared" si="1"/>
        <v>3</v>
      </c>
    </row>
    <row r="8">
      <c r="A8" s="49">
        <v>6.0</v>
      </c>
      <c r="B8" s="34" t="s">
        <v>42</v>
      </c>
      <c r="C8" s="47"/>
      <c r="D8" s="47"/>
      <c r="E8" s="47" t="s">
        <v>36</v>
      </c>
      <c r="F8" s="47" t="s">
        <v>36</v>
      </c>
      <c r="G8" s="47" t="s">
        <v>36</v>
      </c>
      <c r="H8" s="47"/>
      <c r="I8" s="46"/>
      <c r="J8" s="46"/>
      <c r="K8" s="46"/>
      <c r="L8" s="47"/>
      <c r="M8" s="47" t="s">
        <v>36</v>
      </c>
      <c r="N8" s="48">
        <f t="shared" si="1"/>
        <v>4</v>
      </c>
    </row>
    <row r="9">
      <c r="A9" s="49">
        <v>7.0</v>
      </c>
      <c r="B9" s="33" t="s">
        <v>43</v>
      </c>
      <c r="C9" s="47" t="s">
        <v>36</v>
      </c>
      <c r="D9" s="46"/>
      <c r="E9" s="50"/>
      <c r="F9" s="47" t="s">
        <v>36</v>
      </c>
      <c r="G9" s="47" t="s">
        <v>36</v>
      </c>
      <c r="H9" s="46"/>
      <c r="I9" s="46"/>
      <c r="J9" s="47"/>
      <c r="K9" s="46"/>
      <c r="L9" s="50"/>
      <c r="M9" s="46"/>
      <c r="N9" s="48">
        <f t="shared" si="1"/>
        <v>3</v>
      </c>
    </row>
    <row r="10">
      <c r="A10" s="49">
        <v>8.0</v>
      </c>
      <c r="B10" s="36" t="s">
        <v>44</v>
      </c>
      <c r="C10" s="50"/>
      <c r="D10" s="50"/>
      <c r="E10" s="47"/>
      <c r="F10" s="46"/>
      <c r="G10" s="50"/>
      <c r="H10" s="46"/>
      <c r="I10" s="46"/>
      <c r="J10" s="47" t="s">
        <v>36</v>
      </c>
      <c r="K10" s="47"/>
      <c r="L10" s="47" t="s">
        <v>36</v>
      </c>
      <c r="M10" s="47"/>
      <c r="N10" s="48">
        <f t="shared" si="1"/>
        <v>2</v>
      </c>
    </row>
    <row r="11">
      <c r="A11" s="49">
        <v>9.0</v>
      </c>
      <c r="B11" s="36" t="s">
        <v>45</v>
      </c>
      <c r="C11" s="47" t="s">
        <v>36</v>
      </c>
      <c r="D11" s="47" t="s">
        <v>36</v>
      </c>
      <c r="E11" s="50"/>
      <c r="F11" s="46"/>
      <c r="G11" s="47"/>
      <c r="H11" s="46"/>
      <c r="I11" s="50" t="s">
        <v>36</v>
      </c>
      <c r="J11" s="50"/>
      <c r="K11" s="46"/>
      <c r="L11" s="50"/>
      <c r="M11" s="46"/>
      <c r="N11" s="48">
        <f t="shared" si="1"/>
        <v>3</v>
      </c>
    </row>
    <row r="12">
      <c r="A12" s="12">
        <v>10.0</v>
      </c>
      <c r="B12" s="39" t="s">
        <v>46</v>
      </c>
      <c r="D12" s="51" t="s">
        <v>36</v>
      </c>
      <c r="E12" s="51" t="s">
        <v>36</v>
      </c>
      <c r="F12" s="17"/>
      <c r="G12" s="51" t="s">
        <v>36</v>
      </c>
      <c r="N12" s="48">
        <f t="shared" si="1"/>
        <v>3</v>
      </c>
    </row>
    <row r="13">
      <c r="C13" s="46">
        <f t="shared" ref="C13:M13" si="2">COUNTIF(C3:C12,"X")</f>
        <v>4</v>
      </c>
      <c r="D13" s="46">
        <f t="shared" si="2"/>
        <v>3</v>
      </c>
      <c r="E13" s="46">
        <f t="shared" si="2"/>
        <v>4</v>
      </c>
      <c r="F13" s="46">
        <f t="shared" si="2"/>
        <v>2</v>
      </c>
      <c r="G13" s="46">
        <f t="shared" si="2"/>
        <v>5</v>
      </c>
      <c r="H13" s="46">
        <f t="shared" si="2"/>
        <v>2</v>
      </c>
      <c r="I13" s="46">
        <f t="shared" si="2"/>
        <v>2</v>
      </c>
      <c r="J13" s="46">
        <f t="shared" si="2"/>
        <v>2</v>
      </c>
      <c r="K13" s="46">
        <f t="shared" si="2"/>
        <v>2</v>
      </c>
      <c r="L13" s="46">
        <f t="shared" si="2"/>
        <v>2</v>
      </c>
      <c r="M13" s="46">
        <f t="shared" si="2"/>
        <v>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4.25"/>
    <col customWidth="1" min="2" max="2" width="11.75"/>
    <col customWidth="1" min="3" max="3" width="31.38"/>
    <col customWidth="1" min="4" max="4" width="13.13"/>
    <col customWidth="1" min="5" max="5" width="14.13"/>
    <col customWidth="1" min="6" max="6" width="10.38"/>
    <col customWidth="1" min="7" max="7" width="9.38"/>
    <col customWidth="1" min="8" max="8" width="10.25"/>
    <col customWidth="1" min="9" max="9" width="10.38"/>
  </cols>
  <sheetData>
    <row r="1">
      <c r="A1" s="52" t="s">
        <v>0</v>
      </c>
      <c r="B1" s="52" t="s">
        <v>50</v>
      </c>
      <c r="C1" s="52" t="s">
        <v>51</v>
      </c>
      <c r="D1" s="52" t="s">
        <v>52</v>
      </c>
      <c r="E1" s="52" t="s">
        <v>53</v>
      </c>
      <c r="F1" s="53" t="s">
        <v>54</v>
      </c>
      <c r="G1" s="54"/>
      <c r="H1" s="54"/>
      <c r="I1" s="55"/>
    </row>
    <row r="2">
      <c r="A2" s="56"/>
      <c r="B2" s="56"/>
      <c r="C2" s="56"/>
      <c r="D2" s="56"/>
      <c r="E2" s="56"/>
      <c r="F2" s="57" t="s">
        <v>55</v>
      </c>
      <c r="G2" s="57" t="s">
        <v>56</v>
      </c>
      <c r="H2" s="57" t="s">
        <v>57</v>
      </c>
      <c r="I2" s="57" t="s">
        <v>58</v>
      </c>
    </row>
    <row r="3">
      <c r="A3" s="58"/>
      <c r="B3" s="59" t="s">
        <v>59</v>
      </c>
      <c r="C3" s="60"/>
      <c r="D3" s="58"/>
      <c r="E3" s="58"/>
      <c r="F3" s="58"/>
      <c r="G3" s="58"/>
      <c r="H3" s="58"/>
      <c r="I3" s="58"/>
    </row>
    <row r="4">
      <c r="A4" s="61">
        <v>1.0</v>
      </c>
      <c r="B4" s="62" t="s">
        <v>60</v>
      </c>
      <c r="C4" s="63" t="s">
        <v>61</v>
      </c>
      <c r="D4" s="64" t="s">
        <v>62</v>
      </c>
      <c r="E4" s="64" t="s">
        <v>63</v>
      </c>
      <c r="F4" s="65"/>
      <c r="G4" s="65"/>
      <c r="H4" s="65"/>
      <c r="I4" s="66">
        <v>2.0</v>
      </c>
      <c r="K4" s="12">
        <v>2.0</v>
      </c>
    </row>
    <row r="5">
      <c r="A5" s="61">
        <v>2.0</v>
      </c>
      <c r="B5" s="67" t="s">
        <v>64</v>
      </c>
      <c r="C5" s="63" t="s">
        <v>65</v>
      </c>
      <c r="D5" s="64" t="s">
        <v>62</v>
      </c>
      <c r="E5" s="64" t="s">
        <v>63</v>
      </c>
      <c r="F5" s="65"/>
      <c r="G5" s="65"/>
      <c r="H5" s="68">
        <v>2.0</v>
      </c>
      <c r="I5" s="69"/>
      <c r="K5" s="12">
        <v>2.0</v>
      </c>
    </row>
    <row r="6">
      <c r="A6" s="61">
        <v>3.0</v>
      </c>
      <c r="B6" s="67" t="s">
        <v>66</v>
      </c>
      <c r="C6" s="63" t="s">
        <v>67</v>
      </c>
      <c r="D6" s="64" t="s">
        <v>62</v>
      </c>
      <c r="E6" s="64" t="s">
        <v>63</v>
      </c>
      <c r="F6" s="65"/>
      <c r="G6" s="65"/>
      <c r="H6" s="68">
        <v>2.0</v>
      </c>
      <c r="I6" s="69"/>
      <c r="K6" s="12">
        <v>2.0</v>
      </c>
    </row>
    <row r="7">
      <c r="A7" s="61">
        <v>4.0</v>
      </c>
      <c r="B7" s="67" t="s">
        <v>68</v>
      </c>
      <c r="C7" s="63" t="s">
        <v>69</v>
      </c>
      <c r="D7" s="64" t="s">
        <v>62</v>
      </c>
      <c r="E7" s="64" t="s">
        <v>63</v>
      </c>
      <c r="F7" s="68">
        <v>2.0</v>
      </c>
      <c r="G7" s="65"/>
      <c r="H7" s="68"/>
      <c r="I7" s="69"/>
      <c r="K7" s="12">
        <v>2.0</v>
      </c>
    </row>
    <row r="8">
      <c r="A8" s="61">
        <v>5.0</v>
      </c>
      <c r="B8" s="67" t="s">
        <v>70</v>
      </c>
      <c r="C8" s="63" t="s">
        <v>71</v>
      </c>
      <c r="D8" s="64" t="s">
        <v>62</v>
      </c>
      <c r="E8" s="64" t="s">
        <v>63</v>
      </c>
      <c r="F8" s="65"/>
      <c r="G8" s="65"/>
      <c r="H8" s="65"/>
      <c r="I8" s="66">
        <v>2.0</v>
      </c>
      <c r="K8" s="12">
        <v>2.0</v>
      </c>
    </row>
    <row r="9">
      <c r="A9" s="61">
        <v>6.0</v>
      </c>
      <c r="B9" s="67" t="s">
        <v>72</v>
      </c>
      <c r="C9" s="63" t="s">
        <v>73</v>
      </c>
      <c r="D9" s="64" t="s">
        <v>62</v>
      </c>
      <c r="E9" s="64" t="s">
        <v>63</v>
      </c>
      <c r="F9" s="65"/>
      <c r="G9" s="65"/>
      <c r="H9" s="68">
        <v>2.0</v>
      </c>
      <c r="I9" s="69"/>
      <c r="K9" s="12">
        <v>2.0</v>
      </c>
    </row>
    <row r="10">
      <c r="A10" s="61">
        <v>7.0</v>
      </c>
      <c r="B10" s="67" t="s">
        <v>74</v>
      </c>
      <c r="C10" s="63" t="s">
        <v>75</v>
      </c>
      <c r="D10" s="64" t="s">
        <v>62</v>
      </c>
      <c r="E10" s="64" t="s">
        <v>63</v>
      </c>
      <c r="G10" s="65"/>
      <c r="H10" s="68">
        <v>3.0</v>
      </c>
      <c r="I10" s="69"/>
      <c r="K10" s="12">
        <v>2.0</v>
      </c>
    </row>
    <row r="11">
      <c r="A11" s="61">
        <v>8.0</v>
      </c>
      <c r="B11" s="67" t="s">
        <v>76</v>
      </c>
      <c r="C11" s="63" t="s">
        <v>77</v>
      </c>
      <c r="D11" s="64" t="s">
        <v>62</v>
      </c>
      <c r="E11" s="64" t="s">
        <v>63</v>
      </c>
      <c r="F11" s="65"/>
      <c r="G11" s="65"/>
      <c r="H11" s="65"/>
      <c r="I11" s="66">
        <v>2.0</v>
      </c>
      <c r="K11" s="12">
        <v>2.0</v>
      </c>
    </row>
    <row r="12">
      <c r="A12" s="61">
        <v>9.0</v>
      </c>
      <c r="B12" s="67" t="s">
        <v>78</v>
      </c>
      <c r="C12" s="63" t="s">
        <v>79</v>
      </c>
      <c r="D12" s="64" t="s">
        <v>62</v>
      </c>
      <c r="E12" s="64" t="s">
        <v>63</v>
      </c>
      <c r="F12" s="68">
        <v>2.0</v>
      </c>
      <c r="G12" s="65"/>
      <c r="H12" s="68"/>
      <c r="I12" s="69"/>
      <c r="K12" s="12">
        <v>2.0</v>
      </c>
    </row>
    <row r="13">
      <c r="A13" s="58"/>
      <c r="B13" s="60"/>
      <c r="C13" s="60"/>
      <c r="D13" s="58"/>
      <c r="E13" s="58"/>
      <c r="F13" s="65"/>
      <c r="G13" s="65"/>
      <c r="H13" s="65"/>
      <c r="I13" s="65"/>
      <c r="J13" s="70">
        <f>sum(F4:I12)</f>
        <v>19</v>
      </c>
    </row>
    <row r="14">
      <c r="A14" s="58"/>
      <c r="B14" s="59" t="s">
        <v>80</v>
      </c>
      <c r="C14" s="60"/>
      <c r="D14" s="58"/>
      <c r="E14" s="58"/>
      <c r="F14" s="65"/>
      <c r="G14" s="65"/>
      <c r="H14" s="65"/>
      <c r="I14" s="65"/>
    </row>
    <row r="15">
      <c r="A15" s="71">
        <v>1.0</v>
      </c>
      <c r="B15" s="67" t="s">
        <v>81</v>
      </c>
      <c r="C15" s="72" t="s">
        <v>82</v>
      </c>
      <c r="D15" s="64" t="s">
        <v>62</v>
      </c>
      <c r="E15" s="64" t="s">
        <v>63</v>
      </c>
      <c r="F15" s="65"/>
      <c r="G15" s="65"/>
      <c r="H15" s="65"/>
      <c r="I15" s="73">
        <v>2.0</v>
      </c>
      <c r="K15" s="12">
        <v>2.0</v>
      </c>
    </row>
    <row r="16">
      <c r="A16" s="74">
        <v>2.0</v>
      </c>
      <c r="B16" s="67" t="s">
        <v>83</v>
      </c>
      <c r="C16" s="72" t="s">
        <v>84</v>
      </c>
      <c r="D16" s="64" t="s">
        <v>62</v>
      </c>
      <c r="E16" s="64" t="s">
        <v>63</v>
      </c>
      <c r="F16" s="66">
        <v>2.0</v>
      </c>
      <c r="G16" s="65"/>
      <c r="H16" s="65"/>
      <c r="I16" s="75"/>
      <c r="K16" s="12">
        <v>2.0</v>
      </c>
    </row>
    <row r="17">
      <c r="A17" s="71">
        <v>3.0</v>
      </c>
      <c r="B17" s="67" t="s">
        <v>85</v>
      </c>
      <c r="C17" s="72" t="s">
        <v>86</v>
      </c>
      <c r="D17" s="64" t="s">
        <v>62</v>
      </c>
      <c r="E17" s="64" t="s">
        <v>63</v>
      </c>
      <c r="F17" s="65"/>
      <c r="G17" s="65"/>
      <c r="H17" s="69">
        <v>2.0</v>
      </c>
      <c r="I17" s="73"/>
      <c r="K17" s="12">
        <v>2.0</v>
      </c>
    </row>
    <row r="18">
      <c r="A18" s="71">
        <v>4.0</v>
      </c>
      <c r="B18" s="67" t="s">
        <v>87</v>
      </c>
      <c r="C18" s="72" t="s">
        <v>88</v>
      </c>
      <c r="D18" s="64" t="s">
        <v>62</v>
      </c>
      <c r="E18" s="64" t="s">
        <v>63</v>
      </c>
      <c r="F18" s="65"/>
      <c r="G18" s="65"/>
      <c r="H18" s="68">
        <v>2.0</v>
      </c>
      <c r="I18" s="69"/>
      <c r="K18" s="12">
        <v>2.0</v>
      </c>
    </row>
    <row r="19">
      <c r="A19" s="71">
        <v>5.0</v>
      </c>
      <c r="B19" s="67" t="s">
        <v>89</v>
      </c>
      <c r="C19" s="72" t="s">
        <v>90</v>
      </c>
      <c r="D19" s="64" t="s">
        <v>62</v>
      </c>
      <c r="E19" s="64" t="s">
        <v>63</v>
      </c>
      <c r="F19" s="65"/>
      <c r="G19" s="65"/>
      <c r="H19" s="68">
        <v>2.0</v>
      </c>
      <c r="I19" s="69"/>
      <c r="K19" s="12">
        <v>2.0</v>
      </c>
    </row>
    <row r="20">
      <c r="A20" s="74">
        <v>6.0</v>
      </c>
      <c r="B20" s="67" t="s">
        <v>91</v>
      </c>
      <c r="C20" s="72" t="s">
        <v>92</v>
      </c>
      <c r="D20" s="64" t="s">
        <v>62</v>
      </c>
      <c r="E20" s="64" t="s">
        <v>63</v>
      </c>
      <c r="F20" s="68"/>
      <c r="G20" s="65"/>
      <c r="H20" s="68">
        <v>2.0</v>
      </c>
      <c r="I20" s="69"/>
      <c r="K20" s="12">
        <v>2.0</v>
      </c>
    </row>
    <row r="21">
      <c r="A21" s="71">
        <v>7.0</v>
      </c>
      <c r="B21" s="67" t="s">
        <v>93</v>
      </c>
      <c r="C21" s="72" t="s">
        <v>94</v>
      </c>
      <c r="D21" s="64" t="s">
        <v>62</v>
      </c>
      <c r="E21" s="64" t="s">
        <v>63</v>
      </c>
      <c r="F21" s="65"/>
      <c r="G21" s="65"/>
      <c r="H21" s="68">
        <v>2.0</v>
      </c>
      <c r="I21" s="69"/>
      <c r="K21" s="12">
        <v>2.0</v>
      </c>
    </row>
    <row r="22">
      <c r="A22" s="71">
        <v>8.0</v>
      </c>
      <c r="B22" s="67" t="s">
        <v>95</v>
      </c>
      <c r="C22" s="72" t="s">
        <v>96</v>
      </c>
      <c r="D22" s="64" t="s">
        <v>62</v>
      </c>
      <c r="E22" s="64" t="s">
        <v>63</v>
      </c>
      <c r="F22" s="65"/>
      <c r="G22" s="65"/>
      <c r="H22" s="68">
        <v>2.0</v>
      </c>
      <c r="I22" s="69"/>
    </row>
    <row r="23">
      <c r="A23" s="71">
        <v>9.0</v>
      </c>
      <c r="B23" s="67" t="s">
        <v>97</v>
      </c>
      <c r="C23" s="72" t="s">
        <v>98</v>
      </c>
      <c r="D23" s="64" t="s">
        <v>62</v>
      </c>
      <c r="E23" s="64" t="s">
        <v>63</v>
      </c>
      <c r="F23" s="65"/>
      <c r="G23" s="65"/>
      <c r="H23" s="68">
        <v>3.0</v>
      </c>
      <c r="I23" s="69"/>
      <c r="K23" s="12">
        <v>2.0</v>
      </c>
    </row>
    <row r="24">
      <c r="A24" s="58"/>
      <c r="B24" s="58"/>
      <c r="C24" s="58"/>
      <c r="D24" s="58"/>
      <c r="E24" s="58"/>
      <c r="F24" s="65"/>
      <c r="G24" s="65"/>
      <c r="H24" s="65"/>
      <c r="I24" s="65"/>
      <c r="J24" s="70">
        <f>sum(F15:I23)</f>
        <v>19</v>
      </c>
    </row>
    <row r="25">
      <c r="A25" s="58"/>
      <c r="B25" s="76" t="s">
        <v>99</v>
      </c>
      <c r="C25" s="58"/>
      <c r="D25" s="58"/>
      <c r="E25" s="58"/>
      <c r="F25" s="65"/>
      <c r="G25" s="65"/>
      <c r="H25" s="65"/>
      <c r="I25" s="65"/>
    </row>
    <row r="26">
      <c r="A26" s="71">
        <v>1.0</v>
      </c>
      <c r="B26" s="67" t="s">
        <v>100</v>
      </c>
      <c r="C26" s="72" t="s">
        <v>101</v>
      </c>
      <c r="D26" s="64" t="s">
        <v>62</v>
      </c>
      <c r="E26" s="64" t="s">
        <v>63</v>
      </c>
      <c r="F26" s="65"/>
      <c r="G26" s="65"/>
      <c r="H26" s="66">
        <v>2.0</v>
      </c>
      <c r="I26" s="65"/>
    </row>
    <row r="27">
      <c r="A27" s="74">
        <v>2.0</v>
      </c>
      <c r="B27" s="77" t="s">
        <v>102</v>
      </c>
      <c r="C27" s="78" t="s">
        <v>103</v>
      </c>
      <c r="D27" s="64" t="s">
        <v>62</v>
      </c>
      <c r="E27" s="64" t="s">
        <v>63</v>
      </c>
      <c r="F27" s="65"/>
      <c r="G27" s="65"/>
      <c r="H27" s="66">
        <v>2.0</v>
      </c>
      <c r="I27" s="65"/>
      <c r="K27" s="12">
        <v>2.0</v>
      </c>
    </row>
    <row r="28">
      <c r="A28" s="74">
        <v>3.0</v>
      </c>
      <c r="B28" s="67" t="s">
        <v>104</v>
      </c>
      <c r="C28" s="72" t="s">
        <v>105</v>
      </c>
      <c r="D28" s="64" t="s">
        <v>62</v>
      </c>
      <c r="E28" s="64" t="s">
        <v>63</v>
      </c>
      <c r="F28" s="65"/>
      <c r="G28" s="65"/>
      <c r="H28" s="69"/>
      <c r="I28" s="68">
        <v>2.0</v>
      </c>
    </row>
    <row r="29">
      <c r="A29" s="74">
        <v>4.0</v>
      </c>
      <c r="B29" s="77" t="s">
        <v>106</v>
      </c>
      <c r="C29" s="72" t="s">
        <v>107</v>
      </c>
      <c r="D29" s="64" t="s">
        <v>62</v>
      </c>
      <c r="E29" s="64" t="s">
        <v>63</v>
      </c>
      <c r="F29" s="65"/>
      <c r="G29" s="65"/>
      <c r="H29" s="66">
        <v>3.0</v>
      </c>
      <c r="I29" s="65"/>
    </row>
    <row r="30">
      <c r="A30" s="74">
        <v>5.0</v>
      </c>
      <c r="B30" s="67" t="s">
        <v>108</v>
      </c>
      <c r="C30" s="72" t="s">
        <v>109</v>
      </c>
      <c r="D30" s="64" t="s">
        <v>62</v>
      </c>
      <c r="E30" s="64" t="s">
        <v>63</v>
      </c>
      <c r="F30" s="65"/>
      <c r="G30" s="65"/>
      <c r="H30" s="79">
        <v>3.0</v>
      </c>
      <c r="I30" s="65"/>
    </row>
    <row r="31">
      <c r="A31" s="74">
        <v>6.0</v>
      </c>
      <c r="B31" s="77" t="s">
        <v>110</v>
      </c>
      <c r="C31" s="72" t="s">
        <v>111</v>
      </c>
      <c r="D31" s="64" t="s">
        <v>62</v>
      </c>
      <c r="E31" s="64" t="s">
        <v>63</v>
      </c>
      <c r="F31" s="68">
        <v>2.0</v>
      </c>
      <c r="G31" s="65"/>
      <c r="H31" s="69"/>
      <c r="I31" s="65"/>
      <c r="K31" s="12">
        <v>2.0</v>
      </c>
    </row>
    <row r="32">
      <c r="A32" s="74">
        <v>7.0</v>
      </c>
      <c r="B32" s="67" t="s">
        <v>112</v>
      </c>
      <c r="C32" s="72" t="s">
        <v>113</v>
      </c>
      <c r="D32" s="64" t="s">
        <v>62</v>
      </c>
      <c r="E32" s="64" t="s">
        <v>63</v>
      </c>
      <c r="F32" s="65"/>
      <c r="G32" s="65"/>
      <c r="H32" s="66">
        <v>2.0</v>
      </c>
      <c r="I32" s="65"/>
      <c r="K32" s="12">
        <v>2.0</v>
      </c>
    </row>
    <row r="33">
      <c r="A33" s="74">
        <v>8.0</v>
      </c>
      <c r="B33" s="77" t="s">
        <v>114</v>
      </c>
      <c r="C33" s="72" t="s">
        <v>115</v>
      </c>
      <c r="D33" s="64" t="s">
        <v>62</v>
      </c>
      <c r="E33" s="64" t="s">
        <v>63</v>
      </c>
      <c r="F33" s="65"/>
      <c r="G33" s="65"/>
      <c r="H33" s="66">
        <v>2.0</v>
      </c>
      <c r="I33" s="65"/>
    </row>
    <row r="34">
      <c r="A34" s="74">
        <v>9.0</v>
      </c>
      <c r="B34" s="77" t="s">
        <v>116</v>
      </c>
      <c r="C34" s="78" t="s">
        <v>117</v>
      </c>
      <c r="D34" s="64" t="s">
        <v>62</v>
      </c>
      <c r="E34" s="64" t="s">
        <v>63</v>
      </c>
      <c r="F34" s="65"/>
      <c r="G34" s="65"/>
      <c r="H34" s="66"/>
      <c r="I34" s="68">
        <v>2.0</v>
      </c>
    </row>
    <row r="35">
      <c r="A35" s="58"/>
      <c r="B35" s="58"/>
      <c r="C35" s="58"/>
      <c r="D35" s="58"/>
      <c r="E35" s="58"/>
      <c r="F35" s="65"/>
      <c r="G35" s="65"/>
      <c r="H35" s="65"/>
      <c r="I35" s="65"/>
      <c r="J35" s="70">
        <f>sum(F26:I34)</f>
        <v>20</v>
      </c>
    </row>
    <row r="36">
      <c r="A36" s="58"/>
      <c r="B36" s="76" t="s">
        <v>118</v>
      </c>
      <c r="C36" s="58"/>
      <c r="D36" s="58"/>
      <c r="E36" s="58"/>
      <c r="F36" s="65"/>
      <c r="G36" s="65"/>
      <c r="H36" s="65"/>
      <c r="I36" s="65"/>
    </row>
    <row r="37">
      <c r="A37" s="74">
        <v>1.0</v>
      </c>
      <c r="B37" s="67" t="s">
        <v>119</v>
      </c>
      <c r="C37" s="78" t="s">
        <v>120</v>
      </c>
      <c r="D37" s="64" t="s">
        <v>62</v>
      </c>
      <c r="E37" s="64" t="s">
        <v>63</v>
      </c>
      <c r="F37" s="65"/>
      <c r="G37" s="68">
        <v>2.0</v>
      </c>
      <c r="H37" s="67"/>
      <c r="I37" s="68"/>
      <c r="K37" s="12">
        <v>2.0</v>
      </c>
    </row>
    <row r="38">
      <c r="A38" s="71">
        <v>2.0</v>
      </c>
      <c r="B38" s="77" t="s">
        <v>121</v>
      </c>
      <c r="C38" s="78" t="s">
        <v>122</v>
      </c>
      <c r="D38" s="64" t="s">
        <v>62</v>
      </c>
      <c r="E38" s="64" t="s">
        <v>63</v>
      </c>
      <c r="F38" s="65"/>
      <c r="G38" s="68">
        <v>2.0</v>
      </c>
      <c r="H38" s="80"/>
      <c r="I38" s="65"/>
    </row>
    <row r="39">
      <c r="A39" s="71">
        <v>3.0</v>
      </c>
      <c r="B39" s="67" t="s">
        <v>123</v>
      </c>
      <c r="C39" s="78" t="s">
        <v>124</v>
      </c>
      <c r="D39" s="64" t="s">
        <v>62</v>
      </c>
      <c r="E39" s="64" t="s">
        <v>63</v>
      </c>
      <c r="F39" s="68"/>
      <c r="G39" s="68"/>
      <c r="H39" s="80"/>
      <c r="I39" s="68">
        <v>2.0</v>
      </c>
    </row>
    <row r="40">
      <c r="A40" s="71">
        <v>4.0</v>
      </c>
      <c r="B40" s="77" t="s">
        <v>125</v>
      </c>
      <c r="C40" s="78" t="s">
        <v>126</v>
      </c>
      <c r="D40" s="64" t="s">
        <v>62</v>
      </c>
      <c r="E40" s="64" t="s">
        <v>63</v>
      </c>
      <c r="F40" s="65"/>
      <c r="G40" s="67">
        <v>2.0</v>
      </c>
      <c r="H40" s="67"/>
      <c r="I40" s="65"/>
    </row>
    <row r="41">
      <c r="A41" s="71">
        <v>5.0</v>
      </c>
      <c r="B41" s="67" t="s">
        <v>127</v>
      </c>
      <c r="C41" s="78" t="s">
        <v>128</v>
      </c>
      <c r="D41" s="64" t="s">
        <v>62</v>
      </c>
      <c r="E41" s="64" t="s">
        <v>63</v>
      </c>
      <c r="F41" s="65"/>
      <c r="G41" s="65"/>
      <c r="H41" s="81">
        <v>2.0</v>
      </c>
      <c r="I41" s="65"/>
    </row>
    <row r="42">
      <c r="A42" s="74">
        <v>6.0</v>
      </c>
      <c r="B42" s="77" t="s">
        <v>129</v>
      </c>
      <c r="C42" s="78" t="s">
        <v>130</v>
      </c>
      <c r="D42" s="64" t="s">
        <v>62</v>
      </c>
      <c r="E42" s="64" t="s">
        <v>63</v>
      </c>
      <c r="F42" s="65"/>
      <c r="G42" s="65"/>
      <c r="H42" s="67">
        <v>2.0</v>
      </c>
      <c r="I42" s="65"/>
      <c r="K42" s="12">
        <v>2.0</v>
      </c>
    </row>
    <row r="43">
      <c r="A43" s="71">
        <v>7.0</v>
      </c>
      <c r="B43" s="67" t="s">
        <v>131</v>
      </c>
      <c r="C43" s="78" t="s">
        <v>132</v>
      </c>
      <c r="D43" s="64" t="s">
        <v>62</v>
      </c>
      <c r="E43" s="64" t="s">
        <v>63</v>
      </c>
      <c r="F43" s="65"/>
      <c r="G43" s="65"/>
      <c r="H43" s="82">
        <v>3.0</v>
      </c>
      <c r="I43" s="65"/>
    </row>
    <row r="44">
      <c r="A44" s="71">
        <v>8.0</v>
      </c>
      <c r="B44" s="77" t="s">
        <v>133</v>
      </c>
      <c r="C44" s="78" t="s">
        <v>134</v>
      </c>
      <c r="D44" s="64" t="s">
        <v>62</v>
      </c>
      <c r="E44" s="64" t="s">
        <v>63</v>
      </c>
      <c r="F44" s="68">
        <v>2.0</v>
      </c>
      <c r="G44" s="65"/>
      <c r="H44" s="67"/>
      <c r="I44" s="65"/>
    </row>
    <row r="45">
      <c r="A45" s="71">
        <v>9.0</v>
      </c>
      <c r="B45" s="77" t="s">
        <v>135</v>
      </c>
      <c r="C45" s="78" t="s">
        <v>136</v>
      </c>
      <c r="D45" s="64" t="s">
        <v>62</v>
      </c>
      <c r="E45" s="64" t="s">
        <v>63</v>
      </c>
      <c r="F45" s="65"/>
      <c r="G45" s="65"/>
      <c r="H45" s="82">
        <v>3.0</v>
      </c>
      <c r="I45" s="65"/>
    </row>
    <row r="46">
      <c r="A46" s="58"/>
      <c r="B46" s="58"/>
      <c r="C46" s="58"/>
      <c r="D46" s="58"/>
      <c r="E46" s="58"/>
      <c r="F46" s="65"/>
      <c r="G46" s="65"/>
      <c r="H46" s="65"/>
      <c r="I46" s="65"/>
      <c r="J46" s="70">
        <f>sum(F37:I45)</f>
        <v>20</v>
      </c>
    </row>
    <row r="47">
      <c r="A47" s="58"/>
      <c r="B47" s="76" t="s">
        <v>137</v>
      </c>
      <c r="C47" s="58"/>
      <c r="D47" s="58"/>
      <c r="E47" s="58"/>
      <c r="F47" s="65"/>
      <c r="G47" s="65"/>
      <c r="H47" s="65"/>
      <c r="I47" s="65"/>
    </row>
    <row r="48">
      <c r="A48" s="74">
        <v>1.0</v>
      </c>
      <c r="B48" s="77" t="s">
        <v>138</v>
      </c>
      <c r="C48" s="78" t="s">
        <v>139</v>
      </c>
      <c r="D48" s="64" t="s">
        <v>62</v>
      </c>
      <c r="E48" s="64" t="s">
        <v>63</v>
      </c>
      <c r="F48" s="65"/>
      <c r="G48" s="65"/>
      <c r="H48" s="83"/>
      <c r="I48" s="68">
        <v>2.0</v>
      </c>
    </row>
    <row r="49">
      <c r="A49" s="74">
        <v>2.0</v>
      </c>
      <c r="B49" s="77" t="s">
        <v>140</v>
      </c>
      <c r="C49" s="78" t="s">
        <v>141</v>
      </c>
      <c r="D49" s="64" t="s">
        <v>62</v>
      </c>
      <c r="E49" s="64" t="s">
        <v>63</v>
      </c>
      <c r="F49" s="68"/>
      <c r="G49" s="68"/>
      <c r="H49" s="83"/>
      <c r="I49" s="68">
        <v>2.0</v>
      </c>
    </row>
    <row r="50">
      <c r="A50" s="74">
        <v>3.0</v>
      </c>
      <c r="B50" s="77" t="s">
        <v>142</v>
      </c>
      <c r="C50" s="78" t="s">
        <v>143</v>
      </c>
      <c r="D50" s="64" t="s">
        <v>62</v>
      </c>
      <c r="E50" s="64" t="s">
        <v>63</v>
      </c>
      <c r="F50" s="65"/>
      <c r="G50" s="68">
        <v>3.0</v>
      </c>
      <c r="H50" s="83"/>
      <c r="I50" s="65"/>
    </row>
    <row r="51">
      <c r="A51" s="74">
        <v>4.0</v>
      </c>
      <c r="B51" s="77" t="s">
        <v>144</v>
      </c>
      <c r="C51" s="78" t="s">
        <v>145</v>
      </c>
      <c r="D51" s="64" t="s">
        <v>62</v>
      </c>
      <c r="E51" s="64" t="s">
        <v>63</v>
      </c>
      <c r="F51" s="68"/>
      <c r="G51" s="68">
        <v>3.0</v>
      </c>
      <c r="H51" s="80"/>
      <c r="I51" s="65"/>
    </row>
    <row r="52">
      <c r="A52" s="74">
        <v>5.0</v>
      </c>
      <c r="B52" s="77" t="s">
        <v>146</v>
      </c>
      <c r="C52" s="78" t="s">
        <v>147</v>
      </c>
      <c r="D52" s="64" t="s">
        <v>62</v>
      </c>
      <c r="E52" s="64" t="s">
        <v>63</v>
      </c>
      <c r="F52" s="65"/>
      <c r="G52" s="84">
        <v>2.0</v>
      </c>
      <c r="H52" s="84"/>
      <c r="I52" s="65"/>
    </row>
    <row r="53">
      <c r="A53" s="74">
        <v>6.0</v>
      </c>
      <c r="B53" s="77" t="s">
        <v>148</v>
      </c>
      <c r="C53" s="78" t="s">
        <v>149</v>
      </c>
      <c r="D53" s="64" t="s">
        <v>62</v>
      </c>
      <c r="E53" s="64" t="s">
        <v>63</v>
      </c>
      <c r="F53" s="65"/>
      <c r="G53" s="68">
        <v>2.0</v>
      </c>
      <c r="H53" s="83"/>
      <c r="I53" s="68"/>
      <c r="K53" s="12">
        <v>2.0</v>
      </c>
    </row>
    <row r="54">
      <c r="A54" s="74">
        <v>7.0</v>
      </c>
      <c r="B54" s="77" t="s">
        <v>150</v>
      </c>
      <c r="C54" s="78" t="s">
        <v>151</v>
      </c>
      <c r="D54" s="64" t="s">
        <v>62</v>
      </c>
      <c r="E54" s="64" t="s">
        <v>63</v>
      </c>
      <c r="F54" s="65"/>
      <c r="G54" s="68">
        <v>3.0</v>
      </c>
      <c r="H54" s="84"/>
      <c r="I54" s="65"/>
    </row>
    <row r="55">
      <c r="A55" s="85">
        <v>8.0</v>
      </c>
      <c r="B55" s="77" t="s">
        <v>152</v>
      </c>
      <c r="C55" s="78" t="s">
        <v>153</v>
      </c>
      <c r="D55" s="64" t="s">
        <v>62</v>
      </c>
      <c r="E55" s="64" t="s">
        <v>63</v>
      </c>
      <c r="F55" s="65"/>
      <c r="G55" s="68">
        <v>2.0</v>
      </c>
      <c r="H55" s="80"/>
      <c r="I55" s="65"/>
    </row>
    <row r="56">
      <c r="A56" s="58"/>
      <c r="B56" s="58"/>
      <c r="C56" s="58"/>
      <c r="D56" s="58"/>
      <c r="E56" s="58"/>
      <c r="F56" s="65"/>
      <c r="G56" s="65"/>
      <c r="H56" s="65"/>
      <c r="I56" s="65"/>
      <c r="J56" s="70">
        <f>sum(F48:I55)</f>
        <v>19</v>
      </c>
    </row>
    <row r="57">
      <c r="A57" s="58"/>
      <c r="B57" s="76" t="s">
        <v>154</v>
      </c>
      <c r="C57" s="58"/>
      <c r="D57" s="58"/>
      <c r="E57" s="58"/>
      <c r="F57" s="65"/>
      <c r="G57" s="65"/>
      <c r="H57" s="65"/>
      <c r="I57" s="65"/>
    </row>
    <row r="58">
      <c r="A58" s="74">
        <v>1.0</v>
      </c>
      <c r="B58" s="77" t="s">
        <v>155</v>
      </c>
      <c r="C58" s="78" t="s">
        <v>156</v>
      </c>
      <c r="D58" s="64" t="s">
        <v>62</v>
      </c>
      <c r="E58" s="64" t="s">
        <v>63</v>
      </c>
      <c r="F58" s="65"/>
      <c r="G58" s="68">
        <v>2.0</v>
      </c>
      <c r="H58" s="67"/>
      <c r="I58" s="86"/>
    </row>
    <row r="59">
      <c r="A59" s="74">
        <v>2.0</v>
      </c>
      <c r="B59" s="77" t="s">
        <v>157</v>
      </c>
      <c r="C59" s="78" t="s">
        <v>158</v>
      </c>
      <c r="D59" s="64" t="s">
        <v>62</v>
      </c>
      <c r="E59" s="64" t="s">
        <v>63</v>
      </c>
      <c r="F59" s="65"/>
      <c r="G59" s="68"/>
      <c r="H59" s="80"/>
      <c r="I59" s="87">
        <v>2.0</v>
      </c>
    </row>
    <row r="60">
      <c r="A60" s="74">
        <v>3.0</v>
      </c>
      <c r="B60" s="77" t="s">
        <v>159</v>
      </c>
      <c r="C60" s="78" t="s">
        <v>160</v>
      </c>
      <c r="D60" s="64" t="s">
        <v>62</v>
      </c>
      <c r="E60" s="64" t="s">
        <v>63</v>
      </c>
      <c r="F60" s="65"/>
      <c r="G60" s="67">
        <v>2.0</v>
      </c>
      <c r="H60" s="80"/>
      <c r="I60" s="67"/>
      <c r="K60" s="12">
        <v>2.0</v>
      </c>
    </row>
    <row r="61">
      <c r="A61" s="74"/>
      <c r="B61" s="88" t="s">
        <v>161</v>
      </c>
      <c r="C61" s="11"/>
      <c r="D61" s="64"/>
      <c r="E61" s="64"/>
      <c r="F61" s="65"/>
      <c r="G61" s="65"/>
      <c r="H61" s="80"/>
      <c r="I61" s="68"/>
    </row>
    <row r="62">
      <c r="A62" s="74">
        <v>4.0</v>
      </c>
      <c r="B62" s="77" t="s">
        <v>162</v>
      </c>
      <c r="C62" s="78" t="s">
        <v>163</v>
      </c>
      <c r="D62" s="64" t="s">
        <v>164</v>
      </c>
      <c r="E62" s="64" t="s">
        <v>63</v>
      </c>
      <c r="G62" s="68">
        <v>6.0</v>
      </c>
      <c r="H62" s="80"/>
      <c r="I62" s="68"/>
    </row>
    <row r="63">
      <c r="A63" s="74">
        <v>5.0</v>
      </c>
      <c r="B63" s="77" t="s">
        <v>165</v>
      </c>
      <c r="C63" s="78" t="s">
        <v>166</v>
      </c>
      <c r="D63" s="64" t="s">
        <v>164</v>
      </c>
      <c r="E63" s="64" t="s">
        <v>63</v>
      </c>
      <c r="F63" s="65"/>
      <c r="G63" s="68">
        <v>3.0</v>
      </c>
      <c r="H63" s="89"/>
      <c r="I63" s="65"/>
    </row>
    <row r="64">
      <c r="A64" s="74">
        <v>6.0</v>
      </c>
      <c r="B64" s="77" t="s">
        <v>167</v>
      </c>
      <c r="C64" s="78" t="s">
        <v>168</v>
      </c>
      <c r="D64" s="64" t="s">
        <v>164</v>
      </c>
      <c r="E64" s="64" t="s">
        <v>63</v>
      </c>
      <c r="F64" s="65"/>
      <c r="G64" s="68">
        <v>2.0</v>
      </c>
      <c r="H64" s="90"/>
      <c r="I64" s="65"/>
    </row>
    <row r="65">
      <c r="A65" s="74">
        <v>7.0</v>
      </c>
      <c r="B65" s="77" t="s">
        <v>169</v>
      </c>
      <c r="C65" s="78" t="s">
        <v>170</v>
      </c>
      <c r="D65" s="64" t="s">
        <v>164</v>
      </c>
      <c r="E65" s="64" t="s">
        <v>63</v>
      </c>
      <c r="F65" s="68"/>
      <c r="G65" s="68">
        <v>2.0</v>
      </c>
      <c r="H65" s="80"/>
      <c r="I65" s="65"/>
    </row>
    <row r="66">
      <c r="A66" s="91">
        <v>8.0</v>
      </c>
      <c r="B66" s="77" t="s">
        <v>171</v>
      </c>
      <c r="C66" s="78" t="s">
        <v>172</v>
      </c>
      <c r="D66" s="58"/>
      <c r="E66" s="64"/>
      <c r="F66" s="65"/>
      <c r="G66" s="68">
        <v>2.0</v>
      </c>
      <c r="H66" s="92"/>
      <c r="I66" s="65"/>
      <c r="J66" s="70">
        <f>sum(F58:I66)</f>
        <v>21</v>
      </c>
    </row>
    <row r="67">
      <c r="A67" s="93"/>
      <c r="B67" s="88" t="s">
        <v>173</v>
      </c>
      <c r="C67" s="11"/>
      <c r="D67" s="58"/>
      <c r="E67" s="64"/>
      <c r="F67" s="65"/>
      <c r="G67" s="65"/>
      <c r="H67" s="92"/>
      <c r="I67" s="65"/>
    </row>
    <row r="68">
      <c r="A68" s="71">
        <v>4.0</v>
      </c>
      <c r="B68" s="77" t="s">
        <v>174</v>
      </c>
      <c r="C68" s="78" t="s">
        <v>163</v>
      </c>
      <c r="D68" s="64" t="s">
        <v>164</v>
      </c>
      <c r="E68" s="64" t="s">
        <v>175</v>
      </c>
      <c r="F68" s="65"/>
      <c r="G68" s="68">
        <v>4.0</v>
      </c>
      <c r="H68" s="92"/>
      <c r="I68" s="65"/>
    </row>
    <row r="69">
      <c r="A69" s="71">
        <v>5.0</v>
      </c>
      <c r="B69" s="77" t="s">
        <v>176</v>
      </c>
      <c r="C69" s="78" t="s">
        <v>166</v>
      </c>
      <c r="D69" s="64" t="s">
        <v>164</v>
      </c>
      <c r="E69" s="64" t="s">
        <v>175</v>
      </c>
      <c r="F69" s="65"/>
      <c r="G69" s="68">
        <v>3.0</v>
      </c>
      <c r="H69" s="92"/>
      <c r="I69" s="65"/>
    </row>
    <row r="70">
      <c r="A70" s="71">
        <v>6.0</v>
      </c>
      <c r="B70" s="77" t="s">
        <v>177</v>
      </c>
      <c r="C70" s="78" t="s">
        <v>168</v>
      </c>
      <c r="D70" s="64" t="s">
        <v>164</v>
      </c>
      <c r="E70" s="64" t="s">
        <v>175</v>
      </c>
      <c r="F70" s="65"/>
      <c r="G70" s="68">
        <v>2.0</v>
      </c>
      <c r="H70" s="92"/>
      <c r="I70" s="65"/>
    </row>
    <row r="71">
      <c r="A71" s="71">
        <v>7.0</v>
      </c>
      <c r="B71" s="77" t="s">
        <v>178</v>
      </c>
      <c r="C71" s="78" t="s">
        <v>170</v>
      </c>
      <c r="D71" s="64" t="s">
        <v>164</v>
      </c>
      <c r="E71" s="64" t="s">
        <v>175</v>
      </c>
      <c r="F71" s="65"/>
      <c r="G71" s="68">
        <v>2.0</v>
      </c>
      <c r="H71" s="92"/>
      <c r="I71" s="65"/>
    </row>
    <row r="72">
      <c r="A72" s="71">
        <v>8.0</v>
      </c>
      <c r="B72" s="77" t="s">
        <v>179</v>
      </c>
      <c r="C72" s="78" t="s">
        <v>172</v>
      </c>
      <c r="D72" s="64" t="s">
        <v>164</v>
      </c>
      <c r="E72" s="64" t="s">
        <v>175</v>
      </c>
      <c r="F72" s="65"/>
      <c r="G72" s="68">
        <v>2.0</v>
      </c>
      <c r="H72" s="92"/>
      <c r="I72" s="68"/>
      <c r="K72" s="12">
        <v>2.0</v>
      </c>
    </row>
    <row r="73">
      <c r="A73" s="71">
        <v>9.0</v>
      </c>
      <c r="B73" s="77" t="s">
        <v>180</v>
      </c>
      <c r="C73" s="94" t="s">
        <v>181</v>
      </c>
      <c r="D73" s="64" t="s">
        <v>164</v>
      </c>
      <c r="E73" s="64" t="s">
        <v>175</v>
      </c>
      <c r="F73" s="65"/>
      <c r="G73" s="68">
        <v>2.0</v>
      </c>
      <c r="H73" s="92"/>
      <c r="I73" s="65"/>
    </row>
    <row r="74">
      <c r="A74" s="93"/>
      <c r="B74" s="88" t="s">
        <v>182</v>
      </c>
      <c r="C74" s="11"/>
      <c r="D74" s="58"/>
      <c r="E74" s="64"/>
      <c r="F74" s="65"/>
      <c r="G74" s="65"/>
      <c r="H74" s="92"/>
      <c r="I74" s="65"/>
    </row>
    <row r="75">
      <c r="A75" s="71">
        <v>4.0</v>
      </c>
      <c r="B75" s="77" t="s">
        <v>183</v>
      </c>
      <c r="C75" s="78" t="s">
        <v>184</v>
      </c>
      <c r="D75" s="64" t="s">
        <v>164</v>
      </c>
      <c r="E75" s="64" t="s">
        <v>175</v>
      </c>
      <c r="F75" s="65"/>
      <c r="G75" s="68">
        <v>6.0</v>
      </c>
      <c r="H75" s="92"/>
      <c r="I75" s="68"/>
    </row>
    <row r="76">
      <c r="A76" s="71">
        <v>5.0</v>
      </c>
      <c r="B76" s="77" t="s">
        <v>185</v>
      </c>
      <c r="C76" s="78" t="s">
        <v>186</v>
      </c>
      <c r="D76" s="64" t="s">
        <v>164</v>
      </c>
      <c r="E76" s="64" t="s">
        <v>175</v>
      </c>
      <c r="F76" s="65"/>
      <c r="G76" s="68">
        <v>3.0</v>
      </c>
      <c r="H76" s="92"/>
      <c r="I76" s="65"/>
    </row>
    <row r="77">
      <c r="A77" s="71">
        <v>6.0</v>
      </c>
      <c r="B77" s="77" t="s">
        <v>187</v>
      </c>
      <c r="C77" s="78" t="s">
        <v>188</v>
      </c>
      <c r="D77" s="64" t="s">
        <v>164</v>
      </c>
      <c r="E77" s="64" t="s">
        <v>175</v>
      </c>
      <c r="F77" s="65"/>
      <c r="G77" s="68">
        <v>3.0</v>
      </c>
      <c r="H77" s="92"/>
      <c r="I77" s="68"/>
    </row>
    <row r="78">
      <c r="A78" s="71">
        <v>7.0</v>
      </c>
      <c r="B78" s="77" t="s">
        <v>189</v>
      </c>
      <c r="C78" s="78" t="s">
        <v>190</v>
      </c>
      <c r="D78" s="64" t="s">
        <v>164</v>
      </c>
      <c r="E78" s="64" t="s">
        <v>175</v>
      </c>
      <c r="F78" s="65"/>
      <c r="G78" s="68">
        <v>2.0</v>
      </c>
      <c r="H78" s="92"/>
      <c r="I78" s="65"/>
    </row>
    <row r="79">
      <c r="A79" s="71"/>
      <c r="B79" s="95"/>
      <c r="C79" s="96"/>
      <c r="D79" s="64"/>
      <c r="E79" s="64"/>
      <c r="F79" s="65"/>
      <c r="G79" s="68"/>
      <c r="H79" s="92"/>
      <c r="I79" s="65"/>
    </row>
    <row r="80">
      <c r="A80" s="58"/>
      <c r="B80" s="76" t="s">
        <v>191</v>
      </c>
      <c r="C80" s="58"/>
      <c r="D80" s="58"/>
      <c r="E80" s="58"/>
      <c r="F80" s="65"/>
      <c r="G80" s="65"/>
      <c r="H80" s="65"/>
      <c r="I80" s="65"/>
    </row>
    <row r="81">
      <c r="A81" s="97"/>
      <c r="B81" s="88" t="s">
        <v>161</v>
      </c>
      <c r="C81" s="11"/>
      <c r="D81" s="64"/>
      <c r="E81" s="64"/>
      <c r="F81" s="65"/>
      <c r="G81" s="65"/>
      <c r="H81" s="80"/>
      <c r="I81" s="65"/>
    </row>
    <row r="82">
      <c r="A82" s="98">
        <v>1.0</v>
      </c>
      <c r="B82" s="99" t="s">
        <v>192</v>
      </c>
      <c r="C82" s="100" t="s">
        <v>193</v>
      </c>
      <c r="D82" s="64" t="s">
        <v>164</v>
      </c>
      <c r="E82" s="64" t="s">
        <v>175</v>
      </c>
      <c r="F82" s="65"/>
      <c r="G82" s="68">
        <v>20.0</v>
      </c>
      <c r="H82" s="89"/>
      <c r="I82" s="80"/>
    </row>
    <row r="83">
      <c r="A83" s="97"/>
      <c r="B83" s="88" t="s">
        <v>173</v>
      </c>
      <c r="C83" s="11"/>
      <c r="D83" s="64"/>
      <c r="E83" s="64"/>
      <c r="F83" s="65"/>
      <c r="G83" s="65"/>
      <c r="H83" s="75"/>
      <c r="I83" s="80"/>
      <c r="J83" s="70">
        <f>sum(G81:I82)</f>
        <v>20</v>
      </c>
    </row>
    <row r="84">
      <c r="A84" s="101">
        <v>2.0</v>
      </c>
      <c r="B84" s="99" t="s">
        <v>194</v>
      </c>
      <c r="C84" s="100" t="s">
        <v>193</v>
      </c>
      <c r="D84" s="64" t="s">
        <v>164</v>
      </c>
      <c r="E84" s="64" t="s">
        <v>175</v>
      </c>
      <c r="F84" s="65"/>
      <c r="G84" s="68">
        <v>20.0</v>
      </c>
      <c r="H84" s="89"/>
      <c r="I84" s="80"/>
    </row>
    <row r="85">
      <c r="A85" s="101">
        <v>3.0</v>
      </c>
      <c r="B85" s="99" t="s">
        <v>195</v>
      </c>
      <c r="C85" s="100" t="s">
        <v>196</v>
      </c>
      <c r="D85" s="64" t="s">
        <v>164</v>
      </c>
      <c r="E85" s="64" t="s">
        <v>175</v>
      </c>
      <c r="F85" s="65"/>
      <c r="G85" s="68">
        <v>2.0</v>
      </c>
      <c r="H85" s="89"/>
      <c r="I85" s="80"/>
    </row>
    <row r="86">
      <c r="A86" s="97"/>
      <c r="B86" s="96"/>
      <c r="C86" s="96"/>
      <c r="D86" s="64"/>
      <c r="E86" s="64"/>
      <c r="F86" s="65"/>
      <c r="G86" s="65"/>
      <c r="H86" s="75"/>
      <c r="I86" s="80"/>
    </row>
    <row r="87">
      <c r="A87" s="58"/>
      <c r="B87" s="76" t="s">
        <v>197</v>
      </c>
      <c r="C87" s="58"/>
      <c r="D87" s="58"/>
      <c r="E87" s="58"/>
      <c r="F87" s="65"/>
      <c r="G87" s="65"/>
      <c r="H87" s="65"/>
      <c r="I87" s="65"/>
    </row>
    <row r="88">
      <c r="A88" s="71">
        <v>1.0</v>
      </c>
      <c r="B88" s="72" t="s">
        <v>198</v>
      </c>
      <c r="C88" s="78" t="s">
        <v>199</v>
      </c>
      <c r="D88" s="64" t="s">
        <v>62</v>
      </c>
      <c r="E88" s="64" t="s">
        <v>63</v>
      </c>
      <c r="F88" s="65"/>
      <c r="G88" s="68">
        <v>8.0</v>
      </c>
      <c r="H88" s="68"/>
      <c r="I88" s="65"/>
    </row>
    <row r="89">
      <c r="A89" s="102">
        <v>2.0</v>
      </c>
      <c r="B89" s="94" t="s">
        <v>200</v>
      </c>
      <c r="C89" s="94" t="s">
        <v>201</v>
      </c>
      <c r="D89" s="64" t="s">
        <v>62</v>
      </c>
      <c r="E89" s="64" t="s">
        <v>63</v>
      </c>
      <c r="F89" s="65"/>
      <c r="H89" s="65"/>
      <c r="I89" s="68">
        <v>2.0</v>
      </c>
      <c r="J89" s="70">
        <f>sum(F88:I89)</f>
        <v>10</v>
      </c>
    </row>
    <row r="90">
      <c r="A90" s="58"/>
      <c r="B90" s="58"/>
      <c r="C90" s="58"/>
      <c r="D90" s="58"/>
      <c r="E90" s="58"/>
      <c r="F90" s="65"/>
      <c r="G90" s="65"/>
      <c r="H90" s="65"/>
      <c r="I90" s="65"/>
    </row>
    <row r="91">
      <c r="A91" s="58"/>
      <c r="B91" s="103"/>
      <c r="C91" s="104" t="s">
        <v>202</v>
      </c>
      <c r="D91" s="54"/>
      <c r="E91" s="55"/>
      <c r="F91" s="105">
        <f>SUM(F4:F12,F15:F23,F26:F34,F37:F44,F48:F55,F58:F65,F81:F82,F88:F89)</f>
        <v>10</v>
      </c>
      <c r="G91" s="105">
        <f>SUM(G4:G12,G15:G23,G26:G34,G37:G44,G48:G55,G58:G66,G81:G82,G88:G89)</f>
        <v>68</v>
      </c>
      <c r="H91" s="105">
        <f>SUM(H4:H12,H15:H23,H26:H34,H37:H45,H48:H55,H58:H65,H81:H82,H88:H89)</f>
        <v>48</v>
      </c>
      <c r="I91" s="105">
        <f>SUM(I4:I12,I15:I23,I26:I34,I37:I44,I48:I55,I58:I65,I81:I82,I88:I89)</f>
        <v>22</v>
      </c>
      <c r="J91" s="106">
        <f>SUM(F91:I91)</f>
        <v>148</v>
      </c>
      <c r="K91" s="51">
        <v>6.0</v>
      </c>
      <c r="L91" s="51">
        <v>7.0</v>
      </c>
      <c r="M91" s="51">
        <v>8.0</v>
      </c>
    </row>
    <row r="92">
      <c r="A92" s="58"/>
      <c r="B92" s="103"/>
      <c r="C92" s="107" t="s">
        <v>203</v>
      </c>
      <c r="D92" s="54"/>
      <c r="E92" s="55"/>
      <c r="F92" s="108">
        <f t="shared" ref="F92:I92" si="1">(F91/(SUM($F$91:$I$91)))*100%</f>
        <v>0.06756756757</v>
      </c>
      <c r="G92" s="108">
        <f t="shared" si="1"/>
        <v>0.4594594595</v>
      </c>
      <c r="H92" s="108">
        <f t="shared" si="1"/>
        <v>0.3243243243</v>
      </c>
      <c r="I92" s="108">
        <f t="shared" si="1"/>
        <v>0.1486486486</v>
      </c>
      <c r="J92" s="106"/>
      <c r="K92" s="109" t="s">
        <v>204</v>
      </c>
      <c r="L92" s="109" t="s">
        <v>204</v>
      </c>
      <c r="M92" s="109" t="s">
        <v>204</v>
      </c>
    </row>
    <row r="93">
      <c r="A93" s="58"/>
      <c r="B93" s="103"/>
      <c r="C93" s="107" t="s">
        <v>205</v>
      </c>
      <c r="D93" s="54"/>
      <c r="E93" s="55"/>
      <c r="F93" s="58"/>
      <c r="G93" s="110" t="s">
        <v>206</v>
      </c>
      <c r="H93" s="55"/>
      <c r="I93" s="111" t="s">
        <v>207</v>
      </c>
      <c r="J93" s="106"/>
      <c r="K93" s="112" t="s">
        <v>204</v>
      </c>
      <c r="L93" s="112" t="s">
        <v>208</v>
      </c>
      <c r="M93" s="112" t="s">
        <v>204</v>
      </c>
    </row>
    <row r="94">
      <c r="G94" s="113">
        <f>SUM(G92:H92)</f>
        <v>0.7837837838</v>
      </c>
      <c r="J94" s="106"/>
      <c r="K94" s="114" t="s">
        <v>208</v>
      </c>
      <c r="L94" s="114" t="s">
        <v>209</v>
      </c>
      <c r="M94" s="114" t="s">
        <v>204</v>
      </c>
    </row>
    <row r="95">
      <c r="A95" s="58"/>
      <c r="B95" s="103"/>
      <c r="C95" s="115" t="s">
        <v>210</v>
      </c>
      <c r="D95" s="54"/>
      <c r="E95" s="55"/>
      <c r="F95" s="105">
        <f>SUM(F4:F12,F15:F23,F26:F34,F37:F44,F48:F55,F58:F65,F81:F82,F88:F89)</f>
        <v>10</v>
      </c>
      <c r="G95" s="105">
        <f t="shared" ref="G95:I95" si="2">SUM(G4:G12,G15:G23,G26:G34,G37:G45,G48:G55,G58:G66,G84:G85,G88:G89)</f>
        <v>70</v>
      </c>
      <c r="H95" s="105">
        <f t="shared" si="2"/>
        <v>48</v>
      </c>
      <c r="I95" s="105">
        <f t="shared" si="2"/>
        <v>22</v>
      </c>
      <c r="J95" s="106">
        <f>SUM(F95:I95)</f>
        <v>150</v>
      </c>
      <c r="K95" s="116" t="s">
        <v>208</v>
      </c>
      <c r="L95" s="116" t="s">
        <v>208</v>
      </c>
      <c r="M95" s="116" t="s">
        <v>204</v>
      </c>
    </row>
    <row r="96">
      <c r="A96" s="58"/>
      <c r="B96" s="103"/>
      <c r="C96" s="107" t="s">
        <v>203</v>
      </c>
      <c r="D96" s="54"/>
      <c r="E96" s="55"/>
      <c r="F96" s="108">
        <f t="shared" ref="F96:I96" si="3">(F95/(SUM($F$91:$I$91)))*100%</f>
        <v>0.06756756757</v>
      </c>
      <c r="G96" s="108">
        <f t="shared" si="3"/>
        <v>0.472972973</v>
      </c>
      <c r="H96" s="108">
        <f t="shared" si="3"/>
        <v>0.3243243243</v>
      </c>
      <c r="I96" s="108">
        <f t="shared" si="3"/>
        <v>0.1486486486</v>
      </c>
      <c r="J96" s="106"/>
      <c r="K96" s="117" t="s">
        <v>211</v>
      </c>
      <c r="L96" s="117" t="s">
        <v>209</v>
      </c>
      <c r="M96" s="117" t="s">
        <v>204</v>
      </c>
    </row>
    <row r="97">
      <c r="A97" s="58"/>
      <c r="B97" s="103"/>
      <c r="C97" s="107" t="s">
        <v>205</v>
      </c>
      <c r="D97" s="54"/>
      <c r="E97" s="55"/>
      <c r="F97" s="58"/>
      <c r="G97" s="110" t="s">
        <v>206</v>
      </c>
      <c r="H97" s="55"/>
      <c r="I97" s="111" t="s">
        <v>207</v>
      </c>
      <c r="J97" s="106"/>
      <c r="K97" s="118" t="s">
        <v>211</v>
      </c>
      <c r="L97" s="118" t="s">
        <v>208</v>
      </c>
      <c r="M97" s="118" t="s">
        <v>204</v>
      </c>
    </row>
    <row r="98">
      <c r="G98" s="113">
        <f>SUM(G96:H96)</f>
        <v>0.7972972973</v>
      </c>
      <c r="J98" s="106"/>
    </row>
    <row r="99">
      <c r="A99" s="58"/>
      <c r="B99" s="103"/>
      <c r="C99" s="119" t="s">
        <v>212</v>
      </c>
      <c r="D99" s="54"/>
      <c r="E99" s="55"/>
      <c r="F99" s="105">
        <f>SUM(F4:F12,F15:F23,F26:F34,F37:F44,F48:F55,F58:F65,F81:F82,F88:F89)</f>
        <v>10</v>
      </c>
      <c r="G99" s="105">
        <f t="shared" ref="G99:I99" si="4">SUM(G4:G12,G15:G23,G26:G34,G37:G44,G48:G55,G68:G73,G81:G82,G88:G89)</f>
        <v>64</v>
      </c>
      <c r="H99" s="105">
        <f t="shared" si="4"/>
        <v>45</v>
      </c>
      <c r="I99" s="105">
        <f t="shared" si="4"/>
        <v>20</v>
      </c>
      <c r="J99" s="106">
        <f>SUM(F99:I99)</f>
        <v>139</v>
      </c>
    </row>
    <row r="100">
      <c r="A100" s="58"/>
      <c r="B100" s="103"/>
      <c r="C100" s="107" t="s">
        <v>203</v>
      </c>
      <c r="D100" s="54"/>
      <c r="E100" s="55"/>
      <c r="F100" s="108">
        <f t="shared" ref="F100:I100" si="5">(F99/(SUM($F$91:$I$91)))*100%</f>
        <v>0.06756756757</v>
      </c>
      <c r="G100" s="108">
        <f t="shared" si="5"/>
        <v>0.4324324324</v>
      </c>
      <c r="H100" s="108">
        <f t="shared" si="5"/>
        <v>0.3040540541</v>
      </c>
      <c r="I100" s="108">
        <f t="shared" si="5"/>
        <v>0.1351351351</v>
      </c>
      <c r="J100" s="106"/>
    </row>
    <row r="101">
      <c r="A101" s="58"/>
      <c r="B101" s="103"/>
      <c r="C101" s="107" t="s">
        <v>205</v>
      </c>
      <c r="D101" s="54"/>
      <c r="E101" s="55"/>
      <c r="F101" s="58"/>
      <c r="G101" s="110" t="s">
        <v>206</v>
      </c>
      <c r="H101" s="55"/>
      <c r="I101" s="111" t="s">
        <v>207</v>
      </c>
      <c r="J101" s="106"/>
    </row>
    <row r="102">
      <c r="G102" s="113">
        <f>SUM(G100:H100)</f>
        <v>0.7364864865</v>
      </c>
      <c r="J102" s="106"/>
    </row>
    <row r="103">
      <c r="A103" s="58"/>
      <c r="B103" s="103"/>
      <c r="C103" s="120" t="s">
        <v>213</v>
      </c>
      <c r="D103" s="54"/>
      <c r="E103" s="55"/>
      <c r="F103" s="105">
        <f>SUM(F4:F12,F15:F23,F26:F34,F37:F44,F48:F55,F58:F65,F81:F82,F88:F89)</f>
        <v>10</v>
      </c>
      <c r="G103" s="105">
        <f t="shared" ref="G103:I103" si="6">SUM(G4:G12,G15:G23,G26:G34,G37:G44,G48:G55,G68:G73,G84:G85,G88:G89)</f>
        <v>66</v>
      </c>
      <c r="H103" s="105">
        <f t="shared" si="6"/>
        <v>45</v>
      </c>
      <c r="I103" s="105">
        <f t="shared" si="6"/>
        <v>20</v>
      </c>
      <c r="J103" s="106">
        <f>SUM(F103:I103)</f>
        <v>141</v>
      </c>
    </row>
    <row r="104">
      <c r="A104" s="58"/>
      <c r="B104" s="103"/>
      <c r="C104" s="107" t="s">
        <v>203</v>
      </c>
      <c r="D104" s="54"/>
      <c r="E104" s="55"/>
      <c r="F104" s="108">
        <f t="shared" ref="F104:I104" si="7">(F103/(SUM($F$91:$I$91)))*100%</f>
        <v>0.06756756757</v>
      </c>
      <c r="G104" s="108">
        <f t="shared" si="7"/>
        <v>0.4459459459</v>
      </c>
      <c r="H104" s="108">
        <f t="shared" si="7"/>
        <v>0.3040540541</v>
      </c>
      <c r="I104" s="108">
        <f t="shared" si="7"/>
        <v>0.1351351351</v>
      </c>
      <c r="J104" s="106"/>
    </row>
    <row r="105">
      <c r="A105" s="58"/>
      <c r="B105" s="103"/>
      <c r="C105" s="107" t="s">
        <v>205</v>
      </c>
      <c r="D105" s="54"/>
      <c r="E105" s="55"/>
      <c r="F105" s="58"/>
      <c r="G105" s="110" t="s">
        <v>206</v>
      </c>
      <c r="H105" s="55"/>
      <c r="I105" s="111" t="s">
        <v>207</v>
      </c>
      <c r="J105" s="106"/>
    </row>
    <row r="106">
      <c r="G106" s="113">
        <f>SUM(G104:H104)</f>
        <v>0.75</v>
      </c>
      <c r="J106" s="106"/>
    </row>
    <row r="107">
      <c r="A107" s="58"/>
      <c r="B107" s="103"/>
      <c r="C107" s="121" t="s">
        <v>214</v>
      </c>
      <c r="D107" s="54"/>
      <c r="E107" s="55"/>
      <c r="F107" s="105">
        <f>SUM(F4:F12,F15:F23,F26:F34,F37:F44,F48:F55,F58:F65,F81:F82,F88:F89)</f>
        <v>10</v>
      </c>
      <c r="G107" s="105">
        <f t="shared" ref="G107:I107" si="8">SUM(G4:G12,G15:G23,G26:G34,G37:G44,G48:G55,G75:G78,G81:G82,G88:G89)</f>
        <v>63</v>
      </c>
      <c r="H107" s="105">
        <f t="shared" si="8"/>
        <v>45</v>
      </c>
      <c r="I107" s="105">
        <f t="shared" si="8"/>
        <v>20</v>
      </c>
      <c r="J107" s="106">
        <f>SUM(F107:I107)</f>
        <v>138</v>
      </c>
    </row>
    <row r="108">
      <c r="A108" s="58"/>
      <c r="B108" s="103"/>
      <c r="C108" s="107" t="s">
        <v>203</v>
      </c>
      <c r="D108" s="54"/>
      <c r="E108" s="55"/>
      <c r="F108" s="108">
        <f t="shared" ref="F108:I108" si="9">(F107/(SUM($F$91:$I$91)))*100%</f>
        <v>0.06756756757</v>
      </c>
      <c r="G108" s="108">
        <f t="shared" si="9"/>
        <v>0.4256756757</v>
      </c>
      <c r="H108" s="108">
        <f t="shared" si="9"/>
        <v>0.3040540541</v>
      </c>
      <c r="I108" s="108">
        <f t="shared" si="9"/>
        <v>0.1351351351</v>
      </c>
      <c r="J108" s="106"/>
    </row>
    <row r="109">
      <c r="A109" s="58"/>
      <c r="B109" s="103"/>
      <c r="C109" s="107" t="s">
        <v>205</v>
      </c>
      <c r="D109" s="54"/>
      <c r="E109" s="55"/>
      <c r="F109" s="58"/>
      <c r="G109" s="110" t="s">
        <v>206</v>
      </c>
      <c r="H109" s="55"/>
      <c r="I109" s="111" t="s">
        <v>207</v>
      </c>
      <c r="J109" s="106"/>
    </row>
    <row r="110">
      <c r="G110" s="113">
        <f>SUM(G108:H108)</f>
        <v>0.7297297297</v>
      </c>
      <c r="J110" s="106"/>
    </row>
    <row r="111">
      <c r="A111" s="58"/>
      <c r="B111" s="103"/>
      <c r="C111" s="122" t="s">
        <v>215</v>
      </c>
      <c r="D111" s="54"/>
      <c r="E111" s="55"/>
      <c r="F111" s="105">
        <f>SUM(F4:F12,F15:F23,F26:F34,F37:F44,F48:F55,F58:F60,F68:F73,F81:F82,F88:F89)</f>
        <v>10</v>
      </c>
      <c r="G111" s="105">
        <f>SUM(G4:G12,G15:G23,G26:G34,G37:G44,G48:G55,G75:G78,G84:G85,G88:G89)</f>
        <v>65</v>
      </c>
      <c r="H111" s="105">
        <f t="shared" ref="H111:I111" si="10">SUM(H4:H12,H15:H23,H26:H34,H37:H44,H48:H55,H58:H60,H68:H73,H81:H82,H88:H89)</f>
        <v>45</v>
      </c>
      <c r="I111" s="105">
        <f t="shared" si="10"/>
        <v>22</v>
      </c>
      <c r="J111" s="106">
        <f>SUM(F111:I111)</f>
        <v>142</v>
      </c>
    </row>
    <row r="112">
      <c r="A112" s="58"/>
      <c r="B112" s="103"/>
      <c r="C112" s="107" t="s">
        <v>203</v>
      </c>
      <c r="D112" s="54"/>
      <c r="E112" s="55"/>
      <c r="F112" s="108">
        <f t="shared" ref="F112:I112" si="11">(F111/(SUM($F$91:$I$91)))*100%</f>
        <v>0.06756756757</v>
      </c>
      <c r="G112" s="108">
        <f t="shared" si="11"/>
        <v>0.4391891892</v>
      </c>
      <c r="H112" s="108">
        <f t="shared" si="11"/>
        <v>0.3040540541</v>
      </c>
      <c r="I112" s="108">
        <f t="shared" si="11"/>
        <v>0.1486486486</v>
      </c>
      <c r="J112" s="106"/>
    </row>
    <row r="113">
      <c r="A113" s="58"/>
      <c r="B113" s="103"/>
      <c r="C113" s="107" t="s">
        <v>205</v>
      </c>
      <c r="D113" s="54"/>
      <c r="E113" s="55"/>
      <c r="F113" s="58"/>
      <c r="G113" s="110" t="s">
        <v>206</v>
      </c>
      <c r="H113" s="55"/>
      <c r="I113" s="111" t="s">
        <v>207</v>
      </c>
      <c r="J113" s="106"/>
    </row>
    <row r="114">
      <c r="G114" s="113">
        <f>SUM(G112:H112)</f>
        <v>0.7432432432</v>
      </c>
      <c r="J114" s="106"/>
    </row>
    <row r="115" hidden="1">
      <c r="A115" s="58"/>
      <c r="B115" s="103"/>
      <c r="C115" s="123" t="s">
        <v>216</v>
      </c>
      <c r="D115" s="54"/>
      <c r="E115" s="55"/>
      <c r="F115" s="105" t="str">
        <f t="shared" ref="F115:I115" si="12">SUM(F4:F12,F15:F23,F26:F34,F37:F44,F48:F55,F58:F60,F68:F73,#REF!,#REF!,F88:F89)</f>
        <v>#REF!</v>
      </c>
      <c r="G115" s="105" t="str">
        <f t="shared" si="12"/>
        <v>#REF!</v>
      </c>
      <c r="H115" s="105" t="str">
        <f t="shared" si="12"/>
        <v>#REF!</v>
      </c>
      <c r="I115" s="105" t="str">
        <f t="shared" si="12"/>
        <v>#REF!</v>
      </c>
      <c r="J115" s="106" t="str">
        <f>SUM(F115:I115)</f>
        <v>#REF!</v>
      </c>
    </row>
    <row r="116" hidden="1">
      <c r="A116" s="58"/>
      <c r="B116" s="103"/>
      <c r="C116" s="107" t="s">
        <v>203</v>
      </c>
      <c r="D116" s="54"/>
      <c r="E116" s="55"/>
      <c r="F116" s="108" t="str">
        <f t="shared" ref="F116:I116" si="13">(F115/(SUM($F$91:$I$91)))*100%</f>
        <v>#REF!</v>
      </c>
      <c r="G116" s="108" t="str">
        <f t="shared" si="13"/>
        <v>#REF!</v>
      </c>
      <c r="H116" s="108" t="str">
        <f t="shared" si="13"/>
        <v>#REF!</v>
      </c>
      <c r="I116" s="108" t="str">
        <f t="shared" si="13"/>
        <v>#REF!</v>
      </c>
      <c r="J116" s="106"/>
    </row>
    <row r="117" hidden="1">
      <c r="A117" s="58"/>
      <c r="B117" s="103"/>
      <c r="C117" s="107" t="s">
        <v>205</v>
      </c>
      <c r="D117" s="54"/>
      <c r="E117" s="55"/>
      <c r="F117" s="58"/>
      <c r="G117" s="110" t="s">
        <v>206</v>
      </c>
      <c r="H117" s="55"/>
      <c r="I117" s="111" t="s">
        <v>207</v>
      </c>
      <c r="J117" s="106"/>
    </row>
    <row r="118" hidden="1">
      <c r="G118" s="17" t="str">
        <f>SUM(G116:H116)</f>
        <v>#REF!</v>
      </c>
      <c r="J118" s="106"/>
    </row>
    <row r="119" hidden="1">
      <c r="A119" s="58"/>
      <c r="B119" s="103"/>
      <c r="C119" s="124" t="s">
        <v>217</v>
      </c>
      <c r="D119" s="54"/>
      <c r="E119" s="55"/>
      <c r="F119" s="105">
        <f t="shared" ref="F119:I119" si="14">SUM(F4:F12,F15:F23,F26:F34,F37:F44,F48:F55,F58:F60,F75:F79,F81:F82,F88:F89)</f>
        <v>10</v>
      </c>
      <c r="G119" s="105">
        <f t="shared" si="14"/>
        <v>67</v>
      </c>
      <c r="H119" s="105">
        <f t="shared" si="14"/>
        <v>45</v>
      </c>
      <c r="I119" s="105">
        <f t="shared" si="14"/>
        <v>22</v>
      </c>
      <c r="J119" s="106">
        <f>SUM(F119:I119)</f>
        <v>144</v>
      </c>
    </row>
    <row r="120" hidden="1">
      <c r="A120" s="58"/>
      <c r="B120" s="103"/>
      <c r="C120" s="107" t="s">
        <v>203</v>
      </c>
      <c r="D120" s="54"/>
      <c r="E120" s="55"/>
      <c r="F120" s="108">
        <f t="shared" ref="F120:I120" si="15">(F119/(SUM($F$91:$I$91)))*100%</f>
        <v>0.06756756757</v>
      </c>
      <c r="G120" s="108">
        <f t="shared" si="15"/>
        <v>0.4527027027</v>
      </c>
      <c r="H120" s="108">
        <f t="shared" si="15"/>
        <v>0.3040540541</v>
      </c>
      <c r="I120" s="108">
        <f t="shared" si="15"/>
        <v>0.1486486486</v>
      </c>
      <c r="J120" s="106"/>
    </row>
    <row r="121" hidden="1">
      <c r="A121" s="58"/>
      <c r="B121" s="103"/>
      <c r="C121" s="107" t="s">
        <v>205</v>
      </c>
      <c r="D121" s="54"/>
      <c r="E121" s="55"/>
      <c r="F121" s="58"/>
      <c r="G121" s="110" t="s">
        <v>206</v>
      </c>
      <c r="H121" s="55"/>
      <c r="I121" s="111" t="s">
        <v>207</v>
      </c>
      <c r="J121" s="106"/>
    </row>
    <row r="122" hidden="1">
      <c r="G122" s="113">
        <f>SUM(G120:H120)</f>
        <v>0.7567567568</v>
      </c>
      <c r="J122" s="106"/>
    </row>
    <row r="123" hidden="1">
      <c r="A123" s="58"/>
      <c r="B123" s="103"/>
      <c r="C123" s="125" t="s">
        <v>218</v>
      </c>
      <c r="D123" s="54"/>
      <c r="E123" s="55"/>
      <c r="F123" s="105">
        <f t="shared" ref="F123:I123" si="16">SUM(F4:F12,F15:F23,F26:F34,F37:F44,F48:F55,F58:F60,F75:F79,F81:F82,F88:F89)</f>
        <v>10</v>
      </c>
      <c r="G123" s="105">
        <f t="shared" si="16"/>
        <v>67</v>
      </c>
      <c r="H123" s="105">
        <f t="shared" si="16"/>
        <v>45</v>
      </c>
      <c r="I123" s="105">
        <f t="shared" si="16"/>
        <v>22</v>
      </c>
      <c r="J123" s="106">
        <f>SUM(F123:I123)</f>
        <v>144</v>
      </c>
    </row>
    <row r="124" hidden="1">
      <c r="A124" s="58"/>
      <c r="B124" s="103"/>
      <c r="C124" s="107" t="s">
        <v>203</v>
      </c>
      <c r="D124" s="54"/>
      <c r="E124" s="55"/>
      <c r="F124" s="108">
        <f t="shared" ref="F124:I124" si="17">(F123/(SUM($F$91:$I$91)))*100%</f>
        <v>0.06756756757</v>
      </c>
      <c r="G124" s="108">
        <f t="shared" si="17"/>
        <v>0.4527027027</v>
      </c>
      <c r="H124" s="108">
        <f t="shared" si="17"/>
        <v>0.3040540541</v>
      </c>
      <c r="I124" s="108">
        <f t="shared" si="17"/>
        <v>0.1486486486</v>
      </c>
      <c r="J124" s="106"/>
    </row>
    <row r="125" hidden="1">
      <c r="A125" s="58"/>
      <c r="B125" s="103"/>
      <c r="C125" s="107" t="s">
        <v>205</v>
      </c>
      <c r="D125" s="54"/>
      <c r="E125" s="55"/>
      <c r="F125" s="58"/>
      <c r="G125" s="110" t="s">
        <v>206</v>
      </c>
      <c r="H125" s="55"/>
      <c r="I125" s="111" t="s">
        <v>207</v>
      </c>
      <c r="J125" s="106"/>
    </row>
    <row r="126" hidden="1">
      <c r="G126" s="113">
        <f>SUM(G124:H124)</f>
        <v>0.7567567568</v>
      </c>
      <c r="J126" s="106"/>
    </row>
    <row r="127" hidden="1">
      <c r="A127" s="58"/>
      <c r="B127" s="103"/>
      <c r="C127" s="126" t="s">
        <v>219</v>
      </c>
      <c r="D127" s="54"/>
      <c r="E127" s="55"/>
      <c r="F127" s="105" t="str">
        <f t="shared" ref="F127:I127" si="18">SUM(F4:F12,F15:F23,F26:F34,F37:F44,F48:F55,F58:F60,F75:F79,#REF!,F84:F85,F88:F89)</f>
        <v>#REF!</v>
      </c>
      <c r="G127" s="105" t="str">
        <f t="shared" si="18"/>
        <v>#REF!</v>
      </c>
      <c r="H127" s="105" t="str">
        <f t="shared" si="18"/>
        <v>#REF!</v>
      </c>
      <c r="I127" s="105" t="str">
        <f t="shared" si="18"/>
        <v>#REF!</v>
      </c>
      <c r="J127" s="106" t="str">
        <f>SUM(F127:I127)</f>
        <v>#REF!</v>
      </c>
    </row>
    <row r="128" hidden="1">
      <c r="A128" s="58"/>
      <c r="B128" s="103"/>
      <c r="C128" s="107" t="s">
        <v>203</v>
      </c>
      <c r="D128" s="54"/>
      <c r="E128" s="55"/>
      <c r="F128" s="108" t="str">
        <f t="shared" ref="F128:I128" si="19">(F127/(SUM($F$91:$I$91)))*100%</f>
        <v>#REF!</v>
      </c>
      <c r="G128" s="108" t="str">
        <f t="shared" si="19"/>
        <v>#REF!</v>
      </c>
      <c r="H128" s="108" t="str">
        <f t="shared" si="19"/>
        <v>#REF!</v>
      </c>
      <c r="I128" s="108" t="str">
        <f t="shared" si="19"/>
        <v>#REF!</v>
      </c>
      <c r="J128" s="106"/>
    </row>
    <row r="129" hidden="1">
      <c r="A129" s="58"/>
      <c r="B129" s="103"/>
      <c r="C129" s="107" t="s">
        <v>205</v>
      </c>
      <c r="D129" s="54"/>
      <c r="E129" s="55"/>
      <c r="F129" s="58"/>
      <c r="G129" s="110" t="s">
        <v>206</v>
      </c>
      <c r="H129" s="55"/>
      <c r="I129" s="111" t="s">
        <v>207</v>
      </c>
      <c r="J129" s="106"/>
    </row>
    <row r="130" hidden="1">
      <c r="G130" s="17" t="str">
        <f>SUM(G128:H128)</f>
        <v>#REF!</v>
      </c>
    </row>
    <row r="131" hidden="1"/>
  </sheetData>
  <mergeCells count="61">
    <mergeCell ref="G125:H125"/>
    <mergeCell ref="G126:H126"/>
    <mergeCell ref="G129:H129"/>
    <mergeCell ref="G130:H130"/>
    <mergeCell ref="C127:E127"/>
    <mergeCell ref="C128:E128"/>
    <mergeCell ref="C129:E129"/>
    <mergeCell ref="C120:E120"/>
    <mergeCell ref="C121:E121"/>
    <mergeCell ref="G121:H121"/>
    <mergeCell ref="G122:H122"/>
    <mergeCell ref="C123:E123"/>
    <mergeCell ref="C124:E124"/>
    <mergeCell ref="C125:E125"/>
    <mergeCell ref="A1:A2"/>
    <mergeCell ref="B1:B2"/>
    <mergeCell ref="C1:C2"/>
    <mergeCell ref="D1:D2"/>
    <mergeCell ref="E1:E2"/>
    <mergeCell ref="F1:I1"/>
    <mergeCell ref="B61:C61"/>
    <mergeCell ref="G93:H93"/>
    <mergeCell ref="G94:H94"/>
    <mergeCell ref="G97:H97"/>
    <mergeCell ref="G98:H98"/>
    <mergeCell ref="G101:H101"/>
    <mergeCell ref="G102:H102"/>
    <mergeCell ref="B67:C67"/>
    <mergeCell ref="B74:C74"/>
    <mergeCell ref="B81:C81"/>
    <mergeCell ref="B83:C83"/>
    <mergeCell ref="C91:E91"/>
    <mergeCell ref="C92:E92"/>
    <mergeCell ref="C93:E93"/>
    <mergeCell ref="C95:E95"/>
    <mergeCell ref="C96:E96"/>
    <mergeCell ref="C97:E97"/>
    <mergeCell ref="C99:E99"/>
    <mergeCell ref="C100:E100"/>
    <mergeCell ref="C101:E101"/>
    <mergeCell ref="C103:E103"/>
    <mergeCell ref="G109:H109"/>
    <mergeCell ref="G110:H110"/>
    <mergeCell ref="G113:H113"/>
    <mergeCell ref="G114:H114"/>
    <mergeCell ref="G117:H117"/>
    <mergeCell ref="G118:H118"/>
    <mergeCell ref="C104:E104"/>
    <mergeCell ref="C105:E105"/>
    <mergeCell ref="G105:H105"/>
    <mergeCell ref="G106:H106"/>
    <mergeCell ref="C107:E107"/>
    <mergeCell ref="C108:E108"/>
    <mergeCell ref="C109:E109"/>
    <mergeCell ref="C111:E111"/>
    <mergeCell ref="C112:E112"/>
    <mergeCell ref="C113:E113"/>
    <mergeCell ref="C115:E115"/>
    <mergeCell ref="C116:E116"/>
    <mergeCell ref="C117:E117"/>
    <mergeCell ref="C119:E119"/>
  </mergeCell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3.63"/>
    <col customWidth="1" min="2" max="2" width="44.63"/>
    <col customWidth="1" min="3" max="3" width="31.25"/>
    <col customWidth="1" min="4" max="4" width="30.63"/>
    <col customWidth="1" min="5" max="5" width="31.0"/>
    <col customWidth="1" min="6" max="6" width="29.25"/>
    <col customWidth="1" min="7" max="7" width="26.0"/>
    <col customWidth="1" min="8" max="8" width="24.63"/>
    <col customWidth="1" min="9" max="9" width="31.75"/>
    <col customWidth="1" min="10" max="10" width="21.5"/>
    <col customWidth="1" min="11" max="11" width="26.25"/>
    <col customWidth="1" min="12" max="12" width="24.38"/>
    <col customWidth="1" min="13" max="13" width="25.5"/>
  </cols>
  <sheetData>
    <row r="1">
      <c r="A1" s="127" t="s">
        <v>0</v>
      </c>
      <c r="B1" s="127" t="s">
        <v>220</v>
      </c>
      <c r="C1" s="128" t="s">
        <v>221</v>
      </c>
      <c r="D1" s="54"/>
      <c r="E1" s="54"/>
      <c r="F1" s="54"/>
      <c r="G1" s="54"/>
      <c r="H1" s="54"/>
      <c r="I1" s="54"/>
      <c r="J1" s="54"/>
      <c r="K1" s="54"/>
      <c r="L1" s="54"/>
      <c r="M1" s="55"/>
    </row>
    <row r="2">
      <c r="A2" s="129"/>
      <c r="B2" s="129"/>
      <c r="C2" s="128" t="s">
        <v>222</v>
      </c>
      <c r="D2" s="55"/>
      <c r="E2" s="128" t="s">
        <v>223</v>
      </c>
      <c r="F2" s="55"/>
      <c r="G2" s="128" t="s">
        <v>224</v>
      </c>
      <c r="H2" s="54"/>
      <c r="I2" s="55"/>
      <c r="J2" s="128" t="s">
        <v>225</v>
      </c>
      <c r="K2" s="54"/>
      <c r="L2" s="54"/>
      <c r="M2" s="55"/>
    </row>
    <row r="3">
      <c r="A3" s="129"/>
      <c r="B3" s="56"/>
      <c r="C3" s="130" t="s">
        <v>59</v>
      </c>
      <c r="D3" s="130" t="s">
        <v>80</v>
      </c>
      <c r="E3" s="130" t="s">
        <v>99</v>
      </c>
      <c r="F3" s="130" t="s">
        <v>118</v>
      </c>
      <c r="G3" s="130" t="s">
        <v>137</v>
      </c>
      <c r="H3" s="128" t="s">
        <v>154</v>
      </c>
      <c r="I3" s="55"/>
      <c r="J3" s="128" t="s">
        <v>191</v>
      </c>
      <c r="K3" s="55"/>
      <c r="L3" s="128" t="s">
        <v>197</v>
      </c>
      <c r="M3" s="55"/>
    </row>
    <row r="4">
      <c r="A4" s="131"/>
      <c r="B4" s="132"/>
      <c r="C4" s="133"/>
      <c r="D4" s="134"/>
      <c r="E4" s="135"/>
      <c r="F4" s="136"/>
      <c r="G4" s="137"/>
      <c r="H4" s="138" t="s">
        <v>204</v>
      </c>
      <c r="I4" s="138" t="s">
        <v>226</v>
      </c>
      <c r="J4" s="138" t="s">
        <v>204</v>
      </c>
      <c r="K4" s="138" t="s">
        <v>226</v>
      </c>
      <c r="L4" s="139" t="s">
        <v>204</v>
      </c>
      <c r="M4" s="140" t="s">
        <v>226</v>
      </c>
    </row>
    <row r="5">
      <c r="A5" s="141">
        <v>1.0</v>
      </c>
      <c r="B5" s="142" t="inlineStr">
        <is>
          <t>Menginternalisasi ketakwaan kepada Tuhan Yang Maha Esa, menaati hukum, disiplin, dan menunjukkan profesionalisme melalui etika profesi, pembelajaran sepanjang hayat, serta respons terhadap isu sosial dan teknologi.</t>
        </is>
      </c>
      <c r="C5" s="133" t="s">
        <v>227</v>
      </c>
      <c r="D5" s="134" t="s">
        <v>228</v>
      </c>
      <c r="E5" s="143" t="s">
        <v>105</v>
      </c>
      <c r="F5" s="136"/>
      <c r="G5" s="143" t="s">
        <v>139</v>
      </c>
      <c r="H5" s="143" t="s">
        <v>229</v>
      </c>
      <c r="I5" s="137"/>
      <c r="J5" s="144" t="s">
        <v>193</v>
      </c>
      <c r="K5" s="135"/>
      <c r="L5" s="144" t="s">
        <v>199</v>
      </c>
      <c r="M5" s="135"/>
    </row>
    <row r="6" ht="26.25" customHeight="1">
      <c r="A6" s="129"/>
      <c r="B6" s="9"/>
      <c r="C6" s="145" t="s">
        <v>77</v>
      </c>
      <c r="D6" s="146"/>
      <c r="E6" s="147" t="inlineStr">
        <is>
          <t>Bahasa Inggris 2</t>
        </is>
      </c>
      <c r="F6" s="147"/>
      <c r="G6" s="148"/>
      <c r="H6" s="143" t="s">
        <v>158</v>
      </c>
      <c r="I6" s="148"/>
      <c r="J6" s="148"/>
      <c r="K6" s="149"/>
      <c r="L6" s="146" t="inlineStr">
        <is>
          <t>Bahasa Inggris Persiapan Kerja</t>
        </is>
      </c>
      <c r="M6" s="146"/>
    </row>
    <row r="7" ht="26.25" customHeight="1">
      <c r="A7" s="129"/>
      <c r="B7" s="11"/>
      <c r="C7" s="145"/>
      <c r="D7" s="146"/>
      <c r="E7" s="147"/>
      <c r="F7" s="147"/>
      <c r="G7" s="148"/>
      <c r="H7" s="144" t="s">
        <v>172</v>
      </c>
      <c r="I7" s="148"/>
      <c r="J7" s="148"/>
      <c r="K7" s="149"/>
      <c r="L7" s="146"/>
      <c r="M7" s="146"/>
    </row>
    <row r="8">
      <c r="A8" s="150">
        <v>2.0</v>
      </c>
      <c r="B8" s="151" t="s">
        <v>38</v>
      </c>
      <c r="C8" s="152" t="s">
        <v>230</v>
      </c>
      <c r="D8" s="143" t="s">
        <v>86</v>
      </c>
      <c r="E8" s="143" t="s">
        <v>103</v>
      </c>
      <c r="F8" s="143" t="s">
        <v>231</v>
      </c>
      <c r="G8" s="143" t="s">
        <v>143</v>
      </c>
      <c r="H8" s="144" t="s">
        <v>160</v>
      </c>
      <c r="I8" s="153" t="inlineStr">
        <is>
          <t>Proyek Inovasi</t>
        </is>
      </c>
      <c r="J8" s="154"/>
      <c r="K8" s="153"/>
      <c r="L8" s="144" t="s">
        <v>199</v>
      </c>
      <c r="M8" s="146"/>
    </row>
    <row r="9">
      <c r="A9" s="129"/>
      <c r="B9" s="9"/>
      <c r="C9" s="152"/>
      <c r="D9" s="144" t="s">
        <v>88</v>
      </c>
      <c r="E9" s="143" t="s">
        <v>232</v>
      </c>
      <c r="F9" s="143" t="s">
        <v>132</v>
      </c>
      <c r="G9" s="153"/>
      <c r="H9" s="144" t="s">
        <v>163</v>
      </c>
      <c r="I9" s="153" t="inlineStr">
        <is>
          <t>Rekayasa Sistem</t>
        </is>
      </c>
      <c r="J9" s="154"/>
      <c r="K9" s="153"/>
      <c r="L9" s="146"/>
      <c r="M9" s="146"/>
    </row>
    <row r="10">
      <c r="A10" s="129"/>
      <c r="B10" s="9"/>
      <c r="C10" s="152"/>
      <c r="D10" s="144" t="s">
        <v>90</v>
      </c>
      <c r="E10" s="144" t="s">
        <v>109</v>
      </c>
      <c r="F10" s="153" t="inlineStr">
        <is>
          <t>Proyek Sistem Informasi</t>
        </is>
      </c>
      <c r="G10" s="153"/>
      <c r="H10" s="143" t="s">
        <v>166</v>
      </c>
      <c r="I10" s="153" t="inlineStr">
        <is>
          <t>Teknologi Terapan</t>
        </is>
      </c>
      <c r="J10" s="154"/>
      <c r="K10" s="153"/>
      <c r="L10" s="146"/>
      <c r="M10" s="146"/>
    </row>
    <row r="11">
      <c r="A11" s="129"/>
      <c r="B11" s="9"/>
      <c r="C11" s="152"/>
      <c r="D11" s="144" t="s">
        <v>92</v>
      </c>
      <c r="E11" s="143" t="s">
        <v>113</v>
      </c>
      <c r="F11" s="153"/>
      <c r="G11" s="153"/>
      <c r="H11" s="147"/>
      <c r="I11" s="153" t="inlineStr">
        <is>
          <t>Workshop Teknologi Terapan</t>
        </is>
      </c>
      <c r="J11" s="154"/>
      <c r="K11" s="153"/>
      <c r="L11" s="146"/>
      <c r="M11" s="146"/>
    </row>
    <row r="12">
      <c r="A12" s="129"/>
      <c r="B12" s="9"/>
      <c r="C12" s="152"/>
      <c r="D12" s="144" t="s">
        <v>94</v>
      </c>
      <c r="E12" s="143" t="s">
        <v>115</v>
      </c>
      <c r="F12" s="155"/>
      <c r="G12" s="153"/>
      <c r="H12" s="147"/>
      <c r="I12" s="153"/>
      <c r="J12" s="154"/>
      <c r="K12" s="155"/>
      <c r="L12" s="156"/>
      <c r="M12" s="146" t="s">
        <v>233</v>
      </c>
    </row>
    <row r="13" ht="27.75" customHeight="1">
      <c r="A13" s="129"/>
      <c r="B13" s="11"/>
      <c r="C13" s="157"/>
      <c r="D13" s="144" t="s">
        <v>234</v>
      </c>
      <c r="E13" s="133"/>
      <c r="F13" s="156"/>
      <c r="G13" s="153"/>
      <c r="H13" s="149"/>
      <c r="I13" s="148"/>
      <c r="J13" s="148"/>
      <c r="K13" s="158"/>
      <c r="L13" s="156"/>
      <c r="M13" s="146" t="s">
        <v>235</v>
      </c>
    </row>
    <row r="14">
      <c r="A14" s="159">
        <v>3.0</v>
      </c>
      <c r="B14" s="160" t="s">
        <v>236</v>
      </c>
      <c r="C14" s="157" t="s">
        <v>237</v>
      </c>
      <c r="D14" s="133"/>
      <c r="E14" s="144" t="s">
        <v>101</v>
      </c>
      <c r="F14" s="143" t="s">
        <v>124</v>
      </c>
      <c r="G14" s="143" t="s">
        <v>139</v>
      </c>
      <c r="H14" s="143" t="s">
        <v>229</v>
      </c>
      <c r="I14" s="133"/>
      <c r="J14" s="144" t="s">
        <v>193</v>
      </c>
      <c r="K14" s="156" t="s">
        <v>238</v>
      </c>
      <c r="L14" s="144" t="s">
        <v>199</v>
      </c>
      <c r="M14" s="146"/>
    </row>
    <row r="15">
      <c r="A15" s="129"/>
      <c r="B15" s="9"/>
      <c r="C15" s="157"/>
      <c r="D15" s="161"/>
      <c r="E15" s="143" t="s">
        <v>117</v>
      </c>
      <c r="F15" s="144" t="s">
        <v>136</v>
      </c>
      <c r="G15" s="148" t="inlineStr">
        <is>
          <t>Metodologi Penelitian</t>
        </is>
      </c>
      <c r="H15" s="143" t="s">
        <v>158</v>
      </c>
      <c r="I15" s="162" t="s">
        <v>239</v>
      </c>
      <c r="J15" s="162"/>
      <c r="K15" s="158"/>
      <c r="L15" s="143" t="s">
        <v>201</v>
      </c>
      <c r="M15" s="146"/>
    </row>
    <row r="16">
      <c r="A16" s="129"/>
      <c r="B16" s="9"/>
      <c r="C16" s="157"/>
      <c r="D16" s="163"/>
      <c r="E16" s="147"/>
      <c r="F16" s="147"/>
      <c r="G16" s="148"/>
      <c r="H16" s="144" t="s">
        <v>163</v>
      </c>
      <c r="I16" s="162" t="s">
        <v>240</v>
      </c>
      <c r="J16" s="164"/>
      <c r="K16" s="158"/>
      <c r="L16" s="146"/>
      <c r="M16" s="146"/>
    </row>
    <row r="17">
      <c r="A17" s="56"/>
      <c r="B17" s="11"/>
      <c r="C17" s="157"/>
      <c r="D17" s="163"/>
      <c r="E17" s="147"/>
      <c r="F17" s="147"/>
      <c r="G17" s="148"/>
      <c r="H17" s="147"/>
      <c r="I17" s="154" t="s">
        <v>241</v>
      </c>
      <c r="J17" s="148"/>
      <c r="K17" s="147"/>
      <c r="L17" s="146"/>
      <c r="M17" s="146"/>
    </row>
    <row r="18">
      <c r="A18" s="165">
        <v>4.0</v>
      </c>
      <c r="B18" s="166" t="s">
        <v>242</v>
      </c>
      <c r="C18" s="167" t="s">
        <v>67</v>
      </c>
      <c r="D18" s="163"/>
      <c r="E18" s="144" t="s">
        <v>101</v>
      </c>
      <c r="F18" s="158" t="inlineStr">
        <is>
          <t>Bahasa Indonesia</t>
        </is>
      </c>
      <c r="G18" s="143" t="s">
        <v>141</v>
      </c>
      <c r="H18" s="147"/>
      <c r="I18" s="148"/>
      <c r="J18" s="148"/>
      <c r="K18" s="147"/>
      <c r="L18" s="144" t="s">
        <v>199</v>
      </c>
      <c r="M18" s="146"/>
    </row>
    <row r="19" ht="35.25" customHeight="1">
      <c r="A19" s="129"/>
      <c r="B19" s="11"/>
      <c r="C19" s="162"/>
      <c r="D19" s="162"/>
      <c r="E19" s="133"/>
      <c r="F19" s="158"/>
      <c r="G19" s="148"/>
      <c r="H19" s="149"/>
      <c r="I19" s="148"/>
      <c r="J19" s="148"/>
      <c r="K19" s="149"/>
      <c r="L19" s="146"/>
      <c r="M19" s="146"/>
    </row>
    <row r="20">
      <c r="A20" s="168">
        <v>5.0</v>
      </c>
      <c r="B20" s="169" t="s">
        <v>41</v>
      </c>
      <c r="C20" s="167" t="s">
        <v>65</v>
      </c>
      <c r="D20" s="144" t="s">
        <v>88</v>
      </c>
      <c r="E20" s="133"/>
      <c r="F20" s="143" t="s">
        <v>128</v>
      </c>
      <c r="G20" s="143" t="s">
        <v>149</v>
      </c>
      <c r="H20" s="143" t="s">
        <v>166</v>
      </c>
      <c r="I20" s="148" t="inlineStr">
        <is>
          <t>Teknologi Terapan</t>
        </is>
      </c>
      <c r="J20" s="148"/>
      <c r="K20" s="149"/>
      <c r="L20" s="146"/>
      <c r="M20" s="146"/>
    </row>
    <row r="21">
      <c r="A21" s="129"/>
      <c r="B21" s="9"/>
      <c r="C21" s="162"/>
      <c r="D21" s="162"/>
      <c r="E21" s="162"/>
      <c r="F21" s="143" t="s">
        <v>130</v>
      </c>
      <c r="G21" s="143" t="s">
        <v>153</v>
      </c>
      <c r="H21" s="143" t="s">
        <v>168</v>
      </c>
      <c r="I21" s="148"/>
      <c r="J21" s="148"/>
      <c r="K21" s="149"/>
      <c r="L21" s="146"/>
      <c r="M21" s="146"/>
    </row>
    <row r="22">
      <c r="A22" s="129"/>
      <c r="B22" s="9"/>
      <c r="C22" s="161"/>
      <c r="D22" s="161"/>
      <c r="E22" s="161"/>
      <c r="F22" s="161"/>
      <c r="G22" s="161"/>
      <c r="H22" s="144" t="s">
        <v>170</v>
      </c>
      <c r="I22" s="148"/>
      <c r="J22" s="148"/>
      <c r="K22" s="149"/>
      <c r="L22" s="146"/>
      <c r="M22" s="146"/>
    </row>
    <row r="23">
      <c r="A23" s="129"/>
      <c r="B23" s="11"/>
      <c r="C23" s="161"/>
      <c r="D23" s="161"/>
      <c r="E23" s="161"/>
      <c r="F23" s="161"/>
      <c r="G23" s="161"/>
      <c r="H23" s="144" t="s">
        <v>172</v>
      </c>
      <c r="I23" s="133"/>
      <c r="J23" s="155"/>
      <c r="K23" s="156"/>
      <c r="L23" s="146"/>
      <c r="M23" s="146"/>
    </row>
    <row r="24">
      <c r="A24" s="170">
        <v>6.0</v>
      </c>
      <c r="B24" s="171" t="s">
        <v>243</v>
      </c>
      <c r="C24" s="156"/>
      <c r="D24" s="143" t="s">
        <v>86</v>
      </c>
      <c r="E24" s="143" t="s">
        <v>232</v>
      </c>
      <c r="F24" s="143" t="s">
        <v>231</v>
      </c>
      <c r="G24" s="143" t="s">
        <v>143</v>
      </c>
      <c r="H24" s="144" t="s">
        <v>160</v>
      </c>
      <c r="I24" s="133" t="s">
        <v>244</v>
      </c>
      <c r="J24" s="144" t="s">
        <v>193</v>
      </c>
      <c r="K24" s="156" t="s">
        <v>245</v>
      </c>
      <c r="L24" s="144" t="s">
        <v>199</v>
      </c>
      <c r="M24" s="146"/>
    </row>
    <row r="25">
      <c r="A25" s="129"/>
      <c r="B25" s="9"/>
      <c r="C25" s="156"/>
      <c r="D25" s="144"/>
      <c r="E25" s="143" t="s">
        <v>113</v>
      </c>
      <c r="F25" s="143" t="s">
        <v>132</v>
      </c>
      <c r="G25" s="143" t="s">
        <v>149</v>
      </c>
      <c r="H25" s="144" t="s">
        <v>163</v>
      </c>
      <c r="I25" s="133" t="inlineStr">
        <is>
          <t>Proyek Inovasi</t>
        </is>
      </c>
      <c r="J25" s="133"/>
      <c r="K25" s="156"/>
      <c r="L25" s="146"/>
      <c r="M25" s="146"/>
    </row>
    <row r="26">
      <c r="A26" s="56"/>
      <c r="B26" s="11"/>
      <c r="C26" s="156"/>
      <c r="D26" s="144" t="s">
        <v>90</v>
      </c>
      <c r="E26" s="143" t="s">
        <v>115</v>
      </c>
      <c r="F26" s="144" t="s">
        <v>136</v>
      </c>
      <c r="G26" s="133"/>
      <c r="H26" s="133"/>
      <c r="I26" s="133" t="inlineStr">
        <is>
          <t>Rekayasa Sistem</t>
        </is>
      </c>
      <c r="J26" s="133"/>
      <c r="K26" s="156"/>
      <c r="L26" s="146"/>
      <c r="M26" s="146"/>
    </row>
    <row r="27" ht="21.75" customHeight="1">
      <c r="A27" s="170">
        <v>7.0</v>
      </c>
      <c r="B27" s="172" t="s">
        <v>246</v>
      </c>
      <c r="C27" s="167" t="s">
        <v>73</v>
      </c>
      <c r="D27" s="144" t="s">
        <v>94</v>
      </c>
      <c r="E27" s="143" t="s">
        <v>232</v>
      </c>
      <c r="F27" s="143" t="s">
        <v>120</v>
      </c>
      <c r="G27" s="143" t="s">
        <v>145</v>
      </c>
      <c r="H27" s="143" t="s">
        <v>168</v>
      </c>
      <c r="I27" s="133" t="s">
        <v>247</v>
      </c>
      <c r="J27" s="133"/>
      <c r="K27" s="156" t="s">
        <v>248</v>
      </c>
      <c r="L27" s="146"/>
      <c r="M27" s="146"/>
    </row>
    <row r="28">
      <c r="A28" s="129"/>
      <c r="B28" s="9"/>
      <c r="C28" s="173" t="s">
        <v>75</v>
      </c>
      <c r="D28" s="144" t="s">
        <v>249</v>
      </c>
      <c r="E28" s="144" t="s">
        <v>109</v>
      </c>
      <c r="F28" s="143" t="s">
        <v>126</v>
      </c>
      <c r="G28" s="143" t="s">
        <v>147</v>
      </c>
      <c r="H28" s="133"/>
      <c r="I28" s="162" t="s">
        <v>250</v>
      </c>
      <c r="J28" s="156"/>
      <c r="K28" s="162" t="s">
        <v>251</v>
      </c>
      <c r="L28" s="146"/>
      <c r="M28" s="146"/>
    </row>
    <row r="29">
      <c r="A29" s="129"/>
      <c r="B29" s="9"/>
      <c r="C29" s="158"/>
      <c r="D29" s="174"/>
      <c r="E29" s="143" t="s">
        <v>113</v>
      </c>
      <c r="F29" s="143" t="s">
        <v>134</v>
      </c>
      <c r="G29" s="143" t="s">
        <v>252</v>
      </c>
      <c r="H29" s="133"/>
      <c r="I29" s="162" t="s">
        <v>253</v>
      </c>
      <c r="J29" s="156"/>
      <c r="K29" s="155"/>
      <c r="L29" s="146"/>
      <c r="M29" s="146"/>
    </row>
    <row r="30">
      <c r="A30" s="129"/>
      <c r="B30" s="9"/>
      <c r="C30" s="158"/>
      <c r="D30" s="175"/>
      <c r="E30" s="143" t="s">
        <v>115</v>
      </c>
      <c r="F30" s="133"/>
      <c r="G30" s="133"/>
      <c r="H30" s="133"/>
      <c r="I30" s="156" t="s">
        <v>254</v>
      </c>
      <c r="J30" s="156"/>
      <c r="K30" s="155"/>
      <c r="L30" s="146"/>
      <c r="M30" s="146"/>
    </row>
    <row r="31">
      <c r="A31" s="129"/>
      <c r="B31" s="11"/>
      <c r="C31" s="158"/>
      <c r="D31" s="175"/>
      <c r="E31" s="133" t="inlineStr">
        <is>
          <t>Metode Numerik</t>
        </is>
      </c>
      <c r="F31" s="133"/>
      <c r="G31" s="162" t="s">
        <v>255</v>
      </c>
      <c r="H31" s="133"/>
      <c r="I31" s="155"/>
      <c r="J31" s="156"/>
      <c r="K31" s="155"/>
      <c r="L31" s="146"/>
      <c r="M31" s="146"/>
    </row>
    <row r="32" hidden="1">
      <c r="A32" s="176"/>
      <c r="B32" s="177" t="str">
        <f>#REF!</f>
        <v>#REF!</v>
      </c>
      <c r="C32" s="158"/>
      <c r="D32" s="156"/>
      <c r="E32" s="163"/>
      <c r="F32" s="133" t="s">
        <v>256</v>
      </c>
      <c r="G32" s="133" t="s">
        <v>257</v>
      </c>
      <c r="H32" s="155"/>
      <c r="I32" s="155"/>
      <c r="J32" s="156" t="s">
        <v>193</v>
      </c>
      <c r="K32" s="155"/>
      <c r="L32" s="155"/>
      <c r="M32" s="146"/>
    </row>
    <row r="33" hidden="1">
      <c r="A33" s="178"/>
      <c r="B33" s="11"/>
      <c r="C33" s="158"/>
      <c r="D33" s="179"/>
      <c r="E33" s="133"/>
      <c r="F33" s="133"/>
      <c r="G33" s="162" t="s">
        <v>124</v>
      </c>
      <c r="H33" s="133" t="s">
        <v>258</v>
      </c>
      <c r="I33" s="155"/>
      <c r="J33" s="162" t="s">
        <v>259</v>
      </c>
      <c r="K33" s="158"/>
      <c r="L33" s="156" t="s">
        <v>260</v>
      </c>
      <c r="M33" s="146"/>
    </row>
    <row r="34">
      <c r="A34" s="170">
        <v>8.0</v>
      </c>
      <c r="B34" s="171" t="s">
        <v>44</v>
      </c>
      <c r="C34" s="158"/>
      <c r="D34" s="143" t="s">
        <v>86</v>
      </c>
      <c r="E34" s="144" t="s">
        <v>101</v>
      </c>
      <c r="F34" s="144" t="s">
        <v>136</v>
      </c>
      <c r="G34" s="143" t="s">
        <v>149</v>
      </c>
      <c r="H34" s="144" t="s">
        <v>163</v>
      </c>
      <c r="I34" s="155" t="inlineStr">
        <is>
          <t>Proyek Inovasi</t>
        </is>
      </c>
      <c r="J34" s="144" t="s">
        <v>193</v>
      </c>
      <c r="K34" s="158"/>
      <c r="L34" s="144" t="s">
        <v>199</v>
      </c>
      <c r="M34" s="146"/>
    </row>
    <row r="35">
      <c r="A35" s="129"/>
      <c r="B35" s="9"/>
      <c r="C35" s="158"/>
      <c r="D35" s="144" t="s">
        <v>90</v>
      </c>
      <c r="E35" s="133" t="inlineStr">
        <is>
          <t>Sistem Informasi Manajemen</t>
        </is>
      </c>
      <c r="F35" s="162"/>
      <c r="G35" s="133"/>
      <c r="H35" s="162"/>
      <c r="I35" s="156" t="inlineStr">
        <is>
          <t>Teknologi Terapan</t>
        </is>
      </c>
      <c r="J35" s="156"/>
      <c r="K35" s="156"/>
      <c r="L35" s="146"/>
      <c r="M35" s="146"/>
    </row>
    <row r="36">
      <c r="A36" s="56"/>
      <c r="B36" s="11"/>
      <c r="C36" s="158"/>
      <c r="D36" s="158"/>
      <c r="E36" s="163"/>
      <c r="F36" s="133"/>
      <c r="G36" s="133"/>
      <c r="H36" s="162"/>
      <c r="I36" s="156" t="inlineStr">
        <is>
          <t>Workshop Teknologi Terapan</t>
        </is>
      </c>
      <c r="J36" s="156"/>
      <c r="K36" s="156"/>
      <c r="L36" s="146"/>
      <c r="M36" s="146"/>
    </row>
    <row r="37">
      <c r="A37" s="170">
        <v>9.0</v>
      </c>
      <c r="B37" s="172" t="s">
        <v>261</v>
      </c>
      <c r="C37" s="143" t="s">
        <v>65</v>
      </c>
      <c r="D37" s="143" t="s">
        <v>84</v>
      </c>
      <c r="E37" s="143" t="s">
        <v>111</v>
      </c>
      <c r="F37" s="143" t="s">
        <v>128</v>
      </c>
      <c r="G37" s="133" t="s">
        <v>262</v>
      </c>
      <c r="H37" s="143" t="s">
        <v>168</v>
      </c>
      <c r="I37" s="156" t="s">
        <v>263</v>
      </c>
      <c r="J37" s="156"/>
      <c r="K37" s="156" t="s">
        <v>264</v>
      </c>
      <c r="L37" s="146"/>
      <c r="M37" s="146"/>
    </row>
    <row r="38">
      <c r="A38" s="129"/>
      <c r="B38" s="9"/>
      <c r="C38" s="143" t="s">
        <v>69</v>
      </c>
      <c r="D38" s="144" t="s">
        <v>88</v>
      </c>
      <c r="E38" s="164" t="inlineStr">
        <is>
          <t>Pemrograman Berbasis Objek</t>
        </is>
      </c>
      <c r="F38" s="143" t="s">
        <v>130</v>
      </c>
      <c r="G38" s="133"/>
      <c r="H38" s="144" t="s">
        <v>170</v>
      </c>
      <c r="I38" s="156" t="s">
        <v>265</v>
      </c>
      <c r="J38" s="164"/>
      <c r="K38" s="162"/>
      <c r="L38" s="148"/>
      <c r="M38" s="148"/>
    </row>
    <row r="39">
      <c r="A39" s="129"/>
      <c r="B39" s="9"/>
      <c r="C39" s="143" t="s">
        <v>73</v>
      </c>
      <c r="D39" s="144" t="s">
        <v>234</v>
      </c>
      <c r="E39" s="164" t="inlineStr">
        <is>
          <t>Praktikum Pemrograman Berbasis Objek</t>
        </is>
      </c>
      <c r="F39" s="143" t="s">
        <v>134</v>
      </c>
      <c r="G39" s="133"/>
      <c r="H39" s="164" t="inlineStr">
        <is>
          <t>Internet of Things</t>
        </is>
      </c>
      <c r="I39" s="156"/>
      <c r="J39" s="164"/>
      <c r="K39" s="162"/>
      <c r="L39" s="148"/>
      <c r="M39" s="148"/>
    </row>
    <row r="40">
      <c r="A40" s="129"/>
      <c r="B40" s="9"/>
      <c r="C40" s="144" t="s">
        <v>75</v>
      </c>
      <c r="D40" s="144" t="s">
        <v>249</v>
      </c>
      <c r="E40" s="164"/>
      <c r="F40" s="133" t="inlineStr">
        <is>
          <t>Kecerdasan Artifisial</t>
        </is>
      </c>
      <c r="G40" s="133"/>
      <c r="H40" s="164"/>
      <c r="I40" s="156"/>
      <c r="J40" s="164"/>
      <c r="K40" s="162"/>
      <c r="L40" s="148"/>
      <c r="M40" s="148"/>
    </row>
    <row r="41">
      <c r="A41" s="56"/>
      <c r="B41" s="11"/>
      <c r="C41" s="144" t="s">
        <v>79</v>
      </c>
      <c r="D41" s="164"/>
      <c r="E41" s="164"/>
      <c r="F41" s="133" t="s">
        <v>266</v>
      </c>
      <c r="G41" s="133" t="s">
        <v>267</v>
      </c>
      <c r="H41" s="164"/>
      <c r="I41" s="156" t="s">
        <v>268</v>
      </c>
      <c r="J41" s="164"/>
      <c r="K41" s="162" t="s">
        <v>269</v>
      </c>
      <c r="L41" s="164"/>
      <c r="M41" s="164"/>
    </row>
    <row r="42">
      <c r="A42" s="180">
        <v>10.0</v>
      </c>
      <c r="B42" s="181" t="s">
        <v>46</v>
      </c>
      <c r="C42" s="161"/>
      <c r="D42" s="144" t="s">
        <v>92</v>
      </c>
      <c r="E42" s="143" t="s">
        <v>103</v>
      </c>
      <c r="F42" s="143" t="s">
        <v>120</v>
      </c>
      <c r="G42" s="143" t="s">
        <v>141</v>
      </c>
      <c r="H42" s="144" t="s">
        <v>170</v>
      </c>
      <c r="I42" s="161" t="inlineStr">
        <is>
          <t>Rekayasa Sistem</t>
        </is>
      </c>
      <c r="J42" s="161"/>
      <c r="K42" s="161"/>
      <c r="L42" s="144" t="s">
        <v>199</v>
      </c>
      <c r="M42" s="161"/>
    </row>
    <row r="43">
      <c r="A43" s="129"/>
      <c r="B43" s="129"/>
      <c r="C43" s="161"/>
      <c r="D43" s="144" t="s">
        <v>94</v>
      </c>
      <c r="E43" s="144" t="s">
        <v>109</v>
      </c>
      <c r="F43" s="143" t="s">
        <v>126</v>
      </c>
      <c r="G43" s="143" t="s">
        <v>143</v>
      </c>
      <c r="H43" s="161" t="inlineStr">
        <is>
          <t>Proyek Teknologi Terintegrasi</t>
        </is>
      </c>
      <c r="I43" s="161"/>
      <c r="J43" s="161"/>
      <c r="K43" s="161"/>
      <c r="L43" s="161"/>
      <c r="M43" s="161"/>
    </row>
    <row r="44">
      <c r="A44" s="129"/>
      <c r="B44" s="129"/>
      <c r="C44" s="161"/>
      <c r="D44" s="161"/>
      <c r="E44" s="143" t="s">
        <v>111</v>
      </c>
      <c r="F44" s="143" t="s">
        <v>132</v>
      </c>
      <c r="G44" s="143" t="s">
        <v>145</v>
      </c>
      <c r="H44" s="161"/>
      <c r="I44" s="161"/>
      <c r="J44" s="161"/>
      <c r="K44" s="161"/>
      <c r="L44" s="161"/>
      <c r="M44" s="161"/>
    </row>
    <row r="45">
      <c r="A45" s="129"/>
      <c r="B45" s="129"/>
      <c r="C45" s="161"/>
      <c r="D45" s="161"/>
      <c r="E45" s="161"/>
      <c r="F45" s="144" t="s">
        <v>136</v>
      </c>
      <c r="G45" s="143" t="s">
        <v>147</v>
      </c>
      <c r="H45" s="161"/>
      <c r="I45" s="161"/>
      <c r="J45" s="161"/>
      <c r="K45" s="161"/>
      <c r="L45" s="161"/>
      <c r="M45" s="161"/>
    </row>
    <row r="46">
      <c r="A46" s="129"/>
      <c r="B46" s="129"/>
      <c r="C46" s="161"/>
      <c r="D46" s="161"/>
      <c r="E46" s="161"/>
      <c r="F46" s="161" t="inlineStr">
        <is>
          <t>Analisis dan Desain Berorientasi Objek</t>
        </is>
      </c>
      <c r="G46" s="143" t="s">
        <v>252</v>
      </c>
      <c r="H46" s="161"/>
      <c r="I46" s="161"/>
      <c r="J46" s="161"/>
      <c r="K46" s="161"/>
      <c r="L46" s="161"/>
      <c r="M46" s="161"/>
    </row>
    <row r="47">
      <c r="A47" s="56"/>
      <c r="B47" s="56"/>
      <c r="C47" s="161"/>
      <c r="D47" s="161"/>
      <c r="E47" s="161"/>
      <c r="F47" s="161" t="inlineStr">
        <is>
          <t>Jaringan Komputer</t>
        </is>
      </c>
      <c r="G47" s="143" t="s">
        <v>153</v>
      </c>
      <c r="H47" s="161"/>
      <c r="I47" s="161"/>
      <c r="J47" s="161"/>
      <c r="K47" s="161"/>
      <c r="L47" s="161"/>
      <c r="M47" s="161"/>
    </row>
    <row r="48">
      <c r="A48" s="17"/>
      <c r="B48" s="56"/>
      <c r="C48" s="17"/>
      <c r="D48" s="17"/>
      <c r="E48" s="17"/>
      <c r="F48" s="17" t="inlineStr">
        <is>
          <t>Statistik Komputasi</t>
        </is>
      </c>
      <c r="G48" s="17"/>
      <c r="H48" s="17"/>
      <c r="I48" s="17"/>
      <c r="J48" s="17"/>
      <c r="K48" s="17"/>
      <c r="L48" s="17"/>
      <c r="M48" s="17"/>
    </row>
    <row r="49">
      <c r="A49" s="17"/>
      <c r="C49" s="17"/>
      <c r="D49" s="17"/>
      <c r="E49" s="17"/>
      <c r="F49" s="17"/>
      <c r="G49" s="17"/>
      <c r="H49" s="17"/>
      <c r="I49" s="17"/>
      <c r="J49" s="17"/>
      <c r="K49" s="17"/>
      <c r="L49" s="17"/>
      <c r="M49" s="17"/>
    </row>
    <row r="50">
      <c r="A50" s="17"/>
      <c r="C50" s="17"/>
      <c r="D50" s="17"/>
      <c r="E50" s="17"/>
      <c r="F50" s="17"/>
      <c r="G50" s="17"/>
      <c r="H50" s="17"/>
      <c r="I50" s="17"/>
      <c r="J50" s="17"/>
      <c r="K50" s="17"/>
      <c r="L50" s="17"/>
      <c r="M50" s="17"/>
    </row>
    <row r="51">
      <c r="A51" s="17"/>
      <c r="C51" s="17"/>
      <c r="D51" s="17"/>
      <c r="E51" s="17"/>
      <c r="F51" s="17"/>
      <c r="G51" s="17"/>
      <c r="H51" s="17"/>
      <c r="I51" s="17"/>
      <c r="J51" s="17"/>
      <c r="K51" s="17"/>
      <c r="L51" s="17"/>
      <c r="M51" s="17"/>
    </row>
    <row r="52">
      <c r="A52" s="17"/>
      <c r="C52" s="17"/>
      <c r="D52" s="17"/>
      <c r="E52" s="17"/>
      <c r="F52" s="17"/>
      <c r="G52" s="17"/>
      <c r="H52" s="17"/>
      <c r="I52" s="17"/>
      <c r="J52" s="17"/>
      <c r="K52" s="17"/>
      <c r="L52" s="17"/>
      <c r="M52" s="17"/>
    </row>
    <row r="53">
      <c r="A53" s="17"/>
      <c r="C53" s="17"/>
      <c r="D53" s="17"/>
      <c r="E53" s="17"/>
      <c r="F53" s="17"/>
      <c r="G53" s="17"/>
      <c r="H53" s="17"/>
      <c r="I53" s="17"/>
      <c r="J53" s="17"/>
      <c r="K53" s="17"/>
      <c r="L53" s="17"/>
      <c r="M53" s="17"/>
    </row>
    <row r="54">
      <c r="A54" s="17"/>
      <c r="C54" s="17"/>
      <c r="D54" s="17"/>
      <c r="E54" s="17"/>
      <c r="F54" s="17"/>
      <c r="G54" s="17"/>
      <c r="H54" s="17"/>
      <c r="I54" s="17"/>
      <c r="J54" s="17"/>
      <c r="K54" s="17"/>
      <c r="L54" s="17"/>
      <c r="M54" s="17"/>
    </row>
    <row r="55">
      <c r="A55" s="17"/>
      <c r="C55" s="17"/>
      <c r="D55" s="17"/>
      <c r="E55" s="17"/>
      <c r="F55" s="17"/>
      <c r="G55" s="17"/>
      <c r="H55" s="17"/>
      <c r="I55" s="17"/>
      <c r="J55" s="17"/>
      <c r="K55" s="17"/>
      <c r="L55" s="17"/>
      <c r="M55" s="17"/>
    </row>
    <row r="56">
      <c r="A56" s="17"/>
      <c r="C56" s="17"/>
      <c r="D56" s="17"/>
      <c r="E56" s="17"/>
      <c r="F56" s="17"/>
      <c r="G56" s="17"/>
      <c r="H56" s="17"/>
      <c r="I56" s="17"/>
      <c r="J56" s="17"/>
      <c r="K56" s="17"/>
      <c r="L56" s="17"/>
      <c r="M56" s="17"/>
    </row>
    <row r="57">
      <c r="A57" s="17"/>
      <c r="C57" s="17"/>
      <c r="D57" s="17"/>
      <c r="E57" s="17"/>
      <c r="F57" s="17"/>
      <c r="G57" s="17"/>
      <c r="H57" s="17"/>
      <c r="I57" s="17"/>
      <c r="J57" s="17"/>
      <c r="K57" s="17"/>
      <c r="L57" s="17"/>
      <c r="M57" s="17"/>
    </row>
    <row r="58">
      <c r="A58" s="17"/>
      <c r="C58" s="17"/>
      <c r="D58" s="17"/>
      <c r="E58" s="17"/>
      <c r="F58" s="17"/>
      <c r="G58" s="17"/>
      <c r="H58" s="17"/>
      <c r="I58" s="17"/>
      <c r="J58" s="17"/>
      <c r="K58" s="17"/>
      <c r="L58" s="17"/>
      <c r="M58" s="17"/>
    </row>
    <row r="59">
      <c r="A59" s="17"/>
      <c r="C59" s="17"/>
      <c r="D59" s="17"/>
      <c r="E59" s="17"/>
      <c r="F59" s="17"/>
      <c r="G59" s="17"/>
      <c r="H59" s="17"/>
      <c r="I59" s="17"/>
      <c r="J59" s="17"/>
      <c r="K59" s="17"/>
      <c r="L59" s="17"/>
      <c r="M59" s="17"/>
    </row>
    <row r="60">
      <c r="A60" s="17"/>
      <c r="C60" s="17"/>
      <c r="D60" s="17"/>
      <c r="E60" s="17"/>
      <c r="F60" s="17"/>
      <c r="G60" s="17"/>
      <c r="H60" s="17"/>
      <c r="I60" s="17"/>
      <c r="J60" s="17"/>
      <c r="K60" s="17"/>
      <c r="L60" s="17"/>
      <c r="M60" s="17"/>
    </row>
    <row r="61">
      <c r="A61" s="17"/>
      <c r="C61" s="17"/>
      <c r="D61" s="17"/>
      <c r="E61" s="17"/>
      <c r="F61" s="17"/>
      <c r="G61" s="17"/>
      <c r="H61" s="17"/>
      <c r="I61" s="17"/>
      <c r="J61" s="17"/>
      <c r="K61" s="17"/>
      <c r="L61" s="17"/>
      <c r="M61" s="17"/>
    </row>
    <row r="62">
      <c r="A62" s="17"/>
      <c r="C62" s="17"/>
      <c r="D62" s="17"/>
      <c r="E62" s="17"/>
      <c r="F62" s="17"/>
      <c r="G62" s="17"/>
      <c r="H62" s="17"/>
      <c r="I62" s="17"/>
      <c r="J62" s="17"/>
      <c r="K62" s="17"/>
      <c r="L62" s="17"/>
      <c r="M62" s="17"/>
    </row>
    <row r="63">
      <c r="A63" s="17"/>
      <c r="C63" s="17"/>
      <c r="D63" s="17"/>
      <c r="E63" s="17"/>
      <c r="F63" s="17"/>
      <c r="G63" s="17"/>
      <c r="H63" s="17"/>
      <c r="I63" s="17"/>
      <c r="J63" s="17"/>
      <c r="K63" s="17"/>
      <c r="L63" s="17"/>
      <c r="M63" s="17"/>
    </row>
    <row r="64">
      <c r="A64" s="17"/>
      <c r="C64" s="17"/>
      <c r="D64" s="17"/>
      <c r="E64" s="17"/>
      <c r="F64" s="17"/>
      <c r="G64" s="17"/>
      <c r="H64" s="17"/>
      <c r="I64" s="17"/>
      <c r="J64" s="17"/>
      <c r="K64" s="17"/>
      <c r="L64" s="17"/>
      <c r="M64" s="17"/>
    </row>
    <row r="65">
      <c r="A65" s="17"/>
      <c r="C65" s="17"/>
      <c r="D65" s="17"/>
      <c r="E65" s="17"/>
      <c r="F65" s="17"/>
      <c r="G65" s="17"/>
      <c r="H65" s="17"/>
      <c r="I65" s="17"/>
      <c r="J65" s="17"/>
      <c r="K65" s="17"/>
      <c r="L65" s="17"/>
      <c r="M65" s="17"/>
    </row>
    <row r="66">
      <c r="A66" s="17"/>
      <c r="C66" s="17"/>
      <c r="D66" s="17"/>
      <c r="E66" s="17"/>
      <c r="F66" s="17"/>
      <c r="G66" s="17"/>
      <c r="H66" s="17"/>
      <c r="I66" s="17"/>
      <c r="J66" s="17"/>
      <c r="K66" s="17"/>
      <c r="L66" s="17"/>
      <c r="M66" s="17"/>
    </row>
    <row r="67">
      <c r="A67" s="17"/>
      <c r="C67" s="17"/>
      <c r="D67" s="17"/>
      <c r="E67" s="17"/>
      <c r="F67" s="17"/>
      <c r="G67" s="17"/>
      <c r="H67" s="17"/>
      <c r="I67" s="17"/>
      <c r="J67" s="17"/>
      <c r="K67" s="17"/>
      <c r="L67" s="17"/>
      <c r="M67" s="17"/>
    </row>
    <row r="68">
      <c r="A68" s="17"/>
      <c r="C68" s="17"/>
      <c r="D68" s="17"/>
      <c r="E68" s="17"/>
      <c r="F68" s="17"/>
      <c r="G68" s="17"/>
      <c r="H68" s="17"/>
      <c r="I68" s="17"/>
      <c r="J68" s="17"/>
      <c r="K68" s="17"/>
      <c r="L68" s="17"/>
      <c r="M68" s="17"/>
    </row>
    <row r="69">
      <c r="A69" s="17"/>
      <c r="C69" s="17"/>
      <c r="D69" s="17"/>
      <c r="E69" s="17"/>
      <c r="F69" s="17"/>
      <c r="G69" s="17"/>
      <c r="H69" s="17"/>
      <c r="I69" s="17"/>
      <c r="J69" s="17"/>
      <c r="K69" s="17"/>
      <c r="L69" s="17"/>
      <c r="M69" s="17"/>
    </row>
    <row r="70">
      <c r="A70" s="17"/>
      <c r="C70" s="17"/>
      <c r="D70" s="17"/>
      <c r="E70" s="17"/>
      <c r="F70" s="17"/>
      <c r="G70" s="17"/>
      <c r="H70" s="17"/>
      <c r="I70" s="17"/>
      <c r="J70" s="17"/>
      <c r="K70" s="17"/>
      <c r="L70" s="17"/>
      <c r="M70" s="17"/>
    </row>
    <row r="71">
      <c r="A71" s="17"/>
      <c r="C71" s="17"/>
      <c r="D71" s="17"/>
      <c r="E71" s="17"/>
      <c r="F71" s="17"/>
      <c r="G71" s="17"/>
      <c r="H71" s="17"/>
      <c r="I71" s="17"/>
      <c r="J71" s="17"/>
      <c r="K71" s="17"/>
      <c r="L71" s="17"/>
      <c r="M71" s="17"/>
    </row>
    <row r="72">
      <c r="A72" s="17"/>
      <c r="C72" s="17"/>
      <c r="D72" s="17"/>
      <c r="E72" s="17"/>
      <c r="F72" s="17"/>
      <c r="G72" s="17"/>
      <c r="H72" s="17"/>
      <c r="I72" s="17"/>
      <c r="J72" s="17"/>
      <c r="K72" s="17"/>
      <c r="L72" s="17"/>
      <c r="M72" s="17"/>
    </row>
    <row r="73">
      <c r="A73" s="17"/>
      <c r="C73" s="17"/>
      <c r="D73" s="17"/>
      <c r="E73" s="17"/>
      <c r="F73" s="17"/>
      <c r="G73" s="17"/>
      <c r="H73" s="17"/>
      <c r="I73" s="17"/>
      <c r="J73" s="17"/>
      <c r="K73" s="17"/>
      <c r="L73" s="17"/>
      <c r="M73" s="17"/>
    </row>
    <row r="74">
      <c r="A74" s="17"/>
      <c r="C74" s="17"/>
      <c r="D74" s="17"/>
      <c r="E74" s="17"/>
      <c r="F74" s="17"/>
      <c r="G74" s="17"/>
      <c r="H74" s="17"/>
      <c r="I74" s="17"/>
      <c r="J74" s="17"/>
      <c r="K74" s="17"/>
      <c r="L74" s="17"/>
      <c r="M74" s="17"/>
    </row>
    <row r="75">
      <c r="A75" s="17"/>
      <c r="C75" s="17"/>
      <c r="D75" s="17"/>
      <c r="E75" s="17"/>
      <c r="F75" s="17"/>
      <c r="G75" s="17"/>
      <c r="H75" s="17"/>
      <c r="I75" s="17"/>
      <c r="J75" s="17"/>
      <c r="K75" s="17"/>
      <c r="L75" s="17"/>
      <c r="M75" s="17"/>
    </row>
    <row r="76">
      <c r="A76" s="17"/>
      <c r="C76" s="17"/>
      <c r="D76" s="17"/>
      <c r="E76" s="17"/>
      <c r="F76" s="17"/>
      <c r="G76" s="17"/>
      <c r="H76" s="17"/>
      <c r="I76" s="17"/>
      <c r="J76" s="17"/>
      <c r="K76" s="17"/>
      <c r="L76" s="17"/>
      <c r="M76" s="17"/>
    </row>
    <row r="77">
      <c r="A77" s="17"/>
      <c r="C77" s="17"/>
      <c r="D77" s="17"/>
      <c r="E77" s="17"/>
      <c r="F77" s="17"/>
      <c r="G77" s="17"/>
      <c r="H77" s="17"/>
      <c r="I77" s="17"/>
      <c r="J77" s="17"/>
      <c r="K77" s="17"/>
      <c r="L77" s="17"/>
      <c r="M77" s="17"/>
    </row>
    <row r="78">
      <c r="A78" s="17"/>
      <c r="C78" s="17"/>
      <c r="D78" s="17"/>
      <c r="E78" s="17"/>
      <c r="F78" s="17"/>
      <c r="G78" s="17"/>
      <c r="H78" s="17"/>
      <c r="I78" s="17"/>
      <c r="J78" s="17"/>
      <c r="K78" s="17"/>
      <c r="L78" s="17"/>
      <c r="M78" s="17"/>
    </row>
    <row r="79">
      <c r="A79" s="17"/>
      <c r="C79" s="17"/>
      <c r="D79" s="17"/>
      <c r="E79" s="17"/>
      <c r="F79" s="17"/>
      <c r="G79" s="17"/>
      <c r="H79" s="17"/>
      <c r="I79" s="17"/>
      <c r="J79" s="17"/>
      <c r="K79" s="17"/>
      <c r="L79" s="17"/>
      <c r="M79" s="17"/>
    </row>
    <row r="80">
      <c r="A80" s="17"/>
      <c r="C80" s="17"/>
      <c r="D80" s="17"/>
      <c r="E80" s="17"/>
      <c r="F80" s="17"/>
      <c r="G80" s="17"/>
      <c r="H80" s="17"/>
      <c r="I80" s="17"/>
      <c r="J80" s="17"/>
      <c r="K80" s="17"/>
      <c r="L80" s="17"/>
      <c r="M80" s="17"/>
    </row>
    <row r="81">
      <c r="A81" s="17"/>
      <c r="C81" s="17"/>
      <c r="D81" s="17"/>
      <c r="E81" s="17"/>
      <c r="F81" s="17"/>
      <c r="G81" s="17"/>
      <c r="H81" s="17"/>
      <c r="I81" s="17"/>
      <c r="J81" s="17"/>
      <c r="K81" s="17"/>
      <c r="L81" s="17"/>
      <c r="M81" s="17"/>
    </row>
    <row r="82">
      <c r="A82" s="17"/>
      <c r="C82" s="17"/>
      <c r="D82" s="17"/>
      <c r="E82" s="17"/>
      <c r="F82" s="17"/>
      <c r="G82" s="17"/>
      <c r="H82" s="17"/>
      <c r="I82" s="17"/>
      <c r="J82" s="17"/>
      <c r="K82" s="17"/>
      <c r="L82" s="17"/>
      <c r="M82" s="17"/>
    </row>
    <row r="83">
      <c r="A83" s="17"/>
      <c r="C83" s="17"/>
      <c r="D83" s="17"/>
      <c r="E83" s="17"/>
      <c r="F83" s="17"/>
      <c r="G83" s="17"/>
      <c r="H83" s="17"/>
      <c r="I83" s="17"/>
      <c r="J83" s="17"/>
      <c r="K83" s="17"/>
      <c r="L83" s="17"/>
      <c r="M83" s="17"/>
    </row>
    <row r="84">
      <c r="A84" s="17"/>
      <c r="C84" s="17"/>
      <c r="D84" s="17"/>
      <c r="E84" s="17"/>
      <c r="F84" s="17"/>
      <c r="G84" s="17"/>
      <c r="H84" s="17"/>
      <c r="I84" s="17"/>
      <c r="J84" s="17"/>
      <c r="K84" s="17"/>
      <c r="L84" s="17"/>
      <c r="M84" s="17"/>
    </row>
    <row r="85">
      <c r="A85" s="17"/>
      <c r="C85" s="17"/>
      <c r="D85" s="17"/>
      <c r="E85" s="17"/>
      <c r="F85" s="17"/>
      <c r="G85" s="17"/>
      <c r="H85" s="17"/>
      <c r="I85" s="17"/>
      <c r="J85" s="17"/>
      <c r="K85" s="17"/>
      <c r="L85" s="17"/>
      <c r="M85" s="17"/>
    </row>
    <row r="86">
      <c r="A86" s="17"/>
      <c r="C86" s="17"/>
      <c r="D86" s="17"/>
      <c r="E86" s="17"/>
      <c r="F86" s="17"/>
      <c r="G86" s="17"/>
      <c r="H86" s="17"/>
      <c r="I86" s="17"/>
      <c r="J86" s="17"/>
      <c r="K86" s="17"/>
      <c r="L86" s="17"/>
      <c r="M86" s="17"/>
    </row>
    <row r="87">
      <c r="A87" s="17"/>
      <c r="C87" s="17"/>
      <c r="D87" s="17"/>
      <c r="E87" s="17"/>
      <c r="F87" s="17"/>
      <c r="G87" s="17"/>
      <c r="H87" s="17"/>
      <c r="I87" s="17"/>
      <c r="J87" s="17"/>
      <c r="K87" s="17"/>
      <c r="L87" s="17"/>
      <c r="M87" s="17"/>
    </row>
    <row r="88">
      <c r="A88" s="17"/>
      <c r="C88" s="17"/>
      <c r="D88" s="17"/>
      <c r="E88" s="17"/>
      <c r="F88" s="17"/>
      <c r="G88" s="17"/>
      <c r="H88" s="17"/>
      <c r="I88" s="17"/>
      <c r="J88" s="17"/>
      <c r="K88" s="17"/>
      <c r="L88" s="17"/>
      <c r="M88" s="17"/>
    </row>
    <row r="89">
      <c r="A89" s="17"/>
      <c r="C89" s="17"/>
      <c r="D89" s="17"/>
      <c r="E89" s="17"/>
      <c r="F89" s="17"/>
      <c r="G89" s="17"/>
      <c r="H89" s="17"/>
      <c r="I89" s="17"/>
      <c r="J89" s="17"/>
      <c r="K89" s="17"/>
      <c r="L89" s="17"/>
      <c r="M89" s="17"/>
    </row>
    <row r="90">
      <c r="A90" s="17"/>
      <c r="C90" s="17"/>
      <c r="D90" s="17"/>
      <c r="E90" s="17"/>
      <c r="F90" s="17"/>
      <c r="G90" s="17"/>
      <c r="H90" s="17"/>
      <c r="I90" s="17"/>
      <c r="J90" s="17"/>
      <c r="K90" s="17"/>
      <c r="L90" s="17"/>
      <c r="M90" s="17"/>
    </row>
    <row r="91">
      <c r="A91" s="17"/>
      <c r="C91" s="17"/>
      <c r="D91" s="17"/>
      <c r="E91" s="17"/>
      <c r="F91" s="17"/>
      <c r="G91" s="17"/>
      <c r="H91" s="17"/>
      <c r="I91" s="17"/>
      <c r="J91" s="17"/>
      <c r="K91" s="17"/>
      <c r="L91" s="17"/>
      <c r="M91" s="17"/>
    </row>
    <row r="92">
      <c r="A92" s="17"/>
      <c r="C92" s="17"/>
      <c r="D92" s="17"/>
      <c r="E92" s="17"/>
      <c r="F92" s="17"/>
      <c r="G92" s="17"/>
      <c r="H92" s="17"/>
      <c r="I92" s="17"/>
      <c r="J92" s="17"/>
      <c r="K92" s="17"/>
      <c r="L92" s="17"/>
      <c r="M92" s="17"/>
    </row>
    <row r="93">
      <c r="A93" s="17"/>
      <c r="C93" s="17"/>
      <c r="D93" s="17"/>
      <c r="E93" s="17"/>
      <c r="F93" s="17"/>
      <c r="G93" s="17"/>
      <c r="H93" s="17"/>
      <c r="I93" s="17"/>
      <c r="J93" s="17"/>
      <c r="K93" s="17"/>
      <c r="L93" s="17"/>
      <c r="M93" s="17"/>
    </row>
    <row r="94">
      <c r="A94" s="17"/>
      <c r="C94" s="17"/>
      <c r="D94" s="17"/>
      <c r="E94" s="17"/>
      <c r="F94" s="17"/>
      <c r="G94" s="17"/>
      <c r="H94" s="17"/>
      <c r="I94" s="17"/>
      <c r="J94" s="17"/>
      <c r="K94" s="17"/>
      <c r="L94" s="17"/>
      <c r="M94" s="17"/>
    </row>
    <row r="95">
      <c r="A95" s="17"/>
      <c r="C95" s="17"/>
      <c r="D95" s="17"/>
      <c r="E95" s="17"/>
      <c r="F95" s="17"/>
      <c r="G95" s="17"/>
      <c r="H95" s="17"/>
      <c r="I95" s="17"/>
      <c r="J95" s="17"/>
      <c r="K95" s="17"/>
      <c r="L95" s="17"/>
      <c r="M95" s="17"/>
    </row>
    <row r="96">
      <c r="A96" s="17"/>
      <c r="C96" s="17"/>
      <c r="D96" s="17"/>
      <c r="E96" s="17"/>
      <c r="F96" s="17"/>
      <c r="G96" s="17"/>
      <c r="H96" s="17"/>
      <c r="I96" s="17"/>
      <c r="J96" s="17"/>
      <c r="K96" s="17"/>
      <c r="L96" s="17"/>
      <c r="M96" s="17"/>
    </row>
    <row r="97">
      <c r="A97" s="17"/>
      <c r="C97" s="17"/>
      <c r="D97" s="17"/>
      <c r="E97" s="17"/>
      <c r="F97" s="17"/>
      <c r="G97" s="17"/>
      <c r="H97" s="17"/>
      <c r="I97" s="17"/>
      <c r="J97" s="17"/>
      <c r="K97" s="17"/>
      <c r="L97" s="17"/>
      <c r="M97" s="17"/>
    </row>
    <row r="98">
      <c r="A98" s="17"/>
      <c r="C98" s="17"/>
      <c r="D98" s="17"/>
      <c r="E98" s="17"/>
      <c r="F98" s="17"/>
      <c r="G98" s="17"/>
      <c r="H98" s="17"/>
      <c r="I98" s="17"/>
      <c r="J98" s="17"/>
      <c r="K98" s="17"/>
      <c r="L98" s="17"/>
      <c r="M98" s="17"/>
    </row>
    <row r="99">
      <c r="A99" s="17"/>
      <c r="C99" s="17"/>
      <c r="D99" s="17"/>
      <c r="E99" s="17"/>
      <c r="F99" s="17"/>
      <c r="G99" s="17"/>
      <c r="H99" s="17"/>
      <c r="I99" s="17"/>
      <c r="J99" s="17"/>
      <c r="K99" s="17"/>
      <c r="L99" s="17"/>
      <c r="M99" s="17"/>
    </row>
    <row r="100">
      <c r="A100" s="17"/>
      <c r="C100" s="17"/>
      <c r="D100" s="17"/>
      <c r="E100" s="17"/>
      <c r="F100" s="17"/>
      <c r="G100" s="17"/>
      <c r="H100" s="17"/>
      <c r="I100" s="17"/>
      <c r="J100" s="17"/>
      <c r="K100" s="17"/>
      <c r="L100" s="17"/>
      <c r="M100" s="17"/>
    </row>
    <row r="101">
      <c r="A101" s="17"/>
      <c r="C101" s="17"/>
      <c r="D101" s="17"/>
      <c r="E101" s="17"/>
      <c r="F101" s="17"/>
      <c r="G101" s="17"/>
      <c r="H101" s="17"/>
      <c r="I101" s="17"/>
      <c r="J101" s="17"/>
      <c r="K101" s="17"/>
      <c r="L101" s="17"/>
      <c r="M101" s="17"/>
    </row>
    <row r="102">
      <c r="A102" s="17"/>
      <c r="C102" s="17"/>
      <c r="D102" s="17"/>
      <c r="E102" s="17"/>
      <c r="F102" s="17"/>
      <c r="G102" s="17"/>
      <c r="H102" s="17"/>
      <c r="I102" s="17"/>
      <c r="J102" s="17"/>
      <c r="K102" s="17"/>
      <c r="L102" s="17"/>
      <c r="M102" s="17"/>
    </row>
    <row r="103">
      <c r="A103" s="17"/>
      <c r="C103" s="17"/>
      <c r="D103" s="17"/>
      <c r="E103" s="17"/>
      <c r="F103" s="17"/>
      <c r="G103" s="17"/>
      <c r="H103" s="17"/>
      <c r="I103" s="17"/>
      <c r="J103" s="17"/>
      <c r="K103" s="17"/>
      <c r="L103" s="17"/>
      <c r="M103" s="17"/>
    </row>
    <row r="104">
      <c r="A104" s="17"/>
      <c r="C104" s="17"/>
      <c r="D104" s="17"/>
      <c r="E104" s="17"/>
      <c r="F104" s="17"/>
      <c r="G104" s="17"/>
      <c r="H104" s="17"/>
      <c r="I104" s="17"/>
      <c r="J104" s="17"/>
      <c r="K104" s="17"/>
      <c r="L104" s="17"/>
      <c r="M104" s="17"/>
    </row>
    <row r="105">
      <c r="A105" s="17"/>
      <c r="C105" s="17"/>
      <c r="D105" s="17"/>
      <c r="E105" s="17"/>
      <c r="F105" s="17"/>
      <c r="G105" s="17"/>
      <c r="H105" s="17"/>
      <c r="I105" s="17"/>
      <c r="J105" s="17"/>
      <c r="K105" s="17"/>
      <c r="L105" s="17"/>
      <c r="M105" s="17"/>
    </row>
    <row r="106">
      <c r="A106" s="17"/>
      <c r="C106" s="17"/>
      <c r="D106" s="17"/>
      <c r="E106" s="17"/>
      <c r="F106" s="17"/>
      <c r="G106" s="17"/>
      <c r="H106" s="17"/>
      <c r="I106" s="17"/>
      <c r="J106" s="17"/>
      <c r="K106" s="17"/>
      <c r="L106" s="17"/>
      <c r="M106" s="17"/>
    </row>
    <row r="107">
      <c r="A107" s="17"/>
      <c r="C107" s="17"/>
      <c r="D107" s="17"/>
      <c r="E107" s="17"/>
      <c r="F107" s="17"/>
      <c r="G107" s="17"/>
      <c r="H107" s="17"/>
      <c r="I107" s="17"/>
      <c r="J107" s="17"/>
      <c r="K107" s="17"/>
      <c r="L107" s="17"/>
      <c r="M107" s="17"/>
    </row>
    <row r="108">
      <c r="A108" s="17"/>
      <c r="C108" s="17"/>
      <c r="D108" s="17"/>
      <c r="E108" s="17"/>
      <c r="F108" s="17"/>
      <c r="G108" s="17"/>
      <c r="H108" s="17"/>
      <c r="I108" s="17"/>
      <c r="J108" s="17"/>
      <c r="K108" s="17"/>
      <c r="L108" s="17"/>
      <c r="M108" s="17"/>
    </row>
    <row r="109">
      <c r="A109" s="17"/>
      <c r="C109" s="17"/>
      <c r="D109" s="17"/>
      <c r="E109" s="17"/>
      <c r="F109" s="17"/>
      <c r="G109" s="17"/>
      <c r="H109" s="17"/>
      <c r="I109" s="17"/>
      <c r="J109" s="17"/>
      <c r="K109" s="17"/>
      <c r="L109" s="17"/>
      <c r="M109" s="17"/>
    </row>
    <row r="110">
      <c r="A110" s="17"/>
      <c r="C110" s="17"/>
      <c r="D110" s="17"/>
      <c r="E110" s="17"/>
      <c r="F110" s="17"/>
      <c r="G110" s="17"/>
      <c r="H110" s="17"/>
      <c r="I110" s="17"/>
      <c r="J110" s="17"/>
      <c r="K110" s="17"/>
      <c r="L110" s="17"/>
      <c r="M110" s="17"/>
    </row>
    <row r="111">
      <c r="A111" s="17"/>
      <c r="C111" s="17"/>
      <c r="D111" s="17"/>
      <c r="E111" s="17"/>
      <c r="F111" s="17"/>
      <c r="G111" s="17"/>
      <c r="H111" s="17"/>
      <c r="I111" s="17"/>
      <c r="J111" s="17"/>
      <c r="K111" s="17"/>
      <c r="L111" s="17"/>
      <c r="M111" s="17"/>
    </row>
    <row r="112">
      <c r="A112" s="17"/>
      <c r="C112" s="17"/>
      <c r="D112" s="17"/>
      <c r="E112" s="17"/>
      <c r="F112" s="17"/>
      <c r="G112" s="17"/>
      <c r="H112" s="17"/>
      <c r="I112" s="17"/>
      <c r="J112" s="17"/>
      <c r="K112" s="17"/>
      <c r="L112" s="17"/>
      <c r="M112" s="17"/>
    </row>
    <row r="113">
      <c r="A113" s="17"/>
      <c r="C113" s="17"/>
      <c r="D113" s="17"/>
      <c r="E113" s="17"/>
      <c r="F113" s="17"/>
      <c r="G113" s="17"/>
      <c r="H113" s="17"/>
      <c r="I113" s="17"/>
      <c r="J113" s="17"/>
      <c r="K113" s="17"/>
      <c r="L113" s="17"/>
      <c r="M113" s="17"/>
    </row>
    <row r="114">
      <c r="A114" s="17"/>
      <c r="C114" s="17"/>
      <c r="D114" s="17"/>
      <c r="E114" s="17"/>
      <c r="F114" s="17"/>
      <c r="G114" s="17"/>
      <c r="H114" s="17"/>
      <c r="I114" s="17"/>
      <c r="J114" s="17"/>
      <c r="K114" s="17"/>
      <c r="L114" s="17"/>
      <c r="M114" s="17"/>
    </row>
    <row r="115">
      <c r="A115" s="17"/>
      <c r="C115" s="17"/>
      <c r="D115" s="17"/>
      <c r="E115" s="17"/>
      <c r="F115" s="17"/>
      <c r="G115" s="17"/>
      <c r="H115" s="17"/>
      <c r="I115" s="17"/>
      <c r="J115" s="17"/>
      <c r="K115" s="17"/>
      <c r="L115" s="17"/>
      <c r="M115" s="17"/>
    </row>
    <row r="116">
      <c r="A116" s="17"/>
      <c r="C116" s="17"/>
      <c r="D116" s="17"/>
      <c r="E116" s="17"/>
      <c r="F116" s="17"/>
      <c r="G116" s="17"/>
      <c r="H116" s="17"/>
      <c r="I116" s="17"/>
      <c r="J116" s="17"/>
      <c r="K116" s="17"/>
      <c r="L116" s="17"/>
      <c r="M116" s="17"/>
    </row>
    <row r="117">
      <c r="A117" s="17"/>
      <c r="C117" s="17"/>
      <c r="D117" s="17"/>
      <c r="E117" s="17"/>
      <c r="F117" s="17"/>
      <c r="G117" s="17"/>
      <c r="H117" s="17"/>
      <c r="I117" s="17"/>
      <c r="J117" s="17"/>
      <c r="K117" s="17"/>
      <c r="L117" s="17"/>
      <c r="M117" s="17"/>
    </row>
    <row r="118">
      <c r="A118" s="17"/>
      <c r="C118" s="17"/>
      <c r="D118" s="17"/>
      <c r="E118" s="17"/>
      <c r="F118" s="17"/>
      <c r="G118" s="17"/>
      <c r="H118" s="17"/>
      <c r="I118" s="17"/>
      <c r="J118" s="17"/>
      <c r="K118" s="17"/>
      <c r="L118" s="17"/>
      <c r="M118" s="17"/>
    </row>
    <row r="119">
      <c r="A119" s="17"/>
      <c r="C119" s="17"/>
      <c r="D119" s="17"/>
      <c r="E119" s="17"/>
      <c r="F119" s="17"/>
      <c r="G119" s="17"/>
      <c r="H119" s="17"/>
      <c r="I119" s="17"/>
      <c r="J119" s="17"/>
      <c r="K119" s="17"/>
      <c r="L119" s="17"/>
      <c r="M119" s="17"/>
    </row>
    <row r="120">
      <c r="A120" s="17"/>
      <c r="C120" s="17"/>
      <c r="D120" s="17"/>
      <c r="E120" s="17"/>
      <c r="F120" s="17"/>
      <c r="G120" s="17"/>
      <c r="H120" s="17"/>
      <c r="I120" s="17"/>
      <c r="J120" s="17"/>
      <c r="K120" s="17"/>
      <c r="L120" s="17"/>
      <c r="M120" s="17"/>
    </row>
    <row r="121">
      <c r="A121" s="17"/>
      <c r="C121" s="17"/>
      <c r="D121" s="17"/>
      <c r="E121" s="17"/>
      <c r="F121" s="17"/>
      <c r="G121" s="17"/>
      <c r="H121" s="17"/>
      <c r="I121" s="17"/>
      <c r="J121" s="17"/>
      <c r="K121" s="17"/>
      <c r="L121" s="17"/>
      <c r="M121" s="17"/>
    </row>
    <row r="122">
      <c r="A122" s="17"/>
      <c r="C122" s="17"/>
      <c r="D122" s="17"/>
      <c r="E122" s="17"/>
      <c r="F122" s="17"/>
      <c r="G122" s="17"/>
      <c r="H122" s="17"/>
      <c r="I122" s="17"/>
      <c r="J122" s="17"/>
      <c r="K122" s="17"/>
      <c r="L122" s="17"/>
      <c r="M122" s="17"/>
    </row>
    <row r="123">
      <c r="A123" s="17"/>
      <c r="C123" s="17"/>
      <c r="D123" s="17"/>
      <c r="E123" s="17"/>
      <c r="F123" s="17"/>
      <c r="G123" s="17"/>
      <c r="H123" s="17"/>
      <c r="I123" s="17"/>
      <c r="J123" s="17"/>
      <c r="K123" s="17"/>
      <c r="L123" s="17"/>
      <c r="M123" s="17"/>
    </row>
    <row r="124">
      <c r="A124" s="17"/>
      <c r="C124" s="17"/>
      <c r="D124" s="17"/>
      <c r="E124" s="17"/>
      <c r="F124" s="17"/>
      <c r="G124" s="17"/>
      <c r="H124" s="17"/>
      <c r="I124" s="17"/>
      <c r="J124" s="17"/>
      <c r="K124" s="17"/>
      <c r="L124" s="17"/>
      <c r="M124" s="17"/>
    </row>
    <row r="125">
      <c r="A125" s="17"/>
      <c r="C125" s="17"/>
      <c r="D125" s="17"/>
      <c r="E125" s="17"/>
      <c r="F125" s="17"/>
      <c r="G125" s="17"/>
      <c r="H125" s="17"/>
      <c r="I125" s="17"/>
      <c r="J125" s="17"/>
      <c r="K125" s="17"/>
      <c r="L125" s="17"/>
      <c r="M125" s="17"/>
    </row>
    <row r="126">
      <c r="A126" s="17"/>
      <c r="C126" s="17"/>
      <c r="D126" s="17"/>
      <c r="E126" s="17"/>
      <c r="F126" s="17"/>
      <c r="G126" s="17"/>
      <c r="H126" s="17"/>
      <c r="I126" s="17"/>
      <c r="J126" s="17"/>
      <c r="K126" s="17"/>
      <c r="L126" s="17"/>
      <c r="M126" s="17"/>
    </row>
    <row r="127">
      <c r="A127" s="17"/>
      <c r="C127" s="17"/>
      <c r="D127" s="17"/>
      <c r="E127" s="17"/>
      <c r="F127" s="17"/>
      <c r="G127" s="17"/>
      <c r="H127" s="17"/>
      <c r="I127" s="17"/>
      <c r="J127" s="17"/>
      <c r="K127" s="17"/>
      <c r="L127" s="17"/>
      <c r="M127" s="17"/>
    </row>
    <row r="128">
      <c r="A128" s="17"/>
      <c r="C128" s="17"/>
      <c r="D128" s="17"/>
      <c r="E128" s="17"/>
      <c r="F128" s="17"/>
      <c r="G128" s="17"/>
      <c r="H128" s="17"/>
      <c r="I128" s="17"/>
      <c r="J128" s="17"/>
      <c r="K128" s="17"/>
      <c r="L128" s="17"/>
      <c r="M128" s="17"/>
    </row>
    <row r="129">
      <c r="A129" s="17"/>
      <c r="C129" s="17"/>
      <c r="D129" s="17"/>
      <c r="E129" s="17"/>
      <c r="F129" s="17"/>
      <c r="G129" s="17"/>
      <c r="H129" s="17"/>
      <c r="I129" s="17"/>
      <c r="J129" s="17"/>
      <c r="K129" s="17"/>
      <c r="L129" s="17"/>
      <c r="M129" s="17"/>
    </row>
    <row r="130">
      <c r="A130" s="17"/>
      <c r="C130" s="17"/>
      <c r="D130" s="17"/>
      <c r="E130" s="17"/>
      <c r="F130" s="17"/>
      <c r="G130" s="17"/>
      <c r="H130" s="17"/>
      <c r="I130" s="17"/>
      <c r="J130" s="17"/>
      <c r="K130" s="17"/>
      <c r="L130" s="17"/>
      <c r="M130" s="17"/>
    </row>
    <row r="131">
      <c r="A131" s="17"/>
      <c r="C131" s="17"/>
      <c r="D131" s="17"/>
      <c r="E131" s="17"/>
      <c r="F131" s="17"/>
      <c r="G131" s="17"/>
      <c r="H131" s="17"/>
      <c r="I131" s="17"/>
      <c r="J131" s="17"/>
      <c r="K131" s="17"/>
      <c r="L131" s="17"/>
      <c r="M131" s="17"/>
    </row>
    <row r="132">
      <c r="A132" s="17"/>
      <c r="C132" s="17"/>
      <c r="D132" s="17"/>
      <c r="E132" s="17"/>
      <c r="F132" s="17"/>
      <c r="G132" s="17"/>
      <c r="H132" s="17"/>
      <c r="I132" s="17"/>
      <c r="J132" s="17"/>
      <c r="K132" s="17"/>
      <c r="L132" s="17"/>
      <c r="M132" s="17"/>
    </row>
    <row r="133">
      <c r="A133" s="17"/>
      <c r="C133" s="17"/>
      <c r="D133" s="17"/>
      <c r="E133" s="17"/>
      <c r="F133" s="17"/>
      <c r="G133" s="17"/>
      <c r="H133" s="17"/>
      <c r="I133" s="17"/>
      <c r="J133" s="17"/>
      <c r="K133" s="17"/>
      <c r="L133" s="17"/>
      <c r="M133" s="17"/>
    </row>
    <row r="134">
      <c r="A134" s="17"/>
      <c r="C134" s="17"/>
      <c r="D134" s="17"/>
      <c r="E134" s="17"/>
      <c r="F134" s="17"/>
      <c r="G134" s="17"/>
      <c r="H134" s="17"/>
      <c r="I134" s="17"/>
      <c r="J134" s="17"/>
      <c r="K134" s="17"/>
      <c r="L134" s="17"/>
      <c r="M134" s="17"/>
    </row>
    <row r="135">
      <c r="A135" s="17"/>
      <c r="C135" s="17"/>
      <c r="D135" s="17"/>
      <c r="E135" s="17"/>
      <c r="F135" s="17"/>
      <c r="G135" s="17"/>
      <c r="H135" s="17"/>
      <c r="I135" s="17"/>
      <c r="J135" s="17"/>
      <c r="K135" s="17"/>
      <c r="L135" s="17"/>
      <c r="M135" s="17"/>
    </row>
    <row r="136">
      <c r="A136" s="17"/>
      <c r="C136" s="17"/>
      <c r="D136" s="17"/>
      <c r="E136" s="17"/>
      <c r="F136" s="17"/>
      <c r="G136" s="17"/>
      <c r="H136" s="17"/>
      <c r="I136" s="17"/>
      <c r="J136" s="17"/>
      <c r="K136" s="17"/>
      <c r="L136" s="17"/>
      <c r="M136" s="17"/>
    </row>
    <row r="137">
      <c r="A137" s="17"/>
      <c r="C137" s="17"/>
      <c r="D137" s="17"/>
      <c r="E137" s="17"/>
      <c r="F137" s="17"/>
      <c r="G137" s="17"/>
      <c r="H137" s="17"/>
      <c r="I137" s="17"/>
      <c r="J137" s="17"/>
      <c r="K137" s="17"/>
      <c r="L137" s="17"/>
      <c r="M137" s="17"/>
    </row>
    <row r="138">
      <c r="A138" s="17"/>
      <c r="C138" s="17"/>
      <c r="D138" s="17"/>
      <c r="E138" s="17"/>
      <c r="F138" s="17"/>
      <c r="G138" s="17"/>
      <c r="H138" s="17"/>
      <c r="I138" s="17"/>
      <c r="J138" s="17"/>
      <c r="K138" s="17"/>
      <c r="L138" s="17"/>
      <c r="M138" s="17"/>
    </row>
    <row r="139">
      <c r="A139" s="17"/>
      <c r="C139" s="17"/>
      <c r="D139" s="17"/>
      <c r="E139" s="17"/>
      <c r="F139" s="17"/>
      <c r="G139" s="17"/>
      <c r="H139" s="17"/>
      <c r="I139" s="17"/>
      <c r="J139" s="17"/>
      <c r="K139" s="17"/>
      <c r="L139" s="17"/>
      <c r="M139" s="17"/>
    </row>
    <row r="140">
      <c r="A140" s="17"/>
      <c r="C140" s="17"/>
      <c r="D140" s="17"/>
      <c r="E140" s="17"/>
      <c r="F140" s="17"/>
      <c r="G140" s="17"/>
      <c r="H140" s="17"/>
      <c r="I140" s="17"/>
      <c r="J140" s="17"/>
      <c r="K140" s="17"/>
      <c r="L140" s="17"/>
      <c r="M140" s="17"/>
    </row>
    <row r="141">
      <c r="A141" s="17"/>
      <c r="C141" s="17"/>
      <c r="D141" s="17"/>
      <c r="E141" s="17"/>
      <c r="F141" s="17"/>
      <c r="G141" s="17"/>
      <c r="H141" s="17"/>
      <c r="I141" s="17"/>
      <c r="J141" s="17"/>
      <c r="K141" s="17"/>
      <c r="L141" s="17"/>
      <c r="M141" s="17"/>
    </row>
    <row r="142">
      <c r="A142" s="17"/>
      <c r="C142" s="17"/>
      <c r="D142" s="17"/>
      <c r="E142" s="17"/>
      <c r="F142" s="17"/>
      <c r="G142" s="17"/>
      <c r="H142" s="17"/>
      <c r="I142" s="17"/>
      <c r="J142" s="17"/>
      <c r="K142" s="17"/>
      <c r="L142" s="17"/>
      <c r="M142" s="17"/>
    </row>
    <row r="143">
      <c r="A143" s="17"/>
      <c r="C143" s="17"/>
      <c r="D143" s="17"/>
      <c r="E143" s="17"/>
      <c r="F143" s="17"/>
      <c r="G143" s="17"/>
      <c r="H143" s="17"/>
      <c r="I143" s="17"/>
      <c r="J143" s="17"/>
      <c r="K143" s="17"/>
      <c r="L143" s="17"/>
      <c r="M143" s="17"/>
    </row>
    <row r="144">
      <c r="A144" s="17"/>
      <c r="C144" s="17"/>
      <c r="D144" s="17"/>
      <c r="E144" s="17"/>
      <c r="F144" s="17"/>
      <c r="G144" s="17"/>
      <c r="H144" s="17"/>
      <c r="I144" s="17"/>
      <c r="J144" s="17"/>
      <c r="K144" s="17"/>
      <c r="L144" s="17"/>
      <c r="M144" s="17"/>
    </row>
    <row r="145">
      <c r="A145" s="17"/>
      <c r="C145" s="17"/>
      <c r="D145" s="17"/>
      <c r="E145" s="17"/>
      <c r="F145" s="17"/>
      <c r="G145" s="17"/>
      <c r="H145" s="17"/>
      <c r="I145" s="17"/>
      <c r="J145" s="17"/>
      <c r="K145" s="17"/>
      <c r="L145" s="17"/>
      <c r="M145" s="17"/>
    </row>
    <row r="146">
      <c r="A146" s="17"/>
      <c r="C146" s="17"/>
      <c r="D146" s="17"/>
      <c r="E146" s="17"/>
      <c r="F146" s="17"/>
      <c r="G146" s="17"/>
      <c r="H146" s="17"/>
      <c r="I146" s="17"/>
      <c r="J146" s="17"/>
      <c r="K146" s="17"/>
      <c r="L146" s="17"/>
      <c r="M146" s="17"/>
    </row>
    <row r="147">
      <c r="A147" s="17"/>
      <c r="C147" s="17"/>
      <c r="D147" s="17"/>
      <c r="E147" s="17"/>
      <c r="F147" s="17"/>
      <c r="G147" s="17"/>
      <c r="H147" s="17"/>
      <c r="I147" s="17"/>
      <c r="J147" s="17"/>
      <c r="K147" s="17"/>
      <c r="L147" s="17"/>
      <c r="M147" s="17"/>
    </row>
    <row r="148">
      <c r="A148" s="17"/>
      <c r="C148" s="17"/>
      <c r="D148" s="17"/>
      <c r="E148" s="17"/>
      <c r="F148" s="17"/>
      <c r="G148" s="17"/>
      <c r="H148" s="17"/>
      <c r="I148" s="17"/>
      <c r="J148" s="17"/>
      <c r="K148" s="17"/>
      <c r="L148" s="17"/>
      <c r="M148" s="17"/>
    </row>
    <row r="149">
      <c r="A149" s="17"/>
      <c r="C149" s="17"/>
      <c r="D149" s="17"/>
      <c r="E149" s="17"/>
      <c r="F149" s="17"/>
      <c r="G149" s="17"/>
      <c r="H149" s="17"/>
      <c r="I149" s="17"/>
      <c r="J149" s="17"/>
      <c r="K149" s="17"/>
      <c r="L149" s="17"/>
      <c r="M149" s="17"/>
    </row>
    <row r="150">
      <c r="A150" s="17"/>
      <c r="C150" s="17"/>
      <c r="D150" s="17"/>
      <c r="E150" s="17"/>
      <c r="F150" s="17"/>
      <c r="G150" s="17"/>
      <c r="H150" s="17"/>
      <c r="I150" s="17"/>
      <c r="J150" s="17"/>
      <c r="K150" s="17"/>
      <c r="L150" s="17"/>
      <c r="M150" s="17"/>
    </row>
    <row r="151">
      <c r="A151" s="17"/>
      <c r="C151" s="17"/>
      <c r="D151" s="17"/>
      <c r="E151" s="17"/>
      <c r="F151" s="17"/>
      <c r="G151" s="17"/>
      <c r="H151" s="17"/>
      <c r="I151" s="17"/>
      <c r="J151" s="17"/>
      <c r="K151" s="17"/>
      <c r="L151" s="17"/>
      <c r="M151" s="17"/>
    </row>
    <row r="152">
      <c r="A152" s="17"/>
      <c r="C152" s="17"/>
      <c r="D152" s="17"/>
      <c r="E152" s="17"/>
      <c r="F152" s="17"/>
      <c r="G152" s="17"/>
      <c r="H152" s="17"/>
      <c r="I152" s="17"/>
      <c r="J152" s="17"/>
      <c r="K152" s="17"/>
      <c r="L152" s="17"/>
      <c r="M152" s="17"/>
    </row>
    <row r="153">
      <c r="A153" s="17"/>
      <c r="C153" s="17"/>
      <c r="D153" s="17"/>
      <c r="E153" s="17"/>
      <c r="F153" s="17"/>
      <c r="G153" s="17"/>
      <c r="H153" s="17"/>
      <c r="I153" s="17"/>
      <c r="J153" s="17"/>
      <c r="K153" s="17"/>
      <c r="L153" s="17"/>
      <c r="M153" s="17"/>
    </row>
    <row r="154">
      <c r="A154" s="17"/>
      <c r="C154" s="17"/>
      <c r="D154" s="17"/>
      <c r="E154" s="17"/>
      <c r="F154" s="17"/>
      <c r="G154" s="17"/>
      <c r="H154" s="17"/>
      <c r="I154" s="17"/>
      <c r="J154" s="17"/>
      <c r="K154" s="17"/>
      <c r="L154" s="17"/>
      <c r="M154" s="17"/>
    </row>
    <row r="155">
      <c r="A155" s="17"/>
      <c r="C155" s="17"/>
      <c r="D155" s="17"/>
      <c r="E155" s="17"/>
      <c r="F155" s="17"/>
      <c r="G155" s="17"/>
      <c r="H155" s="17"/>
      <c r="I155" s="17"/>
      <c r="J155" s="17"/>
      <c r="K155" s="17"/>
      <c r="L155" s="17"/>
      <c r="M155" s="17"/>
    </row>
    <row r="156">
      <c r="A156" s="17"/>
      <c r="C156" s="17"/>
      <c r="D156" s="17"/>
      <c r="E156" s="17"/>
      <c r="F156" s="17"/>
      <c r="G156" s="17"/>
      <c r="H156" s="17"/>
      <c r="I156" s="17"/>
      <c r="J156" s="17"/>
      <c r="K156" s="17"/>
      <c r="L156" s="17"/>
      <c r="M156" s="17"/>
    </row>
    <row r="157">
      <c r="A157" s="17"/>
      <c r="C157" s="17"/>
      <c r="D157" s="17"/>
      <c r="E157" s="17"/>
      <c r="F157" s="17"/>
      <c r="G157" s="17"/>
      <c r="H157" s="17"/>
      <c r="I157" s="17"/>
      <c r="J157" s="17"/>
      <c r="K157" s="17"/>
      <c r="L157" s="17"/>
      <c r="M157" s="17"/>
    </row>
    <row r="158">
      <c r="A158" s="17"/>
      <c r="C158" s="17"/>
      <c r="D158" s="17"/>
      <c r="E158" s="17"/>
      <c r="F158" s="17"/>
      <c r="G158" s="17"/>
      <c r="H158" s="17"/>
      <c r="I158" s="17"/>
      <c r="J158" s="17"/>
      <c r="K158" s="17"/>
      <c r="L158" s="17"/>
      <c r="M158" s="17"/>
    </row>
    <row r="159">
      <c r="A159" s="17"/>
      <c r="C159" s="17"/>
      <c r="D159" s="17"/>
      <c r="E159" s="17"/>
      <c r="F159" s="17"/>
      <c r="G159" s="17"/>
      <c r="H159" s="17"/>
      <c r="I159" s="17"/>
      <c r="J159" s="17"/>
      <c r="K159" s="17"/>
      <c r="L159" s="17"/>
      <c r="M159" s="17"/>
    </row>
    <row r="160">
      <c r="A160" s="17"/>
      <c r="C160" s="17"/>
      <c r="D160" s="17"/>
      <c r="E160" s="17"/>
      <c r="F160" s="17"/>
      <c r="G160" s="17"/>
      <c r="H160" s="17"/>
      <c r="I160" s="17"/>
      <c r="J160" s="17"/>
      <c r="K160" s="17"/>
      <c r="L160" s="17"/>
      <c r="M160" s="17"/>
    </row>
    <row r="161">
      <c r="A161" s="17"/>
      <c r="C161" s="17"/>
      <c r="D161" s="17"/>
      <c r="E161" s="17"/>
      <c r="F161" s="17"/>
      <c r="G161" s="17"/>
      <c r="H161" s="17"/>
      <c r="I161" s="17"/>
      <c r="J161" s="17"/>
      <c r="K161" s="17"/>
      <c r="L161" s="17"/>
      <c r="M161" s="17"/>
    </row>
    <row r="162">
      <c r="A162" s="17"/>
      <c r="C162" s="17"/>
      <c r="D162" s="17"/>
      <c r="E162" s="17"/>
      <c r="F162" s="17"/>
      <c r="G162" s="17"/>
      <c r="H162" s="17"/>
      <c r="I162" s="17"/>
      <c r="J162" s="17"/>
      <c r="K162" s="17"/>
      <c r="L162" s="17"/>
      <c r="M162" s="17"/>
    </row>
    <row r="163">
      <c r="A163" s="17"/>
      <c r="C163" s="17"/>
      <c r="D163" s="17"/>
      <c r="E163" s="17"/>
      <c r="F163" s="17"/>
      <c r="G163" s="17"/>
      <c r="H163" s="17"/>
      <c r="I163" s="17"/>
      <c r="J163" s="17"/>
      <c r="K163" s="17"/>
      <c r="L163" s="17"/>
      <c r="M163" s="17"/>
    </row>
    <row r="164">
      <c r="A164" s="17"/>
      <c r="C164" s="17"/>
      <c r="D164" s="17"/>
      <c r="E164" s="17"/>
      <c r="F164" s="17"/>
      <c r="G164" s="17"/>
      <c r="H164" s="17"/>
      <c r="I164" s="17"/>
      <c r="J164" s="17"/>
      <c r="K164" s="17"/>
      <c r="L164" s="17"/>
      <c r="M164" s="17"/>
    </row>
    <row r="165">
      <c r="A165" s="17"/>
      <c r="C165" s="17"/>
      <c r="D165" s="17"/>
      <c r="E165" s="17"/>
      <c r="F165" s="17"/>
      <c r="G165" s="17"/>
      <c r="H165" s="17"/>
      <c r="I165" s="17"/>
      <c r="J165" s="17"/>
      <c r="K165" s="17"/>
      <c r="L165" s="17"/>
      <c r="M165" s="17"/>
    </row>
    <row r="166">
      <c r="A166" s="17"/>
      <c r="C166" s="17"/>
      <c r="D166" s="17"/>
      <c r="E166" s="17"/>
      <c r="F166" s="17"/>
      <c r="G166" s="17"/>
      <c r="H166" s="17"/>
      <c r="I166" s="17"/>
      <c r="J166" s="17"/>
      <c r="K166" s="17"/>
      <c r="L166" s="17"/>
      <c r="M166" s="17"/>
    </row>
    <row r="167">
      <c r="A167" s="17"/>
      <c r="C167" s="17"/>
      <c r="D167" s="17"/>
      <c r="E167" s="17"/>
      <c r="F167" s="17"/>
      <c r="G167" s="17"/>
      <c r="H167" s="17"/>
      <c r="I167" s="17"/>
      <c r="J167" s="17"/>
      <c r="K167" s="17"/>
      <c r="L167" s="17"/>
      <c r="M167" s="17"/>
    </row>
    <row r="168">
      <c r="A168" s="17"/>
      <c r="C168" s="17"/>
      <c r="D168" s="17"/>
      <c r="E168" s="17"/>
      <c r="F168" s="17"/>
      <c r="G168" s="17"/>
      <c r="H168" s="17"/>
      <c r="I168" s="17"/>
      <c r="J168" s="17"/>
      <c r="K168" s="17"/>
      <c r="L168" s="17"/>
      <c r="M168" s="17"/>
    </row>
    <row r="169">
      <c r="A169" s="17"/>
      <c r="C169" s="17"/>
      <c r="D169" s="17"/>
      <c r="E169" s="17"/>
      <c r="F169" s="17"/>
      <c r="G169" s="17"/>
      <c r="H169" s="17"/>
      <c r="I169" s="17"/>
      <c r="J169" s="17"/>
      <c r="K169" s="17"/>
      <c r="L169" s="17"/>
      <c r="M169" s="17"/>
    </row>
    <row r="170">
      <c r="A170" s="17"/>
      <c r="C170" s="17"/>
      <c r="D170" s="17"/>
      <c r="E170" s="17"/>
      <c r="F170" s="17"/>
      <c r="G170" s="17"/>
      <c r="H170" s="17"/>
      <c r="I170" s="17"/>
      <c r="J170" s="17"/>
      <c r="K170" s="17"/>
      <c r="L170" s="17"/>
      <c r="M170" s="17"/>
    </row>
    <row r="171">
      <c r="A171" s="17"/>
      <c r="C171" s="17"/>
      <c r="D171" s="17"/>
      <c r="E171" s="17"/>
      <c r="F171" s="17"/>
      <c r="G171" s="17"/>
      <c r="H171" s="17"/>
      <c r="I171" s="17"/>
      <c r="J171" s="17"/>
      <c r="K171" s="17"/>
      <c r="L171" s="17"/>
      <c r="M171" s="17"/>
    </row>
    <row r="172">
      <c r="A172" s="17"/>
      <c r="C172" s="17"/>
      <c r="D172" s="17"/>
      <c r="E172" s="17"/>
      <c r="F172" s="17"/>
      <c r="G172" s="17"/>
      <c r="H172" s="17"/>
      <c r="I172" s="17"/>
      <c r="J172" s="17"/>
      <c r="K172" s="17"/>
      <c r="L172" s="17"/>
      <c r="M172" s="17"/>
    </row>
    <row r="173">
      <c r="A173" s="17"/>
      <c r="C173" s="17"/>
      <c r="D173" s="17"/>
      <c r="E173" s="17"/>
      <c r="F173" s="17"/>
      <c r="G173" s="17"/>
      <c r="H173" s="17"/>
      <c r="I173" s="17"/>
      <c r="J173" s="17"/>
      <c r="K173" s="17"/>
      <c r="L173" s="17"/>
      <c r="M173" s="17"/>
    </row>
    <row r="174">
      <c r="A174" s="17"/>
      <c r="C174" s="17"/>
      <c r="D174" s="17"/>
      <c r="E174" s="17"/>
      <c r="F174" s="17"/>
      <c r="G174" s="17"/>
      <c r="H174" s="17"/>
      <c r="I174" s="17"/>
      <c r="J174" s="17"/>
      <c r="K174" s="17"/>
      <c r="L174" s="17"/>
      <c r="M174" s="17"/>
    </row>
    <row r="175">
      <c r="A175" s="17"/>
      <c r="C175" s="17"/>
      <c r="D175" s="17"/>
      <c r="E175" s="17"/>
      <c r="F175" s="17"/>
      <c r="G175" s="17"/>
      <c r="H175" s="17"/>
      <c r="I175" s="17"/>
      <c r="J175" s="17"/>
      <c r="K175" s="17"/>
      <c r="L175" s="17"/>
      <c r="M175" s="17"/>
    </row>
    <row r="176">
      <c r="A176" s="17"/>
      <c r="C176" s="17"/>
      <c r="D176" s="17"/>
      <c r="E176" s="17"/>
      <c r="F176" s="17"/>
      <c r="G176" s="17"/>
      <c r="H176" s="17"/>
      <c r="I176" s="17"/>
      <c r="J176" s="17"/>
      <c r="K176" s="17"/>
      <c r="L176" s="17"/>
      <c r="M176" s="17"/>
    </row>
    <row r="177">
      <c r="A177" s="17"/>
      <c r="C177" s="17"/>
      <c r="D177" s="17"/>
      <c r="E177" s="17"/>
      <c r="F177" s="17"/>
      <c r="G177" s="17"/>
      <c r="H177" s="17"/>
      <c r="I177" s="17"/>
      <c r="J177" s="17"/>
      <c r="K177" s="17"/>
      <c r="L177" s="17"/>
      <c r="M177" s="17"/>
    </row>
    <row r="178">
      <c r="A178" s="17"/>
      <c r="C178" s="17"/>
      <c r="D178" s="17"/>
      <c r="E178" s="17"/>
      <c r="F178" s="17"/>
      <c r="G178" s="17"/>
      <c r="H178" s="17"/>
      <c r="I178" s="17"/>
      <c r="J178" s="17"/>
      <c r="K178" s="17"/>
      <c r="L178" s="17"/>
      <c r="M178" s="17"/>
    </row>
    <row r="179">
      <c r="A179" s="17"/>
      <c r="C179" s="17"/>
      <c r="D179" s="17"/>
      <c r="E179" s="17"/>
      <c r="F179" s="17"/>
      <c r="G179" s="17"/>
      <c r="H179" s="17"/>
      <c r="I179" s="17"/>
      <c r="J179" s="17"/>
      <c r="K179" s="17"/>
      <c r="L179" s="17"/>
      <c r="M179" s="17"/>
    </row>
    <row r="180">
      <c r="A180" s="17"/>
      <c r="C180" s="17"/>
      <c r="D180" s="17"/>
      <c r="E180" s="17"/>
      <c r="F180" s="17"/>
      <c r="G180" s="17"/>
      <c r="H180" s="17"/>
      <c r="I180" s="17"/>
      <c r="J180" s="17"/>
      <c r="K180" s="17"/>
      <c r="L180" s="17"/>
      <c r="M180" s="17"/>
    </row>
    <row r="181">
      <c r="A181" s="17"/>
      <c r="C181" s="17"/>
      <c r="D181" s="17"/>
      <c r="E181" s="17"/>
      <c r="F181" s="17"/>
      <c r="G181" s="17"/>
      <c r="H181" s="17"/>
      <c r="I181" s="17"/>
      <c r="J181" s="17"/>
      <c r="K181" s="17"/>
      <c r="L181" s="17"/>
      <c r="M181" s="17"/>
    </row>
    <row r="182">
      <c r="A182" s="17"/>
      <c r="C182" s="17"/>
      <c r="D182" s="17"/>
      <c r="E182" s="17"/>
      <c r="F182" s="17"/>
      <c r="G182" s="17"/>
      <c r="H182" s="17"/>
      <c r="I182" s="17"/>
      <c r="J182" s="17"/>
      <c r="K182" s="17"/>
      <c r="L182" s="17"/>
      <c r="M182" s="17"/>
    </row>
    <row r="183">
      <c r="A183" s="17"/>
      <c r="C183" s="17"/>
      <c r="D183" s="17"/>
      <c r="E183" s="17"/>
      <c r="F183" s="17"/>
      <c r="G183" s="17"/>
      <c r="H183" s="17"/>
      <c r="I183" s="17"/>
      <c r="J183" s="17"/>
      <c r="K183" s="17"/>
      <c r="L183" s="17"/>
      <c r="M183" s="17"/>
    </row>
    <row r="184">
      <c r="A184" s="17"/>
      <c r="C184" s="17"/>
      <c r="D184" s="17"/>
      <c r="E184" s="17"/>
      <c r="F184" s="17"/>
      <c r="G184" s="17"/>
      <c r="H184" s="17"/>
      <c r="I184" s="17"/>
      <c r="J184" s="17"/>
      <c r="K184" s="17"/>
      <c r="L184" s="17"/>
      <c r="M184" s="17"/>
    </row>
    <row r="185">
      <c r="A185" s="17"/>
      <c r="C185" s="17"/>
      <c r="D185" s="17"/>
      <c r="E185" s="17"/>
      <c r="F185" s="17"/>
      <c r="G185" s="17"/>
      <c r="H185" s="17"/>
      <c r="I185" s="17"/>
      <c r="J185" s="17"/>
      <c r="K185" s="17"/>
      <c r="L185" s="17"/>
      <c r="M185" s="17"/>
    </row>
    <row r="186">
      <c r="A186" s="17"/>
      <c r="C186" s="17"/>
      <c r="D186" s="17"/>
      <c r="E186" s="17"/>
      <c r="F186" s="17"/>
      <c r="G186" s="17"/>
      <c r="H186" s="17"/>
      <c r="I186" s="17"/>
      <c r="J186" s="17"/>
      <c r="K186" s="17"/>
      <c r="L186" s="17"/>
      <c r="M186" s="17"/>
    </row>
    <row r="187">
      <c r="A187" s="17"/>
      <c r="C187" s="17"/>
      <c r="D187" s="17"/>
      <c r="E187" s="17"/>
      <c r="F187" s="17"/>
      <c r="G187" s="17"/>
      <c r="H187" s="17"/>
      <c r="I187" s="17"/>
      <c r="J187" s="17"/>
      <c r="K187" s="17"/>
      <c r="L187" s="17"/>
      <c r="M187" s="17"/>
    </row>
    <row r="188">
      <c r="A188" s="17"/>
      <c r="C188" s="17"/>
      <c r="D188" s="17"/>
      <c r="E188" s="17"/>
      <c r="F188" s="17"/>
      <c r="G188" s="17"/>
      <c r="H188" s="17"/>
      <c r="I188" s="17"/>
      <c r="J188" s="17"/>
      <c r="K188" s="17"/>
      <c r="L188" s="17"/>
      <c r="M188" s="17"/>
    </row>
    <row r="189">
      <c r="A189" s="17"/>
      <c r="C189" s="17"/>
      <c r="D189" s="17"/>
      <c r="E189" s="17"/>
      <c r="F189" s="17"/>
      <c r="G189" s="17"/>
      <c r="H189" s="17"/>
      <c r="I189" s="17"/>
      <c r="J189" s="17"/>
      <c r="K189" s="17"/>
      <c r="L189" s="17"/>
      <c r="M189" s="17"/>
    </row>
    <row r="190">
      <c r="A190" s="17"/>
      <c r="C190" s="17"/>
      <c r="D190" s="17"/>
      <c r="E190" s="17"/>
      <c r="F190" s="17"/>
      <c r="G190" s="17"/>
      <c r="H190" s="17"/>
      <c r="I190" s="17"/>
      <c r="J190" s="17"/>
      <c r="K190" s="17"/>
      <c r="L190" s="17"/>
      <c r="M190" s="17"/>
    </row>
    <row r="191">
      <c r="A191" s="17"/>
      <c r="C191" s="17"/>
      <c r="D191" s="17"/>
      <c r="E191" s="17"/>
      <c r="F191" s="17"/>
      <c r="G191" s="17"/>
      <c r="H191" s="17"/>
      <c r="I191" s="17"/>
      <c r="J191" s="17"/>
      <c r="K191" s="17"/>
      <c r="L191" s="17"/>
      <c r="M191" s="17"/>
    </row>
    <row r="192">
      <c r="A192" s="17"/>
      <c r="C192" s="17"/>
      <c r="D192" s="17"/>
      <c r="E192" s="17"/>
      <c r="F192" s="17"/>
      <c r="G192" s="17"/>
      <c r="H192" s="17"/>
      <c r="I192" s="17"/>
      <c r="J192" s="17"/>
      <c r="K192" s="17"/>
      <c r="L192" s="17"/>
      <c r="M192" s="17"/>
    </row>
    <row r="193">
      <c r="A193" s="17"/>
      <c r="C193" s="17"/>
      <c r="D193" s="17"/>
      <c r="E193" s="17"/>
      <c r="F193" s="17"/>
      <c r="G193" s="17"/>
      <c r="H193" s="17"/>
      <c r="I193" s="17"/>
      <c r="J193" s="17"/>
      <c r="K193" s="17"/>
      <c r="L193" s="17"/>
      <c r="M193" s="17"/>
    </row>
    <row r="194">
      <c r="A194" s="17"/>
      <c r="C194" s="17"/>
      <c r="D194" s="17"/>
      <c r="E194" s="17"/>
      <c r="F194" s="17"/>
      <c r="G194" s="17"/>
      <c r="H194" s="17"/>
      <c r="I194" s="17"/>
      <c r="J194" s="17"/>
      <c r="K194" s="17"/>
      <c r="L194" s="17"/>
      <c r="M194" s="17"/>
    </row>
    <row r="195">
      <c r="A195" s="17"/>
      <c r="C195" s="17"/>
      <c r="D195" s="17"/>
      <c r="E195" s="17"/>
      <c r="F195" s="17"/>
      <c r="G195" s="17"/>
      <c r="H195" s="17"/>
      <c r="I195" s="17"/>
      <c r="J195" s="17"/>
      <c r="K195" s="17"/>
      <c r="L195" s="17"/>
      <c r="M195" s="17"/>
    </row>
    <row r="196">
      <c r="A196" s="17"/>
      <c r="C196" s="17"/>
      <c r="D196" s="17"/>
      <c r="E196" s="17"/>
      <c r="F196" s="17"/>
      <c r="G196" s="17"/>
      <c r="H196" s="17"/>
      <c r="I196" s="17"/>
      <c r="J196" s="17"/>
      <c r="K196" s="17"/>
      <c r="L196" s="17"/>
      <c r="M196" s="17"/>
    </row>
    <row r="197">
      <c r="A197" s="17"/>
      <c r="C197" s="17"/>
      <c r="D197" s="17"/>
      <c r="E197" s="17"/>
      <c r="F197" s="17"/>
      <c r="G197" s="17"/>
      <c r="H197" s="17"/>
      <c r="I197" s="17"/>
      <c r="J197" s="17"/>
      <c r="K197" s="17"/>
      <c r="L197" s="17"/>
      <c r="M197" s="17"/>
    </row>
    <row r="198">
      <c r="A198" s="17"/>
      <c r="C198" s="17"/>
      <c r="D198" s="17"/>
      <c r="E198" s="17"/>
      <c r="F198" s="17"/>
      <c r="G198" s="17"/>
      <c r="H198" s="17"/>
      <c r="I198" s="17"/>
      <c r="J198" s="17"/>
      <c r="K198" s="17"/>
      <c r="L198" s="17"/>
      <c r="M198" s="17"/>
    </row>
    <row r="199">
      <c r="A199" s="17"/>
      <c r="C199" s="17"/>
      <c r="D199" s="17"/>
      <c r="E199" s="17"/>
      <c r="F199" s="17"/>
      <c r="G199" s="17"/>
      <c r="H199" s="17"/>
      <c r="I199" s="17"/>
      <c r="J199" s="17"/>
      <c r="K199" s="17"/>
      <c r="L199" s="17"/>
      <c r="M199" s="17"/>
    </row>
    <row r="200">
      <c r="A200" s="17"/>
      <c r="C200" s="17"/>
      <c r="D200" s="17"/>
      <c r="E200" s="17"/>
      <c r="F200" s="17"/>
      <c r="G200" s="17"/>
      <c r="H200" s="17"/>
      <c r="I200" s="17"/>
      <c r="J200" s="17"/>
      <c r="K200" s="17"/>
      <c r="L200" s="17"/>
      <c r="M200" s="17"/>
    </row>
    <row r="201">
      <c r="A201" s="17"/>
      <c r="C201" s="17"/>
      <c r="D201" s="17"/>
      <c r="E201" s="17"/>
      <c r="F201" s="17"/>
      <c r="G201" s="17"/>
      <c r="H201" s="17"/>
      <c r="I201" s="17"/>
      <c r="J201" s="17"/>
      <c r="K201" s="17"/>
      <c r="L201" s="17"/>
      <c r="M201" s="17"/>
    </row>
    <row r="202">
      <c r="A202" s="17"/>
      <c r="C202" s="17"/>
      <c r="D202" s="17"/>
      <c r="E202" s="17"/>
      <c r="F202" s="17"/>
      <c r="G202" s="17"/>
      <c r="H202" s="17"/>
      <c r="I202" s="17"/>
      <c r="J202" s="17"/>
      <c r="K202" s="17"/>
      <c r="L202" s="17"/>
      <c r="M202" s="17"/>
    </row>
    <row r="203">
      <c r="A203" s="17"/>
      <c r="C203" s="17"/>
      <c r="D203" s="17"/>
      <c r="E203" s="17"/>
      <c r="F203" s="17"/>
      <c r="G203" s="17"/>
      <c r="H203" s="17"/>
      <c r="I203" s="17"/>
      <c r="J203" s="17"/>
      <c r="K203" s="17"/>
      <c r="L203" s="17"/>
      <c r="M203" s="17"/>
    </row>
    <row r="204">
      <c r="A204" s="17"/>
      <c r="C204" s="17"/>
      <c r="D204" s="17"/>
      <c r="E204" s="17"/>
      <c r="F204" s="17"/>
      <c r="G204" s="17"/>
      <c r="H204" s="17"/>
      <c r="I204" s="17"/>
      <c r="J204" s="17"/>
      <c r="K204" s="17"/>
      <c r="L204" s="17"/>
      <c r="M204" s="17"/>
    </row>
    <row r="205">
      <c r="A205" s="17"/>
      <c r="C205" s="17"/>
      <c r="D205" s="17"/>
      <c r="E205" s="17"/>
      <c r="F205" s="17"/>
      <c r="G205" s="17"/>
      <c r="H205" s="17"/>
      <c r="I205" s="17"/>
      <c r="J205" s="17"/>
      <c r="K205" s="17"/>
      <c r="L205" s="17"/>
      <c r="M205" s="17"/>
    </row>
    <row r="206">
      <c r="A206" s="17"/>
      <c r="C206" s="17"/>
      <c r="D206" s="17"/>
      <c r="E206" s="17"/>
      <c r="F206" s="17"/>
      <c r="G206" s="17"/>
      <c r="H206" s="17"/>
      <c r="I206" s="17"/>
      <c r="J206" s="17"/>
      <c r="K206" s="17"/>
      <c r="L206" s="17"/>
      <c r="M206" s="17"/>
    </row>
    <row r="207">
      <c r="A207" s="17"/>
      <c r="C207" s="17"/>
      <c r="D207" s="17"/>
      <c r="E207" s="17"/>
      <c r="F207" s="17"/>
      <c r="G207" s="17"/>
      <c r="H207" s="17"/>
      <c r="I207" s="17"/>
      <c r="J207" s="17"/>
      <c r="K207" s="17"/>
      <c r="L207" s="17"/>
      <c r="M207" s="17"/>
    </row>
    <row r="208">
      <c r="A208" s="17"/>
      <c r="C208" s="17"/>
      <c r="D208" s="17"/>
      <c r="E208" s="17"/>
      <c r="F208" s="17"/>
      <c r="G208" s="17"/>
      <c r="H208" s="17"/>
      <c r="I208" s="17"/>
      <c r="J208" s="17"/>
      <c r="K208" s="17"/>
      <c r="L208" s="17"/>
      <c r="M208" s="17"/>
    </row>
    <row r="209">
      <c r="A209" s="17"/>
      <c r="C209" s="17"/>
      <c r="D209" s="17"/>
      <c r="E209" s="17"/>
      <c r="F209" s="17"/>
      <c r="G209" s="17"/>
      <c r="H209" s="17"/>
      <c r="I209" s="17"/>
      <c r="J209" s="17"/>
      <c r="K209" s="17"/>
      <c r="L209" s="17"/>
      <c r="M209" s="17"/>
    </row>
    <row r="210">
      <c r="A210" s="17"/>
      <c r="C210" s="17"/>
      <c r="D210" s="17"/>
      <c r="E210" s="17"/>
      <c r="F210" s="17"/>
      <c r="G210" s="17"/>
      <c r="H210" s="17"/>
      <c r="I210" s="17"/>
      <c r="J210" s="17"/>
      <c r="K210" s="17"/>
      <c r="L210" s="17"/>
      <c r="M210" s="17"/>
    </row>
    <row r="211">
      <c r="A211" s="17"/>
      <c r="C211" s="17"/>
      <c r="D211" s="17"/>
      <c r="E211" s="17"/>
      <c r="F211" s="17"/>
      <c r="G211" s="17"/>
      <c r="H211" s="17"/>
      <c r="I211" s="17"/>
      <c r="J211" s="17"/>
      <c r="K211" s="17"/>
      <c r="L211" s="17"/>
      <c r="M211" s="17"/>
    </row>
    <row r="212">
      <c r="A212" s="17"/>
      <c r="C212" s="17"/>
      <c r="D212" s="17"/>
      <c r="E212" s="17"/>
      <c r="F212" s="17"/>
      <c r="G212" s="17"/>
      <c r="H212" s="17"/>
      <c r="I212" s="17"/>
      <c r="J212" s="17"/>
      <c r="K212" s="17"/>
      <c r="L212" s="17"/>
      <c r="M212" s="17"/>
    </row>
    <row r="213">
      <c r="A213" s="17"/>
      <c r="C213" s="17"/>
      <c r="D213" s="17"/>
      <c r="E213" s="17"/>
      <c r="F213" s="17"/>
      <c r="G213" s="17"/>
      <c r="H213" s="17"/>
      <c r="I213" s="17"/>
      <c r="J213" s="17"/>
      <c r="K213" s="17"/>
      <c r="L213" s="17"/>
      <c r="M213" s="17"/>
    </row>
    <row r="214">
      <c r="A214" s="17"/>
      <c r="C214" s="17"/>
      <c r="D214" s="17"/>
      <c r="E214" s="17"/>
      <c r="F214" s="17"/>
      <c r="G214" s="17"/>
      <c r="H214" s="17"/>
      <c r="I214" s="17"/>
      <c r="J214" s="17"/>
      <c r="K214" s="17"/>
      <c r="L214" s="17"/>
      <c r="M214" s="17"/>
    </row>
    <row r="215">
      <c r="A215" s="17"/>
      <c r="C215" s="17"/>
      <c r="D215" s="17"/>
      <c r="E215" s="17"/>
      <c r="F215" s="17"/>
      <c r="G215" s="17"/>
      <c r="H215" s="17"/>
      <c r="I215" s="17"/>
      <c r="J215" s="17"/>
      <c r="K215" s="17"/>
      <c r="L215" s="17"/>
      <c r="M215" s="17"/>
    </row>
    <row r="216">
      <c r="A216" s="17"/>
      <c r="C216" s="17"/>
      <c r="D216" s="17"/>
      <c r="E216" s="17"/>
      <c r="F216" s="17"/>
      <c r="G216" s="17"/>
      <c r="H216" s="17"/>
      <c r="I216" s="17"/>
      <c r="J216" s="17"/>
      <c r="K216" s="17"/>
      <c r="L216" s="17"/>
      <c r="M216" s="17"/>
    </row>
    <row r="217">
      <c r="A217" s="17"/>
      <c r="C217" s="17"/>
      <c r="D217" s="17"/>
      <c r="E217" s="17"/>
      <c r="F217" s="17"/>
      <c r="G217" s="17"/>
      <c r="H217" s="17"/>
      <c r="I217" s="17"/>
      <c r="J217" s="17"/>
      <c r="K217" s="17"/>
      <c r="L217" s="17"/>
      <c r="M217" s="17"/>
    </row>
    <row r="218">
      <c r="A218" s="17"/>
      <c r="C218" s="17"/>
      <c r="D218" s="17"/>
      <c r="E218" s="17"/>
      <c r="F218" s="17"/>
      <c r="G218" s="17"/>
      <c r="H218" s="17"/>
      <c r="I218" s="17"/>
      <c r="J218" s="17"/>
      <c r="K218" s="17"/>
      <c r="L218" s="17"/>
      <c r="M218" s="17"/>
    </row>
    <row r="219">
      <c r="A219" s="17"/>
      <c r="C219" s="17"/>
      <c r="D219" s="17"/>
      <c r="E219" s="17"/>
      <c r="F219" s="17"/>
      <c r="G219" s="17"/>
      <c r="H219" s="17"/>
      <c r="I219" s="17"/>
      <c r="J219" s="17"/>
      <c r="K219" s="17"/>
      <c r="L219" s="17"/>
      <c r="M219" s="17"/>
    </row>
    <row r="220">
      <c r="A220" s="17"/>
      <c r="C220" s="17"/>
      <c r="D220" s="17"/>
      <c r="E220" s="17"/>
      <c r="F220" s="17"/>
      <c r="G220" s="17"/>
      <c r="H220" s="17"/>
      <c r="I220" s="17"/>
      <c r="J220" s="17"/>
      <c r="K220" s="17"/>
      <c r="L220" s="17"/>
      <c r="M220" s="17"/>
    </row>
    <row r="221">
      <c r="A221" s="17"/>
      <c r="C221" s="17"/>
      <c r="D221" s="17"/>
      <c r="E221" s="17"/>
      <c r="F221" s="17"/>
      <c r="G221" s="17"/>
      <c r="H221" s="17"/>
      <c r="I221" s="17"/>
      <c r="J221" s="17"/>
      <c r="K221" s="17"/>
      <c r="L221" s="17"/>
      <c r="M221" s="17"/>
    </row>
    <row r="222">
      <c r="A222" s="17"/>
      <c r="C222" s="17"/>
      <c r="D222" s="17"/>
      <c r="E222" s="17"/>
      <c r="F222" s="17"/>
      <c r="G222" s="17"/>
      <c r="H222" s="17"/>
      <c r="I222" s="17"/>
      <c r="J222" s="17"/>
      <c r="K222" s="17"/>
      <c r="L222" s="17"/>
      <c r="M222" s="17"/>
    </row>
    <row r="223">
      <c r="A223" s="17"/>
      <c r="C223" s="17"/>
      <c r="D223" s="17"/>
      <c r="E223" s="17"/>
      <c r="F223" s="17"/>
      <c r="G223" s="17"/>
      <c r="H223" s="17"/>
      <c r="I223" s="17"/>
      <c r="J223" s="17"/>
      <c r="K223" s="17"/>
      <c r="L223" s="17"/>
      <c r="M223" s="17"/>
    </row>
    <row r="224">
      <c r="A224" s="17"/>
      <c r="C224" s="17"/>
      <c r="D224" s="17"/>
      <c r="E224" s="17"/>
      <c r="F224" s="17"/>
      <c r="G224" s="17"/>
      <c r="H224" s="17"/>
      <c r="I224" s="17"/>
      <c r="J224" s="17"/>
      <c r="K224" s="17"/>
      <c r="L224" s="17"/>
      <c r="M224" s="17"/>
    </row>
    <row r="225">
      <c r="A225" s="17"/>
      <c r="C225" s="17"/>
      <c r="D225" s="17"/>
      <c r="E225" s="17"/>
      <c r="F225" s="17"/>
      <c r="G225" s="17"/>
      <c r="H225" s="17"/>
      <c r="I225" s="17"/>
      <c r="J225" s="17"/>
      <c r="K225" s="17"/>
      <c r="L225" s="17"/>
      <c r="M225" s="17"/>
    </row>
    <row r="226">
      <c r="A226" s="17"/>
      <c r="C226" s="17"/>
      <c r="D226" s="17"/>
      <c r="E226" s="17"/>
      <c r="F226" s="17"/>
      <c r="G226" s="17"/>
      <c r="H226" s="17"/>
      <c r="I226" s="17"/>
      <c r="J226" s="17"/>
      <c r="K226" s="17"/>
      <c r="L226" s="17"/>
      <c r="M226" s="17"/>
    </row>
    <row r="227">
      <c r="A227" s="17"/>
      <c r="C227" s="17"/>
      <c r="D227" s="17"/>
      <c r="E227" s="17"/>
      <c r="F227" s="17"/>
      <c r="G227" s="17"/>
      <c r="H227" s="17"/>
      <c r="I227" s="17"/>
      <c r="J227" s="17"/>
      <c r="K227" s="17"/>
      <c r="L227" s="17"/>
      <c r="M227" s="17"/>
    </row>
    <row r="228">
      <c r="A228" s="17"/>
      <c r="C228" s="17"/>
      <c r="D228" s="17"/>
      <c r="E228" s="17"/>
      <c r="F228" s="17"/>
      <c r="G228" s="17"/>
      <c r="H228" s="17"/>
      <c r="I228" s="17"/>
      <c r="J228" s="17"/>
      <c r="K228" s="17"/>
      <c r="L228" s="17"/>
      <c r="M228" s="17"/>
    </row>
    <row r="229">
      <c r="A229" s="17"/>
      <c r="C229" s="17"/>
      <c r="D229" s="17"/>
      <c r="E229" s="17"/>
      <c r="F229" s="17"/>
      <c r="G229" s="17"/>
      <c r="H229" s="17"/>
      <c r="I229" s="17"/>
      <c r="J229" s="17"/>
      <c r="K229" s="17"/>
      <c r="L229" s="17"/>
      <c r="M229" s="17"/>
    </row>
    <row r="230">
      <c r="A230" s="17"/>
      <c r="C230" s="17"/>
      <c r="D230" s="17"/>
      <c r="E230" s="17"/>
      <c r="F230" s="17"/>
      <c r="G230" s="17"/>
      <c r="H230" s="17"/>
      <c r="I230" s="17"/>
      <c r="J230" s="17"/>
      <c r="K230" s="17"/>
      <c r="L230" s="17"/>
      <c r="M230" s="17"/>
    </row>
    <row r="231">
      <c r="A231" s="17"/>
      <c r="C231" s="17"/>
      <c r="D231" s="17"/>
      <c r="E231" s="17"/>
      <c r="F231" s="17"/>
      <c r="G231" s="17"/>
      <c r="H231" s="17"/>
      <c r="I231" s="17"/>
      <c r="J231" s="17"/>
      <c r="K231" s="17"/>
      <c r="L231" s="17"/>
      <c r="M231" s="17"/>
    </row>
    <row r="232">
      <c r="A232" s="17"/>
      <c r="C232" s="17"/>
      <c r="D232" s="17"/>
      <c r="E232" s="17"/>
      <c r="F232" s="17"/>
      <c r="G232" s="17"/>
      <c r="H232" s="17"/>
      <c r="I232" s="17"/>
      <c r="J232" s="17"/>
      <c r="K232" s="17"/>
      <c r="L232" s="17"/>
      <c r="M232" s="17"/>
    </row>
    <row r="233">
      <c r="A233" s="17"/>
      <c r="C233" s="17"/>
      <c r="D233" s="17"/>
      <c r="E233" s="17"/>
      <c r="F233" s="17"/>
      <c r="G233" s="17"/>
      <c r="H233" s="17"/>
      <c r="I233" s="17"/>
      <c r="J233" s="17"/>
      <c r="K233" s="17"/>
      <c r="L233" s="17"/>
      <c r="M233" s="17"/>
    </row>
    <row r="234">
      <c r="A234" s="17"/>
      <c r="C234" s="17"/>
      <c r="D234" s="17"/>
      <c r="E234" s="17"/>
      <c r="F234" s="17"/>
      <c r="G234" s="17"/>
      <c r="H234" s="17"/>
      <c r="I234" s="17"/>
      <c r="J234" s="17"/>
      <c r="K234" s="17"/>
      <c r="L234" s="17"/>
      <c r="M234" s="17"/>
    </row>
    <row r="235">
      <c r="A235" s="17"/>
      <c r="C235" s="17"/>
      <c r="D235" s="17"/>
      <c r="E235" s="17"/>
      <c r="F235" s="17"/>
      <c r="G235" s="17"/>
      <c r="H235" s="17"/>
      <c r="I235" s="17"/>
      <c r="J235" s="17"/>
      <c r="K235" s="17"/>
      <c r="L235" s="17"/>
      <c r="M235" s="17"/>
    </row>
    <row r="236">
      <c r="A236" s="17"/>
      <c r="C236" s="17"/>
      <c r="D236" s="17"/>
      <c r="E236" s="17"/>
      <c r="F236" s="17"/>
      <c r="G236" s="17"/>
      <c r="H236" s="17"/>
      <c r="I236" s="17"/>
      <c r="J236" s="17"/>
      <c r="K236" s="17"/>
      <c r="L236" s="17"/>
      <c r="M236" s="17"/>
    </row>
    <row r="237">
      <c r="A237" s="17"/>
      <c r="C237" s="17"/>
      <c r="D237" s="17"/>
      <c r="E237" s="17"/>
      <c r="F237" s="17"/>
      <c r="G237" s="17"/>
      <c r="H237" s="17"/>
      <c r="I237" s="17"/>
      <c r="J237" s="17"/>
      <c r="K237" s="17"/>
      <c r="L237" s="17"/>
      <c r="M237" s="17"/>
    </row>
    <row r="238">
      <c r="A238" s="17"/>
      <c r="C238" s="17"/>
      <c r="D238" s="17"/>
      <c r="E238" s="17"/>
      <c r="F238" s="17"/>
      <c r="G238" s="17"/>
      <c r="H238" s="17"/>
      <c r="I238" s="17"/>
      <c r="J238" s="17"/>
      <c r="K238" s="17"/>
      <c r="L238" s="17"/>
      <c r="M238" s="17"/>
    </row>
    <row r="239">
      <c r="A239" s="17"/>
      <c r="C239" s="17"/>
      <c r="D239" s="17"/>
      <c r="E239" s="17"/>
      <c r="F239" s="17"/>
      <c r="G239" s="17"/>
      <c r="H239" s="17"/>
      <c r="I239" s="17"/>
      <c r="J239" s="17"/>
      <c r="K239" s="17"/>
      <c r="L239" s="17"/>
      <c r="M239" s="17"/>
    </row>
    <row r="240">
      <c r="A240" s="17"/>
      <c r="C240" s="17"/>
      <c r="D240" s="17"/>
      <c r="E240" s="17"/>
      <c r="F240" s="17"/>
      <c r="G240" s="17"/>
      <c r="H240" s="17"/>
      <c r="I240" s="17"/>
      <c r="J240" s="17"/>
      <c r="K240" s="17"/>
      <c r="L240" s="17"/>
      <c r="M240" s="17"/>
    </row>
    <row r="241">
      <c r="A241" s="17"/>
      <c r="C241" s="17"/>
      <c r="D241" s="17"/>
      <c r="E241" s="17"/>
      <c r="F241" s="17"/>
      <c r="G241" s="17"/>
      <c r="H241" s="17"/>
      <c r="I241" s="17"/>
      <c r="J241" s="17"/>
      <c r="K241" s="17"/>
      <c r="L241" s="17"/>
      <c r="M241" s="17"/>
    </row>
    <row r="242">
      <c r="A242" s="17"/>
      <c r="C242" s="17"/>
      <c r="D242" s="17"/>
      <c r="E242" s="17"/>
      <c r="F242" s="17"/>
      <c r="G242" s="17"/>
      <c r="H242" s="17"/>
      <c r="I242" s="17"/>
      <c r="J242" s="17"/>
      <c r="K242" s="17"/>
      <c r="L242" s="17"/>
      <c r="M242" s="17"/>
    </row>
    <row r="243">
      <c r="A243" s="17"/>
      <c r="C243" s="17"/>
      <c r="D243" s="17"/>
      <c r="E243" s="17"/>
      <c r="F243" s="17"/>
      <c r="G243" s="17"/>
      <c r="H243" s="17"/>
      <c r="I243" s="17"/>
      <c r="J243" s="17"/>
      <c r="K243" s="17"/>
      <c r="L243" s="17"/>
      <c r="M243" s="17"/>
    </row>
    <row r="244">
      <c r="A244" s="17"/>
      <c r="C244" s="17"/>
      <c r="D244" s="17"/>
      <c r="E244" s="17"/>
      <c r="F244" s="17"/>
      <c r="G244" s="17"/>
      <c r="H244" s="17"/>
      <c r="I244" s="17"/>
      <c r="J244" s="17"/>
      <c r="K244" s="17"/>
      <c r="L244" s="17"/>
      <c r="M244" s="17"/>
    </row>
    <row r="245">
      <c r="A245" s="17"/>
      <c r="C245" s="17"/>
      <c r="D245" s="17"/>
      <c r="E245" s="17"/>
      <c r="F245" s="17"/>
      <c r="G245" s="17"/>
      <c r="H245" s="17"/>
      <c r="I245" s="17"/>
      <c r="J245" s="17"/>
      <c r="K245" s="17"/>
      <c r="L245" s="17"/>
      <c r="M245" s="17"/>
    </row>
    <row r="246">
      <c r="A246" s="17"/>
      <c r="C246" s="17"/>
      <c r="D246" s="17"/>
      <c r="E246" s="17"/>
      <c r="F246" s="17"/>
      <c r="G246" s="17"/>
      <c r="H246" s="17"/>
      <c r="I246" s="17"/>
      <c r="J246" s="17"/>
      <c r="K246" s="17"/>
      <c r="L246" s="17"/>
      <c r="M246" s="17"/>
    </row>
    <row r="247">
      <c r="A247" s="17"/>
      <c r="C247" s="17"/>
      <c r="D247" s="17"/>
      <c r="E247" s="17"/>
      <c r="F247" s="17"/>
      <c r="G247" s="17"/>
      <c r="H247" s="17"/>
      <c r="I247" s="17"/>
      <c r="J247" s="17"/>
      <c r="K247" s="17"/>
      <c r="L247" s="17"/>
      <c r="M247" s="17"/>
    </row>
    <row r="248">
      <c r="A248" s="17"/>
      <c r="C248" s="17"/>
      <c r="D248" s="17"/>
      <c r="E248" s="17"/>
      <c r="F248" s="17"/>
      <c r="G248" s="17"/>
      <c r="H248" s="17"/>
      <c r="I248" s="17"/>
      <c r="J248" s="17"/>
      <c r="K248" s="17"/>
      <c r="L248" s="17"/>
      <c r="M248" s="17"/>
    </row>
    <row r="249">
      <c r="A249" s="17"/>
      <c r="C249" s="17"/>
      <c r="D249" s="17"/>
      <c r="E249" s="17"/>
      <c r="F249" s="17"/>
      <c r="G249" s="17"/>
      <c r="H249" s="17"/>
      <c r="I249" s="17"/>
      <c r="J249" s="17"/>
      <c r="K249" s="17"/>
      <c r="L249" s="17"/>
      <c r="M249" s="17"/>
    </row>
    <row r="250">
      <c r="A250" s="17"/>
      <c r="C250" s="17"/>
      <c r="D250" s="17"/>
      <c r="E250" s="17"/>
      <c r="F250" s="17"/>
      <c r="G250" s="17"/>
      <c r="H250" s="17"/>
      <c r="I250" s="17"/>
      <c r="J250" s="17"/>
      <c r="K250" s="17"/>
      <c r="L250" s="17"/>
      <c r="M250" s="17"/>
    </row>
    <row r="251">
      <c r="A251" s="17"/>
      <c r="C251" s="17"/>
      <c r="D251" s="17"/>
      <c r="E251" s="17"/>
      <c r="F251" s="17"/>
      <c r="G251" s="17"/>
      <c r="H251" s="17"/>
      <c r="I251" s="17"/>
      <c r="J251" s="17"/>
      <c r="K251" s="17"/>
      <c r="L251" s="17"/>
      <c r="M251" s="17"/>
    </row>
    <row r="252">
      <c r="A252" s="17"/>
      <c r="C252" s="17"/>
      <c r="D252" s="17"/>
      <c r="E252" s="17"/>
      <c r="F252" s="17"/>
      <c r="G252" s="17"/>
      <c r="H252" s="17"/>
      <c r="I252" s="17"/>
      <c r="J252" s="17"/>
      <c r="K252" s="17"/>
      <c r="L252" s="17"/>
      <c r="M252" s="17"/>
    </row>
    <row r="253">
      <c r="A253" s="17"/>
      <c r="C253" s="17"/>
      <c r="D253" s="17"/>
      <c r="E253" s="17"/>
      <c r="F253" s="17"/>
      <c r="G253" s="17"/>
      <c r="H253" s="17"/>
      <c r="I253" s="17"/>
      <c r="J253" s="17"/>
      <c r="K253" s="17"/>
      <c r="L253" s="17"/>
      <c r="M253" s="17"/>
    </row>
    <row r="254">
      <c r="A254" s="17"/>
      <c r="C254" s="17"/>
      <c r="D254" s="17"/>
      <c r="E254" s="17"/>
      <c r="F254" s="17"/>
      <c r="G254" s="17"/>
      <c r="H254" s="17"/>
      <c r="I254" s="17"/>
      <c r="J254" s="17"/>
      <c r="K254" s="17"/>
      <c r="L254" s="17"/>
      <c r="M254" s="17"/>
    </row>
    <row r="255">
      <c r="A255" s="17"/>
      <c r="C255" s="17"/>
      <c r="D255" s="17"/>
      <c r="E255" s="17"/>
      <c r="F255" s="17"/>
      <c r="G255" s="17"/>
      <c r="H255" s="17"/>
      <c r="I255" s="17"/>
      <c r="J255" s="17"/>
      <c r="K255" s="17"/>
      <c r="L255" s="17"/>
      <c r="M255" s="17"/>
    </row>
    <row r="256">
      <c r="A256" s="17"/>
      <c r="C256" s="17"/>
      <c r="D256" s="17"/>
      <c r="E256" s="17"/>
      <c r="F256" s="17"/>
      <c r="G256" s="17"/>
      <c r="H256" s="17"/>
      <c r="I256" s="17"/>
      <c r="J256" s="17"/>
      <c r="K256" s="17"/>
      <c r="L256" s="17"/>
      <c r="M256" s="17"/>
    </row>
    <row r="257">
      <c r="A257" s="17"/>
      <c r="C257" s="17"/>
      <c r="D257" s="17"/>
      <c r="E257" s="17"/>
      <c r="F257" s="17"/>
      <c r="G257" s="17"/>
      <c r="H257" s="17"/>
      <c r="I257" s="17"/>
      <c r="J257" s="17"/>
      <c r="K257" s="17"/>
      <c r="L257" s="17"/>
      <c r="M257" s="17"/>
    </row>
    <row r="258">
      <c r="A258" s="17"/>
      <c r="C258" s="17"/>
      <c r="D258" s="17"/>
      <c r="E258" s="17"/>
      <c r="F258" s="17"/>
      <c r="G258" s="17"/>
      <c r="H258" s="17"/>
      <c r="I258" s="17"/>
      <c r="J258" s="17"/>
      <c r="K258" s="17"/>
      <c r="L258" s="17"/>
      <c r="M258" s="17"/>
    </row>
    <row r="259">
      <c r="A259" s="17"/>
      <c r="C259" s="17"/>
      <c r="D259" s="17"/>
      <c r="E259" s="17"/>
      <c r="F259" s="17"/>
      <c r="G259" s="17"/>
      <c r="H259" s="17"/>
      <c r="I259" s="17"/>
      <c r="J259" s="17"/>
      <c r="K259" s="17"/>
      <c r="L259" s="17"/>
      <c r="M259" s="17"/>
    </row>
    <row r="260">
      <c r="A260" s="17"/>
      <c r="C260" s="17"/>
      <c r="D260" s="17"/>
      <c r="E260" s="17"/>
      <c r="F260" s="17"/>
      <c r="G260" s="17"/>
      <c r="H260" s="17"/>
      <c r="I260" s="17"/>
      <c r="J260" s="17"/>
      <c r="K260" s="17"/>
      <c r="L260" s="17"/>
      <c r="M260" s="17"/>
    </row>
    <row r="261">
      <c r="A261" s="17"/>
      <c r="C261" s="17"/>
      <c r="D261" s="17"/>
      <c r="E261" s="17"/>
      <c r="F261" s="17"/>
      <c r="G261" s="17"/>
      <c r="H261" s="17"/>
      <c r="I261" s="17"/>
      <c r="J261" s="17"/>
      <c r="K261" s="17"/>
      <c r="L261" s="17"/>
      <c r="M261" s="17"/>
    </row>
    <row r="262">
      <c r="A262" s="17"/>
      <c r="C262" s="17"/>
      <c r="D262" s="17"/>
      <c r="E262" s="17"/>
      <c r="F262" s="17"/>
      <c r="G262" s="17"/>
      <c r="H262" s="17"/>
      <c r="I262" s="17"/>
      <c r="J262" s="17"/>
      <c r="K262" s="17"/>
      <c r="L262" s="17"/>
      <c r="M262" s="17"/>
    </row>
    <row r="263">
      <c r="A263" s="17"/>
      <c r="C263" s="17"/>
      <c r="D263" s="17"/>
      <c r="E263" s="17"/>
      <c r="F263" s="17"/>
      <c r="G263" s="17"/>
      <c r="H263" s="17"/>
      <c r="I263" s="17"/>
      <c r="J263" s="17"/>
      <c r="K263" s="17"/>
      <c r="L263" s="17"/>
      <c r="M263" s="17"/>
    </row>
    <row r="264">
      <c r="A264" s="17"/>
      <c r="C264" s="17"/>
      <c r="D264" s="17"/>
      <c r="E264" s="17"/>
      <c r="F264" s="17"/>
      <c r="G264" s="17"/>
      <c r="H264" s="17"/>
      <c r="I264" s="17"/>
      <c r="J264" s="17"/>
      <c r="K264" s="17"/>
      <c r="L264" s="17"/>
      <c r="M264" s="17"/>
    </row>
    <row r="265">
      <c r="A265" s="17"/>
      <c r="C265" s="17"/>
      <c r="D265" s="17"/>
      <c r="E265" s="17"/>
      <c r="F265" s="17"/>
      <c r="G265" s="17"/>
      <c r="H265" s="17"/>
      <c r="I265" s="17"/>
      <c r="J265" s="17"/>
      <c r="K265" s="17"/>
      <c r="L265" s="17"/>
      <c r="M265" s="17"/>
    </row>
    <row r="266">
      <c r="A266" s="17"/>
      <c r="C266" s="17"/>
      <c r="D266" s="17"/>
      <c r="E266" s="17"/>
      <c r="F266" s="17"/>
      <c r="G266" s="17"/>
      <c r="H266" s="17"/>
      <c r="I266" s="17"/>
      <c r="J266" s="17"/>
      <c r="K266" s="17"/>
      <c r="L266" s="17"/>
      <c r="M266" s="17"/>
    </row>
    <row r="267">
      <c r="A267" s="17"/>
      <c r="C267" s="17"/>
      <c r="D267" s="17"/>
      <c r="E267" s="17"/>
      <c r="F267" s="17"/>
      <c r="G267" s="17"/>
      <c r="H267" s="17"/>
      <c r="I267" s="17"/>
      <c r="J267" s="17"/>
      <c r="K267" s="17"/>
      <c r="L267" s="17"/>
      <c r="M267" s="17"/>
    </row>
    <row r="268">
      <c r="A268" s="17"/>
      <c r="C268" s="17"/>
      <c r="D268" s="17"/>
      <c r="E268" s="17"/>
      <c r="F268" s="17"/>
      <c r="G268" s="17"/>
      <c r="H268" s="17"/>
      <c r="I268" s="17"/>
      <c r="J268" s="17"/>
      <c r="K268" s="17"/>
      <c r="L268" s="17"/>
      <c r="M268" s="17"/>
    </row>
    <row r="269">
      <c r="A269" s="17"/>
      <c r="C269" s="17"/>
      <c r="D269" s="17"/>
      <c r="E269" s="17"/>
      <c r="F269" s="17"/>
      <c r="G269" s="17"/>
      <c r="H269" s="17"/>
      <c r="I269" s="17"/>
      <c r="J269" s="17"/>
      <c r="K269" s="17"/>
      <c r="L269" s="17"/>
      <c r="M269" s="17"/>
    </row>
    <row r="270">
      <c r="A270" s="17"/>
      <c r="C270" s="17"/>
      <c r="D270" s="17"/>
      <c r="E270" s="17"/>
      <c r="F270" s="17"/>
      <c r="G270" s="17"/>
      <c r="H270" s="17"/>
      <c r="I270" s="17"/>
      <c r="J270" s="17"/>
      <c r="K270" s="17"/>
      <c r="L270" s="17"/>
      <c r="M270" s="17"/>
    </row>
    <row r="271">
      <c r="A271" s="17"/>
      <c r="C271" s="17"/>
      <c r="D271" s="17"/>
      <c r="E271" s="17"/>
      <c r="F271" s="17"/>
      <c r="G271" s="17"/>
      <c r="H271" s="17"/>
      <c r="I271" s="17"/>
      <c r="J271" s="17"/>
      <c r="K271" s="17"/>
      <c r="L271" s="17"/>
      <c r="M271" s="17"/>
    </row>
    <row r="272">
      <c r="A272" s="17"/>
      <c r="C272" s="17"/>
      <c r="D272" s="17"/>
      <c r="E272" s="17"/>
      <c r="F272" s="17"/>
      <c r="G272" s="17"/>
      <c r="H272" s="17"/>
      <c r="I272" s="17"/>
      <c r="J272" s="17"/>
      <c r="K272" s="17"/>
      <c r="L272" s="17"/>
      <c r="M272" s="17"/>
    </row>
    <row r="273">
      <c r="A273" s="17"/>
      <c r="C273" s="17"/>
      <c r="D273" s="17"/>
      <c r="E273" s="17"/>
      <c r="F273" s="17"/>
      <c r="G273" s="17"/>
      <c r="H273" s="17"/>
      <c r="I273" s="17"/>
      <c r="J273" s="17"/>
      <c r="K273" s="17"/>
      <c r="L273" s="17"/>
      <c r="M273" s="17"/>
    </row>
    <row r="274">
      <c r="A274" s="17"/>
      <c r="C274" s="17"/>
      <c r="D274" s="17"/>
      <c r="E274" s="17"/>
      <c r="F274" s="17"/>
      <c r="G274" s="17"/>
      <c r="H274" s="17"/>
      <c r="I274" s="17"/>
      <c r="J274" s="17"/>
      <c r="K274" s="17"/>
      <c r="L274" s="17"/>
      <c r="M274" s="17"/>
    </row>
    <row r="275">
      <c r="A275" s="17"/>
      <c r="C275" s="17"/>
      <c r="D275" s="17"/>
      <c r="E275" s="17"/>
      <c r="F275" s="17"/>
      <c r="G275" s="17"/>
      <c r="H275" s="17"/>
      <c r="I275" s="17"/>
      <c r="J275" s="17"/>
      <c r="K275" s="17"/>
      <c r="L275" s="17"/>
      <c r="M275" s="17"/>
    </row>
    <row r="276">
      <c r="A276" s="17"/>
      <c r="C276" s="17"/>
      <c r="D276" s="17"/>
      <c r="E276" s="17"/>
      <c r="F276" s="17"/>
      <c r="G276" s="17"/>
      <c r="H276" s="17"/>
      <c r="I276" s="17"/>
      <c r="J276" s="17"/>
      <c r="K276" s="17"/>
      <c r="L276" s="17"/>
      <c r="M276" s="17"/>
    </row>
    <row r="277">
      <c r="A277" s="17"/>
      <c r="C277" s="17"/>
      <c r="D277" s="17"/>
      <c r="E277" s="17"/>
      <c r="F277" s="17"/>
      <c r="G277" s="17"/>
      <c r="H277" s="17"/>
      <c r="I277" s="17"/>
      <c r="J277" s="17"/>
      <c r="K277" s="17"/>
      <c r="L277" s="17"/>
      <c r="M277" s="17"/>
    </row>
    <row r="278">
      <c r="A278" s="17"/>
      <c r="C278" s="17"/>
      <c r="D278" s="17"/>
      <c r="E278" s="17"/>
      <c r="F278" s="17"/>
      <c r="G278" s="17"/>
      <c r="H278" s="17"/>
      <c r="I278" s="17"/>
      <c r="J278" s="17"/>
      <c r="K278" s="17"/>
      <c r="L278" s="17"/>
      <c r="M278" s="17"/>
    </row>
    <row r="279">
      <c r="A279" s="17"/>
      <c r="C279" s="17"/>
      <c r="D279" s="17"/>
      <c r="E279" s="17"/>
      <c r="F279" s="17"/>
      <c r="G279" s="17"/>
      <c r="H279" s="17"/>
      <c r="I279" s="17"/>
      <c r="J279" s="17"/>
      <c r="K279" s="17"/>
      <c r="L279" s="17"/>
      <c r="M279" s="17"/>
    </row>
    <row r="280">
      <c r="A280" s="17"/>
      <c r="C280" s="17"/>
      <c r="D280" s="17"/>
      <c r="E280" s="17"/>
      <c r="F280" s="17"/>
      <c r="G280" s="17"/>
      <c r="H280" s="17"/>
      <c r="I280" s="17"/>
      <c r="J280" s="17"/>
      <c r="K280" s="17"/>
      <c r="L280" s="17"/>
      <c r="M280" s="17"/>
    </row>
    <row r="281">
      <c r="A281" s="17"/>
      <c r="C281" s="17"/>
      <c r="D281" s="17"/>
      <c r="E281" s="17"/>
      <c r="F281" s="17"/>
      <c r="G281" s="17"/>
      <c r="H281" s="17"/>
      <c r="I281" s="17"/>
      <c r="J281" s="17"/>
      <c r="K281" s="17"/>
      <c r="L281" s="17"/>
      <c r="M281" s="17"/>
    </row>
    <row r="282">
      <c r="A282" s="17"/>
      <c r="C282" s="17"/>
      <c r="D282" s="17"/>
      <c r="E282" s="17"/>
      <c r="F282" s="17"/>
      <c r="G282" s="17"/>
      <c r="H282" s="17"/>
      <c r="I282" s="17"/>
      <c r="J282" s="17"/>
      <c r="K282" s="17"/>
      <c r="L282" s="17"/>
      <c r="M282" s="17"/>
    </row>
    <row r="283">
      <c r="A283" s="17"/>
      <c r="C283" s="17"/>
      <c r="D283" s="17"/>
      <c r="E283" s="17"/>
      <c r="F283" s="17"/>
      <c r="G283" s="17"/>
      <c r="H283" s="17"/>
      <c r="I283" s="17"/>
      <c r="J283" s="17"/>
      <c r="K283" s="17"/>
      <c r="L283" s="17"/>
      <c r="M283" s="17"/>
    </row>
    <row r="284">
      <c r="A284" s="17"/>
      <c r="C284" s="17"/>
      <c r="D284" s="17"/>
      <c r="E284" s="17"/>
      <c r="F284" s="17"/>
      <c r="G284" s="17"/>
      <c r="H284" s="17"/>
      <c r="I284" s="17"/>
      <c r="J284" s="17"/>
      <c r="K284" s="17"/>
      <c r="L284" s="17"/>
      <c r="M284" s="17"/>
    </row>
    <row r="285">
      <c r="A285" s="17"/>
      <c r="C285" s="17"/>
      <c r="D285" s="17"/>
      <c r="E285" s="17"/>
      <c r="F285" s="17"/>
      <c r="G285" s="17"/>
      <c r="H285" s="17"/>
      <c r="I285" s="17"/>
      <c r="J285" s="17"/>
      <c r="K285" s="17"/>
      <c r="L285" s="17"/>
      <c r="M285" s="17"/>
    </row>
    <row r="286">
      <c r="A286" s="17"/>
      <c r="C286" s="17"/>
      <c r="D286" s="17"/>
      <c r="E286" s="17"/>
      <c r="F286" s="17"/>
      <c r="G286" s="17"/>
      <c r="H286" s="17"/>
      <c r="I286" s="17"/>
      <c r="J286" s="17"/>
      <c r="K286" s="17"/>
      <c r="L286" s="17"/>
      <c r="M286" s="17"/>
    </row>
    <row r="287">
      <c r="A287" s="17"/>
      <c r="C287" s="17"/>
      <c r="D287" s="17"/>
      <c r="E287" s="17"/>
      <c r="F287" s="17"/>
      <c r="G287" s="17"/>
      <c r="H287" s="17"/>
      <c r="I287" s="17"/>
      <c r="J287" s="17"/>
      <c r="K287" s="17"/>
      <c r="L287" s="17"/>
      <c r="M287" s="17"/>
    </row>
    <row r="288">
      <c r="A288" s="17"/>
      <c r="C288" s="17"/>
      <c r="D288" s="17"/>
      <c r="E288" s="17"/>
      <c r="F288" s="17"/>
      <c r="G288" s="17"/>
      <c r="H288" s="17"/>
      <c r="I288" s="17"/>
      <c r="J288" s="17"/>
      <c r="K288" s="17"/>
      <c r="L288" s="17"/>
      <c r="M288" s="17"/>
    </row>
    <row r="289">
      <c r="A289" s="17"/>
      <c r="C289" s="17"/>
      <c r="D289" s="17"/>
      <c r="E289" s="17"/>
      <c r="F289" s="17"/>
      <c r="G289" s="17"/>
      <c r="H289" s="17"/>
      <c r="I289" s="17"/>
      <c r="J289" s="17"/>
      <c r="K289" s="17"/>
      <c r="L289" s="17"/>
      <c r="M289" s="17"/>
    </row>
    <row r="290">
      <c r="A290" s="17"/>
      <c r="C290" s="17"/>
      <c r="D290" s="17"/>
      <c r="E290" s="17"/>
      <c r="F290" s="17"/>
      <c r="G290" s="17"/>
      <c r="H290" s="17"/>
      <c r="I290" s="17"/>
      <c r="J290" s="17"/>
      <c r="K290" s="17"/>
      <c r="L290" s="17"/>
      <c r="M290" s="17"/>
    </row>
    <row r="291">
      <c r="A291" s="17"/>
      <c r="C291" s="17"/>
      <c r="D291" s="17"/>
      <c r="E291" s="17"/>
      <c r="F291" s="17"/>
      <c r="G291" s="17"/>
      <c r="H291" s="17"/>
      <c r="I291" s="17"/>
      <c r="J291" s="17"/>
      <c r="K291" s="17"/>
      <c r="L291" s="17"/>
      <c r="M291" s="17"/>
    </row>
    <row r="292">
      <c r="A292" s="17"/>
      <c r="C292" s="17"/>
      <c r="D292" s="17"/>
      <c r="E292" s="17"/>
      <c r="F292" s="17"/>
      <c r="G292" s="17"/>
      <c r="H292" s="17"/>
      <c r="I292" s="17"/>
      <c r="J292" s="17"/>
      <c r="K292" s="17"/>
      <c r="L292" s="17"/>
      <c r="M292" s="17"/>
    </row>
    <row r="293">
      <c r="A293" s="17"/>
      <c r="C293" s="17"/>
      <c r="D293" s="17"/>
      <c r="E293" s="17"/>
      <c r="F293" s="17"/>
      <c r="G293" s="17"/>
      <c r="H293" s="17"/>
      <c r="I293" s="17"/>
      <c r="J293" s="17"/>
      <c r="K293" s="17"/>
      <c r="L293" s="17"/>
      <c r="M293" s="17"/>
    </row>
    <row r="294">
      <c r="A294" s="17"/>
      <c r="C294" s="17"/>
      <c r="D294" s="17"/>
      <c r="E294" s="17"/>
      <c r="F294" s="17"/>
      <c r="G294" s="17"/>
      <c r="H294" s="17"/>
      <c r="I294" s="17"/>
      <c r="J294" s="17"/>
      <c r="K294" s="17"/>
      <c r="L294" s="17"/>
      <c r="M294" s="17"/>
    </row>
    <row r="295">
      <c r="A295" s="17"/>
      <c r="C295" s="17"/>
      <c r="D295" s="17"/>
      <c r="E295" s="17"/>
      <c r="F295" s="17"/>
      <c r="G295" s="17"/>
      <c r="H295" s="17"/>
      <c r="I295" s="17"/>
      <c r="J295" s="17"/>
      <c r="K295" s="17"/>
      <c r="L295" s="17"/>
      <c r="M295" s="17"/>
    </row>
    <row r="296">
      <c r="A296" s="17"/>
      <c r="C296" s="17"/>
      <c r="D296" s="17"/>
      <c r="E296" s="17"/>
      <c r="F296" s="17"/>
      <c r="G296" s="17"/>
      <c r="H296" s="17"/>
      <c r="I296" s="17"/>
      <c r="J296" s="17"/>
      <c r="K296" s="17"/>
      <c r="L296" s="17"/>
      <c r="M296" s="17"/>
    </row>
    <row r="297">
      <c r="A297" s="17"/>
      <c r="C297" s="17"/>
      <c r="D297" s="17"/>
      <c r="E297" s="17"/>
      <c r="F297" s="17"/>
      <c r="G297" s="17"/>
      <c r="H297" s="17"/>
      <c r="I297" s="17"/>
      <c r="J297" s="17"/>
      <c r="K297" s="17"/>
      <c r="L297" s="17"/>
      <c r="M297" s="17"/>
    </row>
    <row r="298">
      <c r="A298" s="17"/>
      <c r="C298" s="17"/>
      <c r="D298" s="17"/>
      <c r="E298" s="17"/>
      <c r="F298" s="17"/>
      <c r="G298" s="17"/>
      <c r="H298" s="17"/>
      <c r="I298" s="17"/>
      <c r="J298" s="17"/>
      <c r="K298" s="17"/>
      <c r="L298" s="17"/>
      <c r="M298" s="17"/>
    </row>
    <row r="299">
      <c r="A299" s="17"/>
      <c r="C299" s="17"/>
      <c r="D299" s="17"/>
      <c r="E299" s="17"/>
      <c r="F299" s="17"/>
      <c r="G299" s="17"/>
      <c r="H299" s="17"/>
      <c r="I299" s="17"/>
      <c r="J299" s="17"/>
      <c r="K299" s="17"/>
      <c r="L299" s="17"/>
      <c r="M299" s="17"/>
    </row>
    <row r="300">
      <c r="A300" s="17"/>
      <c r="C300" s="17"/>
      <c r="D300" s="17"/>
      <c r="E300" s="17"/>
      <c r="F300" s="17"/>
      <c r="G300" s="17"/>
      <c r="H300" s="17"/>
      <c r="I300" s="17"/>
      <c r="J300" s="17"/>
      <c r="K300" s="17"/>
      <c r="L300" s="17"/>
      <c r="M300" s="17"/>
    </row>
    <row r="301">
      <c r="A301" s="17"/>
      <c r="C301" s="17"/>
      <c r="D301" s="17"/>
      <c r="E301" s="17"/>
      <c r="F301" s="17"/>
      <c r="G301" s="17"/>
      <c r="H301" s="17"/>
      <c r="I301" s="17"/>
      <c r="J301" s="17"/>
      <c r="K301" s="17"/>
      <c r="L301" s="17"/>
      <c r="M301" s="17"/>
    </row>
    <row r="302">
      <c r="A302" s="17"/>
      <c r="C302" s="17"/>
      <c r="D302" s="17"/>
      <c r="E302" s="17"/>
      <c r="F302" s="17"/>
      <c r="G302" s="17"/>
      <c r="H302" s="17"/>
      <c r="I302" s="17"/>
      <c r="J302" s="17"/>
      <c r="K302" s="17"/>
      <c r="L302" s="17"/>
      <c r="M302" s="17"/>
    </row>
    <row r="303">
      <c r="A303" s="17"/>
      <c r="C303" s="17"/>
      <c r="D303" s="17"/>
      <c r="E303" s="17"/>
      <c r="F303" s="17"/>
      <c r="G303" s="17"/>
      <c r="H303" s="17"/>
      <c r="I303" s="17"/>
      <c r="J303" s="17"/>
      <c r="K303" s="17"/>
      <c r="L303" s="17"/>
      <c r="M303" s="17"/>
    </row>
    <row r="304">
      <c r="A304" s="17"/>
      <c r="C304" s="17"/>
      <c r="D304" s="17"/>
      <c r="E304" s="17"/>
      <c r="F304" s="17"/>
      <c r="G304" s="17"/>
      <c r="H304" s="17"/>
      <c r="I304" s="17"/>
      <c r="J304" s="17"/>
      <c r="K304" s="17"/>
      <c r="L304" s="17"/>
      <c r="M304" s="17"/>
    </row>
    <row r="305">
      <c r="A305" s="17"/>
      <c r="C305" s="17"/>
      <c r="D305" s="17"/>
      <c r="E305" s="17"/>
      <c r="F305" s="17"/>
      <c r="G305" s="17"/>
      <c r="H305" s="17"/>
      <c r="I305" s="17"/>
      <c r="J305" s="17"/>
      <c r="K305" s="17"/>
      <c r="L305" s="17"/>
      <c r="M305" s="17"/>
    </row>
    <row r="306">
      <c r="A306" s="17"/>
      <c r="C306" s="17"/>
      <c r="D306" s="17"/>
      <c r="E306" s="17"/>
      <c r="F306" s="17"/>
      <c r="G306" s="17"/>
      <c r="H306" s="17"/>
      <c r="I306" s="17"/>
      <c r="J306" s="17"/>
      <c r="K306" s="17"/>
      <c r="L306" s="17"/>
      <c r="M306" s="17"/>
    </row>
    <row r="307">
      <c r="A307" s="17"/>
      <c r="C307" s="17"/>
      <c r="D307" s="17"/>
      <c r="E307" s="17"/>
      <c r="F307" s="17"/>
      <c r="G307" s="17"/>
      <c r="H307" s="17"/>
      <c r="I307" s="17"/>
      <c r="J307" s="17"/>
      <c r="K307" s="17"/>
      <c r="L307" s="17"/>
      <c r="M307" s="17"/>
    </row>
    <row r="308">
      <c r="A308" s="17"/>
      <c r="C308" s="17"/>
      <c r="D308" s="17"/>
      <c r="E308" s="17"/>
      <c r="F308" s="17"/>
      <c r="G308" s="17"/>
      <c r="H308" s="17"/>
      <c r="I308" s="17"/>
      <c r="J308" s="17"/>
      <c r="K308" s="17"/>
      <c r="L308" s="17"/>
      <c r="M308" s="17"/>
    </row>
    <row r="309">
      <c r="A309" s="17"/>
      <c r="C309" s="17"/>
      <c r="D309" s="17"/>
      <c r="E309" s="17"/>
      <c r="F309" s="17"/>
      <c r="G309" s="17"/>
      <c r="H309" s="17"/>
      <c r="I309" s="17"/>
      <c r="J309" s="17"/>
      <c r="K309" s="17"/>
      <c r="L309" s="17"/>
      <c r="M309" s="17"/>
    </row>
    <row r="310">
      <c r="A310" s="17"/>
      <c r="C310" s="17"/>
      <c r="D310" s="17"/>
      <c r="E310" s="17"/>
      <c r="F310" s="17"/>
      <c r="G310" s="17"/>
      <c r="H310" s="17"/>
      <c r="I310" s="17"/>
      <c r="J310" s="17"/>
      <c r="K310" s="17"/>
      <c r="L310" s="17"/>
      <c r="M310" s="17"/>
    </row>
    <row r="311">
      <c r="A311" s="17"/>
      <c r="C311" s="17"/>
      <c r="D311" s="17"/>
      <c r="E311" s="17"/>
      <c r="F311" s="17"/>
      <c r="G311" s="17"/>
      <c r="H311" s="17"/>
      <c r="I311" s="17"/>
      <c r="J311" s="17"/>
      <c r="K311" s="17"/>
      <c r="L311" s="17"/>
      <c r="M311" s="17"/>
    </row>
    <row r="312">
      <c r="A312" s="17"/>
      <c r="C312" s="17"/>
      <c r="D312" s="17"/>
      <c r="E312" s="17"/>
      <c r="F312" s="17"/>
      <c r="G312" s="17"/>
      <c r="H312" s="17"/>
      <c r="I312" s="17"/>
      <c r="J312" s="17"/>
      <c r="K312" s="17"/>
      <c r="L312" s="17"/>
      <c r="M312" s="17"/>
    </row>
    <row r="313">
      <c r="A313" s="17"/>
      <c r="C313" s="17"/>
      <c r="D313" s="17"/>
      <c r="E313" s="17"/>
      <c r="F313" s="17"/>
      <c r="G313" s="17"/>
      <c r="H313" s="17"/>
      <c r="I313" s="17"/>
      <c r="J313" s="17"/>
      <c r="K313" s="17"/>
      <c r="L313" s="17"/>
      <c r="M313" s="17"/>
    </row>
    <row r="314">
      <c r="A314" s="17"/>
      <c r="C314" s="17"/>
      <c r="D314" s="17"/>
      <c r="E314" s="17"/>
      <c r="F314" s="17"/>
      <c r="G314" s="17"/>
      <c r="H314" s="17"/>
      <c r="I314" s="17"/>
      <c r="J314" s="17"/>
      <c r="K314" s="17"/>
      <c r="L314" s="17"/>
      <c r="M314" s="17"/>
    </row>
    <row r="315">
      <c r="A315" s="17"/>
      <c r="C315" s="17"/>
      <c r="D315" s="17"/>
      <c r="E315" s="17"/>
      <c r="F315" s="17"/>
      <c r="G315" s="17"/>
      <c r="H315" s="17"/>
      <c r="I315" s="17"/>
      <c r="J315" s="17"/>
      <c r="K315" s="17"/>
      <c r="L315" s="17"/>
      <c r="M315" s="17"/>
    </row>
    <row r="316">
      <c r="A316" s="17"/>
      <c r="C316" s="17"/>
      <c r="D316" s="17"/>
      <c r="E316" s="17"/>
      <c r="F316" s="17"/>
      <c r="G316" s="17"/>
      <c r="H316" s="17"/>
      <c r="I316" s="17"/>
      <c r="J316" s="17"/>
      <c r="K316" s="17"/>
      <c r="L316" s="17"/>
      <c r="M316" s="17"/>
    </row>
    <row r="317">
      <c r="A317" s="17"/>
      <c r="C317" s="17"/>
      <c r="D317" s="17"/>
      <c r="E317" s="17"/>
      <c r="F317" s="17"/>
      <c r="G317" s="17"/>
      <c r="H317" s="17"/>
      <c r="I317" s="17"/>
      <c r="J317" s="17"/>
      <c r="K317" s="17"/>
      <c r="L317" s="17"/>
      <c r="M317" s="17"/>
    </row>
    <row r="318">
      <c r="A318" s="17"/>
      <c r="C318" s="17"/>
      <c r="D318" s="17"/>
      <c r="E318" s="17"/>
      <c r="F318" s="17"/>
      <c r="G318" s="17"/>
      <c r="H318" s="17"/>
      <c r="I318" s="17"/>
      <c r="J318" s="17"/>
      <c r="K318" s="17"/>
      <c r="L318" s="17"/>
      <c r="M318" s="17"/>
    </row>
    <row r="319">
      <c r="A319" s="17"/>
      <c r="C319" s="17"/>
      <c r="D319" s="17"/>
      <c r="E319" s="17"/>
      <c r="F319" s="17"/>
      <c r="G319" s="17"/>
      <c r="H319" s="17"/>
      <c r="I319" s="17"/>
      <c r="J319" s="17"/>
      <c r="K319" s="17"/>
      <c r="L319" s="17"/>
      <c r="M319" s="17"/>
    </row>
    <row r="320">
      <c r="A320" s="17"/>
      <c r="C320" s="17"/>
      <c r="D320" s="17"/>
      <c r="E320" s="17"/>
      <c r="F320" s="17"/>
      <c r="G320" s="17"/>
      <c r="H320" s="17"/>
      <c r="I320" s="17"/>
      <c r="J320" s="17"/>
      <c r="K320" s="17"/>
      <c r="L320" s="17"/>
      <c r="M320" s="17"/>
    </row>
    <row r="321">
      <c r="A321" s="17"/>
      <c r="C321" s="17"/>
      <c r="D321" s="17"/>
      <c r="E321" s="17"/>
      <c r="F321" s="17"/>
      <c r="G321" s="17"/>
      <c r="H321" s="17"/>
      <c r="I321" s="17"/>
      <c r="J321" s="17"/>
      <c r="K321" s="17"/>
      <c r="L321" s="17"/>
      <c r="M321" s="17"/>
    </row>
    <row r="322">
      <c r="A322" s="17"/>
      <c r="C322" s="17"/>
      <c r="D322" s="17"/>
      <c r="E322" s="17"/>
      <c r="F322" s="17"/>
      <c r="G322" s="17"/>
      <c r="H322" s="17"/>
      <c r="I322" s="17"/>
      <c r="J322" s="17"/>
      <c r="K322" s="17"/>
      <c r="L322" s="17"/>
      <c r="M322" s="17"/>
    </row>
    <row r="323">
      <c r="A323" s="17"/>
      <c r="C323" s="17"/>
      <c r="D323" s="17"/>
      <c r="E323" s="17"/>
      <c r="F323" s="17"/>
      <c r="G323" s="17"/>
      <c r="H323" s="17"/>
      <c r="I323" s="17"/>
      <c r="J323" s="17"/>
      <c r="K323" s="17"/>
      <c r="L323" s="17"/>
      <c r="M323" s="17"/>
    </row>
    <row r="324">
      <c r="A324" s="17"/>
      <c r="C324" s="17"/>
      <c r="D324" s="17"/>
      <c r="E324" s="17"/>
      <c r="F324" s="17"/>
      <c r="G324" s="17"/>
      <c r="H324" s="17"/>
      <c r="I324" s="17"/>
      <c r="J324" s="17"/>
      <c r="K324" s="17"/>
      <c r="L324" s="17"/>
      <c r="M324" s="17"/>
    </row>
    <row r="325">
      <c r="A325" s="17"/>
      <c r="C325" s="17"/>
      <c r="D325" s="17"/>
      <c r="E325" s="17"/>
      <c r="F325" s="17"/>
      <c r="G325" s="17"/>
      <c r="H325" s="17"/>
      <c r="I325" s="17"/>
      <c r="J325" s="17"/>
      <c r="K325" s="17"/>
      <c r="L325" s="17"/>
      <c r="M325" s="17"/>
    </row>
    <row r="326">
      <c r="A326" s="17"/>
      <c r="C326" s="17"/>
      <c r="D326" s="17"/>
      <c r="E326" s="17"/>
      <c r="F326" s="17"/>
      <c r="G326" s="17"/>
      <c r="H326" s="17"/>
      <c r="I326" s="17"/>
      <c r="J326" s="17"/>
      <c r="K326" s="17"/>
      <c r="L326" s="17"/>
      <c r="M326" s="17"/>
    </row>
    <row r="327">
      <c r="A327" s="17"/>
      <c r="C327" s="17"/>
      <c r="D327" s="17"/>
      <c r="E327" s="17"/>
      <c r="F327" s="17"/>
      <c r="G327" s="17"/>
      <c r="H327" s="17"/>
      <c r="I327" s="17"/>
      <c r="J327" s="17"/>
      <c r="K327" s="17"/>
      <c r="L327" s="17"/>
      <c r="M327" s="17"/>
    </row>
    <row r="328">
      <c r="A328" s="17"/>
      <c r="C328" s="17"/>
      <c r="D328" s="17"/>
      <c r="E328" s="17"/>
      <c r="F328" s="17"/>
      <c r="G328" s="17"/>
      <c r="H328" s="17"/>
      <c r="I328" s="17"/>
      <c r="J328" s="17"/>
      <c r="K328" s="17"/>
      <c r="L328" s="17"/>
      <c r="M328" s="17"/>
    </row>
    <row r="329">
      <c r="A329" s="17"/>
      <c r="C329" s="17"/>
      <c r="D329" s="17"/>
      <c r="E329" s="17"/>
      <c r="F329" s="17"/>
      <c r="G329" s="17"/>
      <c r="H329" s="17"/>
      <c r="I329" s="17"/>
      <c r="J329" s="17"/>
      <c r="K329" s="17"/>
      <c r="L329" s="17"/>
      <c r="M329" s="17"/>
    </row>
    <row r="330">
      <c r="A330" s="17"/>
      <c r="C330" s="17"/>
      <c r="D330" s="17"/>
      <c r="E330" s="17"/>
      <c r="F330" s="17"/>
      <c r="G330" s="17"/>
      <c r="H330" s="17"/>
      <c r="I330" s="17"/>
      <c r="J330" s="17"/>
      <c r="K330" s="17"/>
      <c r="L330" s="17"/>
      <c r="M330" s="17"/>
    </row>
    <row r="331">
      <c r="A331" s="17"/>
      <c r="C331" s="17"/>
      <c r="D331" s="17"/>
      <c r="E331" s="17"/>
      <c r="F331" s="17"/>
      <c r="G331" s="17"/>
      <c r="H331" s="17"/>
      <c r="I331" s="17"/>
      <c r="J331" s="17"/>
      <c r="K331" s="17"/>
      <c r="L331" s="17"/>
      <c r="M331" s="17"/>
    </row>
    <row r="332">
      <c r="A332" s="17"/>
      <c r="C332" s="17"/>
      <c r="D332" s="17"/>
      <c r="E332" s="17"/>
      <c r="F332" s="17"/>
      <c r="G332" s="17"/>
      <c r="H332" s="17"/>
      <c r="I332" s="17"/>
      <c r="J332" s="17"/>
      <c r="K332" s="17"/>
      <c r="L332" s="17"/>
      <c r="M332" s="17"/>
    </row>
    <row r="333">
      <c r="A333" s="17"/>
      <c r="C333" s="17"/>
      <c r="D333" s="17"/>
      <c r="E333" s="17"/>
      <c r="F333" s="17"/>
      <c r="G333" s="17"/>
      <c r="H333" s="17"/>
      <c r="I333" s="17"/>
      <c r="J333" s="17"/>
      <c r="K333" s="17"/>
      <c r="L333" s="17"/>
      <c r="M333" s="17"/>
    </row>
    <row r="334">
      <c r="A334" s="17"/>
      <c r="C334" s="17"/>
      <c r="D334" s="17"/>
      <c r="E334" s="17"/>
      <c r="F334" s="17"/>
      <c r="G334" s="17"/>
      <c r="H334" s="17"/>
      <c r="I334" s="17"/>
      <c r="J334" s="17"/>
      <c r="K334" s="17"/>
      <c r="L334" s="17"/>
      <c r="M334" s="17"/>
    </row>
    <row r="335">
      <c r="A335" s="17"/>
      <c r="C335" s="17"/>
      <c r="D335" s="17"/>
      <c r="E335" s="17"/>
      <c r="F335" s="17"/>
      <c r="G335" s="17"/>
      <c r="H335" s="17"/>
      <c r="I335" s="17"/>
      <c r="J335" s="17"/>
      <c r="K335" s="17"/>
      <c r="L335" s="17"/>
      <c r="M335" s="17"/>
    </row>
    <row r="336">
      <c r="A336" s="17"/>
      <c r="C336" s="17"/>
      <c r="D336" s="17"/>
      <c r="E336" s="17"/>
      <c r="F336" s="17"/>
      <c r="G336" s="17"/>
      <c r="H336" s="17"/>
      <c r="I336" s="17"/>
      <c r="J336" s="17"/>
      <c r="K336" s="17"/>
      <c r="L336" s="17"/>
      <c r="M336" s="17"/>
    </row>
    <row r="337">
      <c r="A337" s="17"/>
      <c r="C337" s="17"/>
      <c r="D337" s="17"/>
      <c r="E337" s="17"/>
      <c r="F337" s="17"/>
      <c r="G337" s="17"/>
      <c r="H337" s="17"/>
      <c r="I337" s="17"/>
      <c r="J337" s="17"/>
      <c r="K337" s="17"/>
      <c r="L337" s="17"/>
      <c r="M337" s="17"/>
    </row>
    <row r="338">
      <c r="A338" s="17"/>
      <c r="C338" s="17"/>
      <c r="D338" s="17"/>
      <c r="E338" s="17"/>
      <c r="F338" s="17"/>
      <c r="G338" s="17"/>
      <c r="H338" s="17"/>
      <c r="I338" s="17"/>
      <c r="J338" s="17"/>
      <c r="K338" s="17"/>
      <c r="L338" s="17"/>
      <c r="M338" s="17"/>
    </row>
    <row r="339">
      <c r="A339" s="17"/>
      <c r="C339" s="17"/>
      <c r="D339" s="17"/>
      <c r="E339" s="17"/>
      <c r="F339" s="17"/>
      <c r="G339" s="17"/>
      <c r="H339" s="17"/>
      <c r="I339" s="17"/>
      <c r="J339" s="17"/>
      <c r="K339" s="17"/>
      <c r="L339" s="17"/>
      <c r="M339" s="17"/>
    </row>
    <row r="340">
      <c r="A340" s="17"/>
      <c r="C340" s="17"/>
      <c r="D340" s="17"/>
      <c r="E340" s="17"/>
      <c r="F340" s="17"/>
      <c r="G340" s="17"/>
      <c r="H340" s="17"/>
      <c r="I340" s="17"/>
      <c r="J340" s="17"/>
      <c r="K340" s="17"/>
      <c r="L340" s="17"/>
      <c r="M340" s="17"/>
    </row>
    <row r="341">
      <c r="A341" s="17"/>
      <c r="C341" s="17"/>
      <c r="D341" s="17"/>
      <c r="E341" s="17"/>
      <c r="F341" s="17"/>
      <c r="G341" s="17"/>
      <c r="H341" s="17"/>
      <c r="I341" s="17"/>
      <c r="J341" s="17"/>
      <c r="K341" s="17"/>
      <c r="L341" s="17"/>
      <c r="M341" s="17"/>
    </row>
    <row r="342">
      <c r="A342" s="17"/>
      <c r="C342" s="17"/>
      <c r="D342" s="17"/>
      <c r="E342" s="17"/>
      <c r="F342" s="17"/>
      <c r="G342" s="17"/>
      <c r="H342" s="17"/>
      <c r="I342" s="17"/>
      <c r="J342" s="17"/>
      <c r="K342" s="17"/>
      <c r="L342" s="17"/>
      <c r="M342" s="17"/>
    </row>
    <row r="343">
      <c r="A343" s="17"/>
      <c r="C343" s="17"/>
      <c r="D343" s="17"/>
      <c r="E343" s="17"/>
      <c r="F343" s="17"/>
      <c r="G343" s="17"/>
      <c r="H343" s="17"/>
      <c r="I343" s="17"/>
      <c r="J343" s="17"/>
      <c r="K343" s="17"/>
      <c r="L343" s="17"/>
      <c r="M343" s="17"/>
    </row>
    <row r="344">
      <c r="A344" s="17"/>
      <c r="C344" s="17"/>
      <c r="D344" s="17"/>
      <c r="E344" s="17"/>
      <c r="F344" s="17"/>
      <c r="G344" s="17"/>
      <c r="H344" s="17"/>
      <c r="I344" s="17"/>
      <c r="J344" s="17"/>
      <c r="K344" s="17"/>
      <c r="L344" s="17"/>
      <c r="M344" s="17"/>
    </row>
    <row r="345">
      <c r="A345" s="17"/>
      <c r="C345" s="17"/>
      <c r="D345" s="17"/>
      <c r="E345" s="17"/>
      <c r="F345" s="17"/>
      <c r="G345" s="17"/>
      <c r="H345" s="17"/>
      <c r="I345" s="17"/>
      <c r="J345" s="17"/>
      <c r="K345" s="17"/>
      <c r="L345" s="17"/>
      <c r="M345" s="17"/>
    </row>
    <row r="346">
      <c r="A346" s="17"/>
      <c r="C346" s="17"/>
      <c r="D346" s="17"/>
      <c r="E346" s="17"/>
      <c r="F346" s="17"/>
      <c r="G346" s="17"/>
      <c r="H346" s="17"/>
      <c r="I346" s="17"/>
      <c r="J346" s="17"/>
      <c r="K346" s="17"/>
      <c r="L346" s="17"/>
      <c r="M346" s="17"/>
    </row>
    <row r="347">
      <c r="A347" s="17"/>
      <c r="C347" s="17"/>
      <c r="D347" s="17"/>
      <c r="E347" s="17"/>
      <c r="F347" s="17"/>
      <c r="G347" s="17"/>
      <c r="H347" s="17"/>
      <c r="I347" s="17"/>
      <c r="J347" s="17"/>
      <c r="K347" s="17"/>
      <c r="L347" s="17"/>
      <c r="M347" s="17"/>
    </row>
    <row r="348">
      <c r="A348" s="17"/>
      <c r="C348" s="17"/>
      <c r="D348" s="17"/>
      <c r="E348" s="17"/>
      <c r="F348" s="17"/>
      <c r="G348" s="17"/>
      <c r="H348" s="17"/>
      <c r="I348" s="17"/>
      <c r="J348" s="17"/>
      <c r="K348" s="17"/>
      <c r="L348" s="17"/>
      <c r="M348" s="17"/>
    </row>
    <row r="349">
      <c r="A349" s="17"/>
      <c r="C349" s="17"/>
      <c r="D349" s="17"/>
      <c r="E349" s="17"/>
      <c r="F349" s="17"/>
      <c r="G349" s="17"/>
      <c r="H349" s="17"/>
      <c r="I349" s="17"/>
      <c r="J349" s="17"/>
      <c r="K349" s="17"/>
      <c r="L349" s="17"/>
      <c r="M349" s="17"/>
    </row>
    <row r="350">
      <c r="A350" s="17"/>
      <c r="C350" s="17"/>
      <c r="D350" s="17"/>
      <c r="E350" s="17"/>
      <c r="F350" s="17"/>
      <c r="G350" s="17"/>
      <c r="H350" s="17"/>
      <c r="I350" s="17"/>
      <c r="J350" s="17"/>
      <c r="K350" s="17"/>
      <c r="L350" s="17"/>
      <c r="M350" s="17"/>
    </row>
    <row r="351">
      <c r="A351" s="17"/>
      <c r="C351" s="17"/>
      <c r="D351" s="17"/>
      <c r="E351" s="17"/>
      <c r="F351" s="17"/>
      <c r="G351" s="17"/>
      <c r="H351" s="17"/>
      <c r="I351" s="17"/>
      <c r="J351" s="17"/>
      <c r="K351" s="17"/>
      <c r="L351" s="17"/>
      <c r="M351" s="17"/>
    </row>
    <row r="352">
      <c r="A352" s="17"/>
      <c r="C352" s="17"/>
      <c r="D352" s="17"/>
      <c r="E352" s="17"/>
      <c r="F352" s="17"/>
      <c r="G352" s="17"/>
      <c r="H352" s="17"/>
      <c r="I352" s="17"/>
      <c r="J352" s="17"/>
      <c r="K352" s="17"/>
      <c r="L352" s="17"/>
      <c r="M352" s="17"/>
    </row>
    <row r="353">
      <c r="A353" s="17"/>
      <c r="C353" s="17"/>
      <c r="D353" s="17"/>
      <c r="E353" s="17"/>
      <c r="F353" s="17"/>
      <c r="G353" s="17"/>
      <c r="H353" s="17"/>
      <c r="I353" s="17"/>
      <c r="J353" s="17"/>
      <c r="K353" s="17"/>
      <c r="L353" s="17"/>
      <c r="M353" s="17"/>
    </row>
    <row r="354">
      <c r="A354" s="17"/>
      <c r="C354" s="17"/>
      <c r="D354" s="17"/>
      <c r="E354" s="17"/>
      <c r="F354" s="17"/>
      <c r="G354" s="17"/>
      <c r="H354" s="17"/>
      <c r="I354" s="17"/>
      <c r="J354" s="17"/>
      <c r="K354" s="17"/>
      <c r="L354" s="17"/>
      <c r="M354" s="17"/>
    </row>
    <row r="355">
      <c r="A355" s="17"/>
      <c r="C355" s="17"/>
      <c r="D355" s="17"/>
      <c r="E355" s="17"/>
      <c r="F355" s="17"/>
      <c r="G355" s="17"/>
      <c r="H355" s="17"/>
      <c r="I355" s="17"/>
      <c r="J355" s="17"/>
      <c r="K355" s="17"/>
      <c r="L355" s="17"/>
      <c r="M355" s="17"/>
    </row>
    <row r="356">
      <c r="A356" s="17"/>
      <c r="C356" s="17"/>
      <c r="D356" s="17"/>
      <c r="E356" s="17"/>
      <c r="F356" s="17"/>
      <c r="G356" s="17"/>
      <c r="H356" s="17"/>
      <c r="I356" s="17"/>
      <c r="J356" s="17"/>
      <c r="K356" s="17"/>
      <c r="L356" s="17"/>
      <c r="M356" s="17"/>
    </row>
    <row r="357">
      <c r="A357" s="17"/>
      <c r="C357" s="17"/>
      <c r="D357" s="17"/>
      <c r="E357" s="17"/>
      <c r="F357" s="17"/>
      <c r="G357" s="17"/>
      <c r="H357" s="17"/>
      <c r="I357" s="17"/>
      <c r="J357" s="17"/>
      <c r="K357" s="17"/>
      <c r="L357" s="17"/>
      <c r="M357" s="17"/>
    </row>
    <row r="358">
      <c r="A358" s="17"/>
      <c r="C358" s="17"/>
      <c r="D358" s="17"/>
      <c r="E358" s="17"/>
      <c r="F358" s="17"/>
      <c r="G358" s="17"/>
      <c r="H358" s="17"/>
      <c r="I358" s="17"/>
      <c r="J358" s="17"/>
      <c r="K358" s="17"/>
      <c r="L358" s="17"/>
      <c r="M358" s="17"/>
    </row>
    <row r="359">
      <c r="A359" s="17"/>
      <c r="C359" s="17"/>
      <c r="D359" s="17"/>
      <c r="E359" s="17"/>
      <c r="F359" s="17"/>
      <c r="G359" s="17"/>
      <c r="H359" s="17"/>
      <c r="I359" s="17"/>
      <c r="J359" s="17"/>
      <c r="K359" s="17"/>
      <c r="L359" s="17"/>
      <c r="M359" s="17"/>
    </row>
    <row r="360">
      <c r="A360" s="17"/>
      <c r="C360" s="17"/>
      <c r="D360" s="17"/>
      <c r="E360" s="17"/>
      <c r="F360" s="17"/>
      <c r="G360" s="17"/>
      <c r="H360" s="17"/>
      <c r="I360" s="17"/>
      <c r="J360" s="17"/>
      <c r="K360" s="17"/>
      <c r="L360" s="17"/>
      <c r="M360" s="17"/>
    </row>
    <row r="361">
      <c r="A361" s="17"/>
      <c r="C361" s="17"/>
      <c r="D361" s="17"/>
      <c r="E361" s="17"/>
      <c r="F361" s="17"/>
      <c r="G361" s="17"/>
      <c r="H361" s="17"/>
      <c r="I361" s="17"/>
      <c r="J361" s="17"/>
      <c r="K361" s="17"/>
      <c r="L361" s="17"/>
      <c r="M361" s="17"/>
    </row>
    <row r="362">
      <c r="A362" s="17"/>
      <c r="C362" s="17"/>
      <c r="D362" s="17"/>
      <c r="E362" s="17"/>
      <c r="F362" s="17"/>
      <c r="G362" s="17"/>
      <c r="H362" s="17"/>
      <c r="I362" s="17"/>
      <c r="J362" s="17"/>
      <c r="K362" s="17"/>
      <c r="L362" s="17"/>
      <c r="M362" s="17"/>
    </row>
    <row r="363">
      <c r="A363" s="17"/>
      <c r="C363" s="17"/>
      <c r="D363" s="17"/>
      <c r="E363" s="17"/>
      <c r="F363" s="17"/>
      <c r="G363" s="17"/>
      <c r="H363" s="17"/>
      <c r="I363" s="17"/>
      <c r="J363" s="17"/>
      <c r="K363" s="17"/>
      <c r="L363" s="17"/>
      <c r="M363" s="17"/>
    </row>
    <row r="364">
      <c r="A364" s="17"/>
      <c r="C364" s="17"/>
      <c r="D364" s="17"/>
      <c r="E364" s="17"/>
      <c r="F364" s="17"/>
      <c r="G364" s="17"/>
      <c r="H364" s="17"/>
      <c r="I364" s="17"/>
      <c r="J364" s="17"/>
      <c r="K364" s="17"/>
      <c r="L364" s="17"/>
      <c r="M364" s="17"/>
    </row>
    <row r="365">
      <c r="A365" s="17"/>
      <c r="C365" s="17"/>
      <c r="D365" s="17"/>
      <c r="E365" s="17"/>
      <c r="F365" s="17"/>
      <c r="G365" s="17"/>
      <c r="H365" s="17"/>
      <c r="I365" s="17"/>
      <c r="J365" s="17"/>
      <c r="K365" s="17"/>
      <c r="L365" s="17"/>
      <c r="M365" s="17"/>
    </row>
    <row r="366">
      <c r="A366" s="17"/>
      <c r="C366" s="17"/>
      <c r="D366" s="17"/>
      <c r="E366" s="17"/>
      <c r="F366" s="17"/>
      <c r="G366" s="17"/>
      <c r="H366" s="17"/>
      <c r="I366" s="17"/>
      <c r="J366" s="17"/>
      <c r="K366" s="17"/>
      <c r="L366" s="17"/>
      <c r="M366" s="17"/>
    </row>
    <row r="367">
      <c r="A367" s="17"/>
      <c r="C367" s="17"/>
      <c r="D367" s="17"/>
      <c r="E367" s="17"/>
      <c r="F367" s="17"/>
      <c r="G367" s="17"/>
      <c r="H367" s="17"/>
      <c r="I367" s="17"/>
      <c r="J367" s="17"/>
      <c r="K367" s="17"/>
      <c r="L367" s="17"/>
      <c r="M367" s="17"/>
    </row>
    <row r="368">
      <c r="A368" s="17"/>
      <c r="C368" s="17"/>
      <c r="D368" s="17"/>
      <c r="E368" s="17"/>
      <c r="F368" s="17"/>
      <c r="G368" s="17"/>
      <c r="H368" s="17"/>
      <c r="I368" s="17"/>
      <c r="J368" s="17"/>
      <c r="K368" s="17"/>
      <c r="L368" s="17"/>
      <c r="M368" s="17"/>
    </row>
    <row r="369">
      <c r="A369" s="17"/>
      <c r="C369" s="17"/>
      <c r="D369" s="17"/>
      <c r="E369" s="17"/>
      <c r="F369" s="17"/>
      <c r="G369" s="17"/>
      <c r="H369" s="17"/>
      <c r="I369" s="17"/>
      <c r="J369" s="17"/>
      <c r="K369" s="17"/>
      <c r="L369" s="17"/>
      <c r="M369" s="17"/>
    </row>
    <row r="370">
      <c r="A370" s="17"/>
      <c r="C370" s="17"/>
      <c r="D370" s="17"/>
      <c r="E370" s="17"/>
      <c r="F370" s="17"/>
      <c r="G370" s="17"/>
      <c r="H370" s="17"/>
      <c r="I370" s="17"/>
      <c r="J370" s="17"/>
      <c r="K370" s="17"/>
      <c r="L370" s="17"/>
      <c r="M370" s="17"/>
    </row>
    <row r="371">
      <c r="A371" s="17"/>
      <c r="C371" s="17"/>
      <c r="D371" s="17"/>
      <c r="E371" s="17"/>
      <c r="F371" s="17"/>
      <c r="G371" s="17"/>
      <c r="H371" s="17"/>
      <c r="I371" s="17"/>
      <c r="J371" s="17"/>
      <c r="K371" s="17"/>
      <c r="L371" s="17"/>
      <c r="M371" s="17"/>
    </row>
    <row r="372">
      <c r="A372" s="17"/>
      <c r="C372" s="17"/>
      <c r="D372" s="17"/>
      <c r="E372" s="17"/>
      <c r="F372" s="17"/>
      <c r="G372" s="17"/>
      <c r="H372" s="17"/>
      <c r="I372" s="17"/>
      <c r="J372" s="17"/>
      <c r="K372" s="17"/>
      <c r="L372" s="17"/>
      <c r="M372" s="17"/>
    </row>
    <row r="373">
      <c r="A373" s="17"/>
      <c r="C373" s="17"/>
      <c r="D373" s="17"/>
      <c r="E373" s="17"/>
      <c r="F373" s="17"/>
      <c r="G373" s="17"/>
      <c r="H373" s="17"/>
      <c r="I373" s="17"/>
      <c r="J373" s="17"/>
      <c r="K373" s="17"/>
      <c r="L373" s="17"/>
      <c r="M373" s="17"/>
    </row>
    <row r="374">
      <c r="A374" s="17"/>
      <c r="C374" s="17"/>
      <c r="D374" s="17"/>
      <c r="E374" s="17"/>
      <c r="F374" s="17"/>
      <c r="G374" s="17"/>
      <c r="H374" s="17"/>
      <c r="I374" s="17"/>
      <c r="J374" s="17"/>
      <c r="K374" s="17"/>
      <c r="L374" s="17"/>
      <c r="M374" s="17"/>
    </row>
    <row r="375">
      <c r="A375" s="17"/>
      <c r="C375" s="17"/>
      <c r="D375" s="17"/>
      <c r="E375" s="17"/>
      <c r="F375" s="17"/>
      <c r="G375" s="17"/>
      <c r="H375" s="17"/>
      <c r="I375" s="17"/>
      <c r="J375" s="17"/>
      <c r="K375" s="17"/>
      <c r="L375" s="17"/>
      <c r="M375" s="17"/>
    </row>
    <row r="376">
      <c r="A376" s="17"/>
      <c r="C376" s="17"/>
      <c r="D376" s="17"/>
      <c r="E376" s="17"/>
      <c r="F376" s="17"/>
      <c r="G376" s="17"/>
      <c r="H376" s="17"/>
      <c r="I376" s="17"/>
      <c r="J376" s="17"/>
      <c r="K376" s="17"/>
      <c r="L376" s="17"/>
      <c r="M376" s="17"/>
    </row>
    <row r="377">
      <c r="A377" s="17"/>
      <c r="C377" s="17"/>
      <c r="D377" s="17"/>
      <c r="E377" s="17"/>
      <c r="F377" s="17"/>
      <c r="G377" s="17"/>
      <c r="H377" s="17"/>
      <c r="I377" s="17"/>
      <c r="J377" s="17"/>
      <c r="K377" s="17"/>
      <c r="L377" s="17"/>
      <c r="M377" s="17"/>
    </row>
    <row r="378">
      <c r="A378" s="17"/>
      <c r="C378" s="17"/>
      <c r="D378" s="17"/>
      <c r="E378" s="17"/>
      <c r="F378" s="17"/>
      <c r="G378" s="17"/>
      <c r="H378" s="17"/>
      <c r="I378" s="17"/>
      <c r="J378" s="17"/>
      <c r="K378" s="17"/>
      <c r="L378" s="17"/>
      <c r="M378" s="17"/>
    </row>
    <row r="379">
      <c r="A379" s="17"/>
      <c r="C379" s="17"/>
      <c r="D379" s="17"/>
      <c r="E379" s="17"/>
      <c r="F379" s="17"/>
      <c r="G379" s="17"/>
      <c r="H379" s="17"/>
      <c r="I379" s="17"/>
      <c r="J379" s="17"/>
      <c r="K379" s="17"/>
      <c r="L379" s="17"/>
      <c r="M379" s="17"/>
    </row>
    <row r="380">
      <c r="A380" s="17"/>
      <c r="C380" s="17"/>
      <c r="D380" s="17"/>
      <c r="E380" s="17"/>
      <c r="F380" s="17"/>
      <c r="G380" s="17"/>
      <c r="H380" s="17"/>
      <c r="I380" s="17"/>
      <c r="J380" s="17"/>
      <c r="K380" s="17"/>
      <c r="L380" s="17"/>
      <c r="M380" s="17"/>
    </row>
    <row r="381">
      <c r="A381" s="17"/>
      <c r="C381" s="17"/>
      <c r="D381" s="17"/>
      <c r="E381" s="17"/>
      <c r="F381" s="17"/>
      <c r="G381" s="17"/>
      <c r="H381" s="17"/>
      <c r="I381" s="17"/>
      <c r="J381" s="17"/>
      <c r="K381" s="17"/>
      <c r="L381" s="17"/>
      <c r="M381" s="17"/>
    </row>
    <row r="382">
      <c r="A382" s="17"/>
      <c r="C382" s="17"/>
      <c r="D382" s="17"/>
      <c r="E382" s="17"/>
      <c r="F382" s="17"/>
      <c r="G382" s="17"/>
      <c r="H382" s="17"/>
      <c r="I382" s="17"/>
      <c r="J382" s="17"/>
      <c r="K382" s="17"/>
      <c r="L382" s="17"/>
      <c r="M382" s="17"/>
    </row>
    <row r="383">
      <c r="A383" s="17"/>
      <c r="C383" s="17"/>
      <c r="D383" s="17"/>
      <c r="E383" s="17"/>
      <c r="F383" s="17"/>
      <c r="G383" s="17"/>
      <c r="H383" s="17"/>
      <c r="I383" s="17"/>
      <c r="J383" s="17"/>
      <c r="K383" s="17"/>
      <c r="L383" s="17"/>
      <c r="M383" s="17"/>
    </row>
    <row r="384">
      <c r="A384" s="17"/>
      <c r="C384" s="17"/>
      <c r="D384" s="17"/>
      <c r="E384" s="17"/>
      <c r="F384" s="17"/>
      <c r="G384" s="17"/>
      <c r="H384" s="17"/>
      <c r="I384" s="17"/>
      <c r="J384" s="17"/>
      <c r="K384" s="17"/>
      <c r="L384" s="17"/>
      <c r="M384" s="17"/>
    </row>
    <row r="385">
      <c r="A385" s="17"/>
      <c r="C385" s="17"/>
      <c r="D385" s="17"/>
      <c r="E385" s="17"/>
      <c r="F385" s="17"/>
      <c r="G385" s="17"/>
      <c r="H385" s="17"/>
      <c r="I385" s="17"/>
      <c r="J385" s="17"/>
      <c r="K385" s="17"/>
      <c r="L385" s="17"/>
      <c r="M385" s="17"/>
    </row>
    <row r="386">
      <c r="A386" s="17"/>
      <c r="C386" s="17"/>
      <c r="D386" s="17"/>
      <c r="E386" s="17"/>
      <c r="F386" s="17"/>
      <c r="G386" s="17"/>
      <c r="H386" s="17"/>
      <c r="I386" s="17"/>
      <c r="J386" s="17"/>
      <c r="K386" s="17"/>
      <c r="L386" s="17"/>
      <c r="M386" s="17"/>
    </row>
    <row r="387">
      <c r="A387" s="17"/>
      <c r="C387" s="17"/>
      <c r="D387" s="17"/>
      <c r="E387" s="17"/>
      <c r="F387" s="17"/>
      <c r="G387" s="17"/>
      <c r="H387" s="17"/>
      <c r="I387" s="17"/>
      <c r="J387" s="17"/>
      <c r="K387" s="17"/>
      <c r="L387" s="17"/>
      <c r="M387" s="17"/>
    </row>
    <row r="388">
      <c r="A388" s="17"/>
      <c r="C388" s="17"/>
      <c r="D388" s="17"/>
      <c r="E388" s="17"/>
      <c r="F388" s="17"/>
      <c r="G388" s="17"/>
      <c r="H388" s="17"/>
      <c r="I388" s="17"/>
      <c r="J388" s="17"/>
      <c r="K388" s="17"/>
      <c r="L388" s="17"/>
      <c r="M388" s="17"/>
    </row>
    <row r="389">
      <c r="A389" s="17"/>
      <c r="C389" s="17"/>
      <c r="D389" s="17"/>
      <c r="E389" s="17"/>
      <c r="F389" s="17"/>
      <c r="G389" s="17"/>
      <c r="H389" s="17"/>
      <c r="I389" s="17"/>
      <c r="J389" s="17"/>
      <c r="K389" s="17"/>
      <c r="L389" s="17"/>
      <c r="M389" s="17"/>
    </row>
    <row r="390">
      <c r="A390" s="17"/>
      <c r="C390" s="17"/>
      <c r="D390" s="17"/>
      <c r="E390" s="17"/>
      <c r="F390" s="17"/>
      <c r="G390" s="17"/>
      <c r="H390" s="17"/>
      <c r="I390" s="17"/>
      <c r="J390" s="17"/>
      <c r="K390" s="17"/>
      <c r="L390" s="17"/>
      <c r="M390" s="17"/>
    </row>
    <row r="391">
      <c r="A391" s="17"/>
      <c r="C391" s="17"/>
      <c r="D391" s="17"/>
      <c r="E391" s="17"/>
      <c r="F391" s="17"/>
      <c r="G391" s="17"/>
      <c r="H391" s="17"/>
      <c r="I391" s="17"/>
      <c r="J391" s="17"/>
      <c r="K391" s="17"/>
      <c r="L391" s="17"/>
      <c r="M391" s="17"/>
    </row>
    <row r="392">
      <c r="A392" s="17"/>
      <c r="C392" s="17"/>
      <c r="D392" s="17"/>
      <c r="E392" s="17"/>
      <c r="F392" s="17"/>
      <c r="G392" s="17"/>
      <c r="H392" s="17"/>
      <c r="I392" s="17"/>
      <c r="J392" s="17"/>
      <c r="K392" s="17"/>
      <c r="L392" s="17"/>
      <c r="M392" s="17"/>
    </row>
    <row r="393">
      <c r="A393" s="17"/>
      <c r="C393" s="17"/>
      <c r="D393" s="17"/>
      <c r="E393" s="17"/>
      <c r="F393" s="17"/>
      <c r="G393" s="17"/>
      <c r="H393" s="17"/>
      <c r="I393" s="17"/>
      <c r="J393" s="17"/>
      <c r="K393" s="17"/>
      <c r="L393" s="17"/>
      <c r="M393" s="17"/>
    </row>
    <row r="394">
      <c r="A394" s="17"/>
      <c r="C394" s="17"/>
      <c r="D394" s="17"/>
      <c r="E394" s="17"/>
      <c r="F394" s="17"/>
      <c r="G394" s="17"/>
      <c r="H394" s="17"/>
      <c r="I394" s="17"/>
      <c r="J394" s="17"/>
      <c r="K394" s="17"/>
      <c r="L394" s="17"/>
      <c r="M394" s="17"/>
    </row>
    <row r="395">
      <c r="A395" s="17"/>
      <c r="C395" s="17"/>
      <c r="D395" s="17"/>
      <c r="E395" s="17"/>
      <c r="F395" s="17"/>
      <c r="G395" s="17"/>
      <c r="H395" s="17"/>
      <c r="I395" s="17"/>
      <c r="J395" s="17"/>
      <c r="K395" s="17"/>
      <c r="L395" s="17"/>
      <c r="M395" s="17"/>
    </row>
    <row r="396">
      <c r="A396" s="17"/>
      <c r="C396" s="17"/>
      <c r="D396" s="17"/>
      <c r="E396" s="17"/>
      <c r="F396" s="17"/>
      <c r="G396" s="17"/>
      <c r="H396" s="17"/>
      <c r="I396" s="17"/>
      <c r="J396" s="17"/>
      <c r="K396" s="17"/>
      <c r="L396" s="17"/>
      <c r="M396" s="17"/>
    </row>
    <row r="397">
      <c r="A397" s="17"/>
      <c r="C397" s="17"/>
      <c r="D397" s="17"/>
      <c r="E397" s="17"/>
      <c r="F397" s="17"/>
      <c r="G397" s="17"/>
      <c r="H397" s="17"/>
      <c r="I397" s="17"/>
      <c r="J397" s="17"/>
      <c r="K397" s="17"/>
      <c r="L397" s="17"/>
      <c r="M397" s="17"/>
    </row>
    <row r="398">
      <c r="A398" s="17"/>
      <c r="C398" s="17"/>
      <c r="D398" s="17"/>
      <c r="E398" s="17"/>
      <c r="F398" s="17"/>
      <c r="G398" s="17"/>
      <c r="H398" s="17"/>
      <c r="I398" s="17"/>
      <c r="J398" s="17"/>
      <c r="K398" s="17"/>
      <c r="L398" s="17"/>
      <c r="M398" s="17"/>
    </row>
    <row r="399">
      <c r="A399" s="17"/>
      <c r="C399" s="17"/>
      <c r="D399" s="17"/>
      <c r="E399" s="17"/>
      <c r="F399" s="17"/>
      <c r="G399" s="17"/>
      <c r="H399" s="17"/>
      <c r="I399" s="17"/>
      <c r="J399" s="17"/>
      <c r="K399" s="17"/>
      <c r="L399" s="17"/>
      <c r="M399" s="17"/>
    </row>
    <row r="400">
      <c r="A400" s="17"/>
      <c r="C400" s="17"/>
      <c r="D400" s="17"/>
      <c r="E400" s="17"/>
      <c r="F400" s="17"/>
      <c r="G400" s="17"/>
      <c r="H400" s="17"/>
      <c r="I400" s="17"/>
      <c r="J400" s="17"/>
      <c r="K400" s="17"/>
      <c r="L400" s="17"/>
      <c r="M400" s="17"/>
    </row>
    <row r="401">
      <c r="A401" s="17"/>
      <c r="C401" s="17"/>
      <c r="D401" s="17"/>
      <c r="E401" s="17"/>
      <c r="F401" s="17"/>
      <c r="G401" s="17"/>
      <c r="H401" s="17"/>
      <c r="I401" s="17"/>
      <c r="J401" s="17"/>
      <c r="K401" s="17"/>
      <c r="L401" s="17"/>
      <c r="M401" s="17"/>
    </row>
    <row r="402">
      <c r="A402" s="17"/>
      <c r="C402" s="17"/>
      <c r="D402" s="17"/>
      <c r="E402" s="17"/>
      <c r="F402" s="17"/>
      <c r="G402" s="17"/>
      <c r="H402" s="17"/>
      <c r="I402" s="17"/>
      <c r="J402" s="17"/>
      <c r="K402" s="17"/>
      <c r="L402" s="17"/>
      <c r="M402" s="17"/>
    </row>
    <row r="403">
      <c r="A403" s="17"/>
      <c r="C403" s="17"/>
      <c r="D403" s="17"/>
      <c r="E403" s="17"/>
      <c r="F403" s="17"/>
      <c r="G403" s="17"/>
      <c r="H403" s="17"/>
      <c r="I403" s="17"/>
      <c r="J403" s="17"/>
      <c r="K403" s="17"/>
      <c r="L403" s="17"/>
      <c r="M403" s="17"/>
    </row>
    <row r="404">
      <c r="A404" s="17"/>
      <c r="C404" s="17"/>
      <c r="D404" s="17"/>
      <c r="E404" s="17"/>
      <c r="F404" s="17"/>
      <c r="G404" s="17"/>
      <c r="H404" s="17"/>
      <c r="I404" s="17"/>
      <c r="J404" s="17"/>
      <c r="K404" s="17"/>
      <c r="L404" s="17"/>
      <c r="M404" s="17"/>
    </row>
    <row r="405">
      <c r="A405" s="17"/>
      <c r="C405" s="17"/>
      <c r="D405" s="17"/>
      <c r="E405" s="17"/>
      <c r="F405" s="17"/>
      <c r="G405" s="17"/>
      <c r="H405" s="17"/>
      <c r="I405" s="17"/>
      <c r="J405" s="17"/>
      <c r="K405" s="17"/>
      <c r="L405" s="17"/>
      <c r="M405" s="17"/>
    </row>
    <row r="406">
      <c r="A406" s="17"/>
      <c r="C406" s="17"/>
      <c r="D406" s="17"/>
      <c r="E406" s="17"/>
      <c r="F406" s="17"/>
      <c r="G406" s="17"/>
      <c r="H406" s="17"/>
      <c r="I406" s="17"/>
      <c r="J406" s="17"/>
      <c r="K406" s="17"/>
      <c r="L406" s="17"/>
      <c r="M406" s="17"/>
    </row>
    <row r="407">
      <c r="A407" s="17"/>
      <c r="C407" s="17"/>
      <c r="D407" s="17"/>
      <c r="E407" s="17"/>
      <c r="F407" s="17"/>
      <c r="G407" s="17"/>
      <c r="H407" s="17"/>
      <c r="I407" s="17"/>
      <c r="J407" s="17"/>
      <c r="K407" s="17"/>
      <c r="L407" s="17"/>
      <c r="M407" s="17"/>
    </row>
    <row r="408">
      <c r="A408" s="17"/>
      <c r="C408" s="17"/>
      <c r="D408" s="17"/>
      <c r="E408" s="17"/>
      <c r="F408" s="17"/>
      <c r="G408" s="17"/>
      <c r="H408" s="17"/>
      <c r="I408" s="17"/>
      <c r="J408" s="17"/>
      <c r="K408" s="17"/>
      <c r="L408" s="17"/>
      <c r="M408" s="17"/>
    </row>
    <row r="409">
      <c r="A409" s="17"/>
      <c r="C409" s="17"/>
      <c r="D409" s="17"/>
      <c r="E409" s="17"/>
      <c r="F409" s="17"/>
      <c r="G409" s="17"/>
      <c r="H409" s="17"/>
      <c r="I409" s="17"/>
      <c r="J409" s="17"/>
      <c r="K409" s="17"/>
      <c r="L409" s="17"/>
      <c r="M409" s="17"/>
    </row>
    <row r="410">
      <c r="A410" s="17"/>
      <c r="C410" s="17"/>
      <c r="D410" s="17"/>
      <c r="E410" s="17"/>
      <c r="F410" s="17"/>
      <c r="G410" s="17"/>
      <c r="H410" s="17"/>
      <c r="I410" s="17"/>
      <c r="J410" s="17"/>
      <c r="K410" s="17"/>
      <c r="L410" s="17"/>
      <c r="M410" s="17"/>
    </row>
    <row r="411">
      <c r="A411" s="17"/>
      <c r="C411" s="17"/>
      <c r="D411" s="17"/>
      <c r="E411" s="17"/>
      <c r="F411" s="17"/>
      <c r="G411" s="17"/>
      <c r="H411" s="17"/>
      <c r="I411" s="17"/>
      <c r="J411" s="17"/>
      <c r="K411" s="17"/>
      <c r="L411" s="17"/>
      <c r="M411" s="17"/>
    </row>
    <row r="412">
      <c r="A412" s="17"/>
      <c r="C412" s="17"/>
      <c r="D412" s="17"/>
      <c r="E412" s="17"/>
      <c r="F412" s="17"/>
      <c r="G412" s="17"/>
      <c r="H412" s="17"/>
      <c r="I412" s="17"/>
      <c r="J412" s="17"/>
      <c r="K412" s="17"/>
      <c r="L412" s="17"/>
      <c r="M412" s="17"/>
    </row>
    <row r="413">
      <c r="A413" s="17"/>
      <c r="C413" s="17"/>
      <c r="D413" s="17"/>
      <c r="E413" s="17"/>
      <c r="F413" s="17"/>
      <c r="G413" s="17"/>
      <c r="H413" s="17"/>
      <c r="I413" s="17"/>
      <c r="J413" s="17"/>
      <c r="K413" s="17"/>
      <c r="L413" s="17"/>
      <c r="M413" s="17"/>
    </row>
    <row r="414">
      <c r="A414" s="17"/>
      <c r="C414" s="17"/>
      <c r="D414" s="17"/>
      <c r="E414" s="17"/>
      <c r="F414" s="17"/>
      <c r="G414" s="17"/>
      <c r="H414" s="17"/>
      <c r="I414" s="17"/>
      <c r="J414" s="17"/>
      <c r="K414" s="17"/>
      <c r="L414" s="17"/>
      <c r="M414" s="17"/>
    </row>
    <row r="415">
      <c r="A415" s="17"/>
      <c r="C415" s="17"/>
      <c r="D415" s="17"/>
      <c r="E415" s="17"/>
      <c r="F415" s="17"/>
      <c r="G415" s="17"/>
      <c r="H415" s="17"/>
      <c r="I415" s="17"/>
      <c r="J415" s="17"/>
      <c r="K415" s="17"/>
      <c r="L415" s="17"/>
      <c r="M415" s="17"/>
    </row>
    <row r="416">
      <c r="A416" s="17"/>
      <c r="C416" s="17"/>
      <c r="D416" s="17"/>
      <c r="E416" s="17"/>
      <c r="F416" s="17"/>
      <c r="G416" s="17"/>
      <c r="H416" s="17"/>
      <c r="I416" s="17"/>
      <c r="J416" s="17"/>
      <c r="K416" s="17"/>
      <c r="L416" s="17"/>
      <c r="M416" s="17"/>
    </row>
    <row r="417">
      <c r="A417" s="17"/>
      <c r="C417" s="17"/>
      <c r="D417" s="17"/>
      <c r="E417" s="17"/>
      <c r="F417" s="17"/>
      <c r="G417" s="17"/>
      <c r="H417" s="17"/>
      <c r="I417" s="17"/>
      <c r="J417" s="17"/>
      <c r="K417" s="17"/>
      <c r="L417" s="17"/>
      <c r="M417" s="17"/>
    </row>
    <row r="418">
      <c r="A418" s="17"/>
      <c r="C418" s="17"/>
      <c r="D418" s="17"/>
      <c r="E418" s="17"/>
      <c r="F418" s="17"/>
      <c r="G418" s="17"/>
      <c r="H418" s="17"/>
      <c r="I418" s="17"/>
      <c r="J418" s="17"/>
      <c r="K418" s="17"/>
      <c r="L418" s="17"/>
      <c r="M418" s="17"/>
    </row>
    <row r="419">
      <c r="A419" s="17"/>
      <c r="C419" s="17"/>
      <c r="D419" s="17"/>
      <c r="E419" s="17"/>
      <c r="F419" s="17"/>
      <c r="G419" s="17"/>
      <c r="H419" s="17"/>
      <c r="I419" s="17"/>
      <c r="J419" s="17"/>
      <c r="K419" s="17"/>
      <c r="L419" s="17"/>
      <c r="M419" s="17"/>
    </row>
    <row r="420">
      <c r="A420" s="17"/>
      <c r="C420" s="17"/>
      <c r="D420" s="17"/>
      <c r="E420" s="17"/>
      <c r="F420" s="17"/>
      <c r="G420" s="17"/>
      <c r="H420" s="17"/>
      <c r="I420" s="17"/>
      <c r="J420" s="17"/>
      <c r="K420" s="17"/>
      <c r="L420" s="17"/>
      <c r="M420" s="17"/>
    </row>
    <row r="421">
      <c r="A421" s="17"/>
      <c r="C421" s="17"/>
      <c r="D421" s="17"/>
      <c r="E421" s="17"/>
      <c r="F421" s="17"/>
      <c r="G421" s="17"/>
      <c r="H421" s="17"/>
      <c r="I421" s="17"/>
      <c r="J421" s="17"/>
      <c r="K421" s="17"/>
      <c r="L421" s="17"/>
      <c r="M421" s="17"/>
    </row>
    <row r="422">
      <c r="A422" s="17"/>
      <c r="C422" s="17"/>
      <c r="D422" s="17"/>
      <c r="E422" s="17"/>
      <c r="F422" s="17"/>
      <c r="G422" s="17"/>
      <c r="H422" s="17"/>
      <c r="I422" s="17"/>
      <c r="J422" s="17"/>
      <c r="K422" s="17"/>
      <c r="L422" s="17"/>
      <c r="M422" s="17"/>
    </row>
    <row r="423">
      <c r="A423" s="17"/>
      <c r="C423" s="17"/>
      <c r="D423" s="17"/>
      <c r="E423" s="17"/>
      <c r="F423" s="17"/>
      <c r="G423" s="17"/>
      <c r="H423" s="17"/>
      <c r="I423" s="17"/>
      <c r="J423" s="17"/>
      <c r="K423" s="17"/>
      <c r="L423" s="17"/>
      <c r="M423" s="17"/>
    </row>
    <row r="424">
      <c r="A424" s="17"/>
      <c r="C424" s="17"/>
      <c r="D424" s="17"/>
      <c r="E424" s="17"/>
      <c r="F424" s="17"/>
      <c r="G424" s="17"/>
      <c r="H424" s="17"/>
      <c r="I424" s="17"/>
      <c r="J424" s="17"/>
      <c r="K424" s="17"/>
      <c r="L424" s="17"/>
      <c r="M424" s="17"/>
    </row>
    <row r="425">
      <c r="A425" s="17"/>
      <c r="C425" s="17"/>
      <c r="D425" s="17"/>
      <c r="E425" s="17"/>
      <c r="F425" s="17"/>
      <c r="G425" s="17"/>
      <c r="H425" s="17"/>
      <c r="I425" s="17"/>
      <c r="J425" s="17"/>
      <c r="K425" s="17"/>
      <c r="L425" s="17"/>
      <c r="M425" s="17"/>
    </row>
    <row r="426">
      <c r="A426" s="17"/>
      <c r="C426" s="17"/>
      <c r="D426" s="17"/>
      <c r="E426" s="17"/>
      <c r="F426" s="17"/>
      <c r="G426" s="17"/>
      <c r="H426" s="17"/>
      <c r="I426" s="17"/>
      <c r="J426" s="17"/>
      <c r="K426" s="17"/>
      <c r="L426" s="17"/>
      <c r="M426" s="17"/>
    </row>
    <row r="427">
      <c r="A427" s="17"/>
      <c r="C427" s="17"/>
      <c r="D427" s="17"/>
      <c r="E427" s="17"/>
      <c r="F427" s="17"/>
      <c r="G427" s="17"/>
      <c r="H427" s="17"/>
      <c r="I427" s="17"/>
      <c r="J427" s="17"/>
      <c r="K427" s="17"/>
      <c r="L427" s="17"/>
      <c r="M427" s="17"/>
    </row>
    <row r="428">
      <c r="A428" s="17"/>
      <c r="C428" s="17"/>
      <c r="D428" s="17"/>
      <c r="E428" s="17"/>
      <c r="F428" s="17"/>
      <c r="G428" s="17"/>
      <c r="H428" s="17"/>
      <c r="I428" s="17"/>
      <c r="J428" s="17"/>
      <c r="K428" s="17"/>
      <c r="L428" s="17"/>
      <c r="M428" s="17"/>
    </row>
    <row r="429">
      <c r="A429" s="17"/>
      <c r="C429" s="17"/>
      <c r="D429" s="17"/>
      <c r="E429" s="17"/>
      <c r="F429" s="17"/>
      <c r="G429" s="17"/>
      <c r="H429" s="17"/>
      <c r="I429" s="17"/>
      <c r="J429" s="17"/>
      <c r="K429" s="17"/>
      <c r="L429" s="17"/>
      <c r="M429" s="17"/>
    </row>
    <row r="430">
      <c r="A430" s="17"/>
      <c r="C430" s="17"/>
      <c r="D430" s="17"/>
      <c r="E430" s="17"/>
      <c r="F430" s="17"/>
      <c r="G430" s="17"/>
      <c r="H430" s="17"/>
      <c r="I430" s="17"/>
      <c r="J430" s="17"/>
      <c r="K430" s="17"/>
      <c r="L430" s="17"/>
      <c r="M430" s="17"/>
    </row>
    <row r="431">
      <c r="A431" s="17"/>
      <c r="C431" s="17"/>
      <c r="D431" s="17"/>
      <c r="E431" s="17"/>
      <c r="F431" s="17"/>
      <c r="G431" s="17"/>
      <c r="H431" s="17"/>
      <c r="I431" s="17"/>
      <c r="J431" s="17"/>
      <c r="K431" s="17"/>
      <c r="L431" s="17"/>
      <c r="M431" s="17"/>
    </row>
    <row r="432">
      <c r="A432" s="17"/>
      <c r="C432" s="17"/>
      <c r="D432" s="17"/>
      <c r="E432" s="17"/>
      <c r="F432" s="17"/>
      <c r="G432" s="17"/>
      <c r="H432" s="17"/>
      <c r="I432" s="17"/>
      <c r="J432" s="17"/>
      <c r="K432" s="17"/>
      <c r="L432" s="17"/>
      <c r="M432" s="17"/>
    </row>
    <row r="433">
      <c r="A433" s="17"/>
      <c r="C433" s="17"/>
      <c r="D433" s="17"/>
      <c r="E433" s="17"/>
      <c r="F433" s="17"/>
      <c r="G433" s="17"/>
      <c r="H433" s="17"/>
      <c r="I433" s="17"/>
      <c r="J433" s="17"/>
      <c r="K433" s="17"/>
      <c r="L433" s="17"/>
      <c r="M433" s="17"/>
    </row>
    <row r="434">
      <c r="A434" s="17"/>
      <c r="C434" s="17"/>
      <c r="D434" s="17"/>
      <c r="E434" s="17"/>
      <c r="F434" s="17"/>
      <c r="G434" s="17"/>
      <c r="H434" s="17"/>
      <c r="I434" s="17"/>
      <c r="J434" s="17"/>
      <c r="K434" s="17"/>
      <c r="L434" s="17"/>
      <c r="M434" s="17"/>
    </row>
    <row r="435">
      <c r="A435" s="17"/>
      <c r="C435" s="17"/>
      <c r="D435" s="17"/>
      <c r="E435" s="17"/>
      <c r="F435" s="17"/>
      <c r="G435" s="17"/>
      <c r="H435" s="17"/>
      <c r="I435" s="17"/>
      <c r="J435" s="17"/>
      <c r="K435" s="17"/>
      <c r="L435" s="17"/>
      <c r="M435" s="17"/>
    </row>
    <row r="436">
      <c r="A436" s="17"/>
      <c r="C436" s="17"/>
      <c r="D436" s="17"/>
      <c r="E436" s="17"/>
      <c r="F436" s="17"/>
      <c r="G436" s="17"/>
      <c r="H436" s="17"/>
      <c r="I436" s="17"/>
      <c r="J436" s="17"/>
      <c r="K436" s="17"/>
      <c r="L436" s="17"/>
      <c r="M436" s="17"/>
    </row>
    <row r="437">
      <c r="A437" s="17"/>
      <c r="C437" s="17"/>
      <c r="D437" s="17"/>
      <c r="E437" s="17"/>
      <c r="F437" s="17"/>
      <c r="G437" s="17"/>
      <c r="H437" s="17"/>
      <c r="I437" s="17"/>
      <c r="J437" s="17"/>
      <c r="K437" s="17"/>
      <c r="L437" s="17"/>
      <c r="M437" s="17"/>
    </row>
    <row r="438">
      <c r="A438" s="17"/>
      <c r="C438" s="17"/>
      <c r="D438" s="17"/>
      <c r="E438" s="17"/>
      <c r="F438" s="17"/>
      <c r="G438" s="17"/>
      <c r="H438" s="17"/>
      <c r="I438" s="17"/>
      <c r="J438" s="17"/>
      <c r="K438" s="17"/>
      <c r="L438" s="17"/>
      <c r="M438" s="17"/>
    </row>
    <row r="439">
      <c r="A439" s="17"/>
      <c r="C439" s="17"/>
      <c r="D439" s="17"/>
      <c r="E439" s="17"/>
      <c r="F439" s="17"/>
      <c r="G439" s="17"/>
      <c r="H439" s="17"/>
      <c r="I439" s="17"/>
      <c r="J439" s="17"/>
      <c r="K439" s="17"/>
      <c r="L439" s="17"/>
      <c r="M439" s="17"/>
    </row>
    <row r="440">
      <c r="A440" s="17"/>
      <c r="C440" s="17"/>
      <c r="D440" s="17"/>
      <c r="E440" s="17"/>
      <c r="F440" s="17"/>
      <c r="G440" s="17"/>
      <c r="H440" s="17"/>
      <c r="I440" s="17"/>
      <c r="J440" s="17"/>
      <c r="K440" s="17"/>
      <c r="L440" s="17"/>
      <c r="M440" s="17"/>
    </row>
    <row r="441">
      <c r="A441" s="17"/>
      <c r="C441" s="17"/>
      <c r="D441" s="17"/>
      <c r="E441" s="17"/>
      <c r="F441" s="17"/>
      <c r="G441" s="17"/>
      <c r="H441" s="17"/>
      <c r="I441" s="17"/>
      <c r="J441" s="17"/>
      <c r="K441" s="17"/>
      <c r="L441" s="17"/>
      <c r="M441" s="17"/>
    </row>
    <row r="442">
      <c r="A442" s="17"/>
      <c r="C442" s="17"/>
      <c r="D442" s="17"/>
      <c r="E442" s="17"/>
      <c r="F442" s="17"/>
      <c r="G442" s="17"/>
      <c r="H442" s="17"/>
      <c r="I442" s="17"/>
      <c r="J442" s="17"/>
      <c r="K442" s="17"/>
      <c r="L442" s="17"/>
      <c r="M442" s="17"/>
    </row>
    <row r="443">
      <c r="A443" s="17"/>
      <c r="C443" s="17"/>
      <c r="D443" s="17"/>
      <c r="E443" s="17"/>
      <c r="F443" s="17"/>
      <c r="G443" s="17"/>
      <c r="H443" s="17"/>
      <c r="I443" s="17"/>
      <c r="J443" s="17"/>
      <c r="K443" s="17"/>
      <c r="L443" s="17"/>
      <c r="M443" s="17"/>
    </row>
    <row r="444">
      <c r="A444" s="17"/>
      <c r="C444" s="17"/>
      <c r="D444" s="17"/>
      <c r="E444" s="17"/>
      <c r="F444" s="17"/>
      <c r="G444" s="17"/>
      <c r="H444" s="17"/>
      <c r="I444" s="17"/>
      <c r="J444" s="17"/>
      <c r="K444" s="17"/>
      <c r="L444" s="17"/>
      <c r="M444" s="17"/>
    </row>
    <row r="445">
      <c r="A445" s="17"/>
      <c r="C445" s="17"/>
      <c r="D445" s="17"/>
      <c r="E445" s="17"/>
      <c r="F445" s="17"/>
      <c r="G445" s="17"/>
      <c r="H445" s="17"/>
      <c r="I445" s="17"/>
      <c r="J445" s="17"/>
      <c r="K445" s="17"/>
      <c r="L445" s="17"/>
      <c r="M445" s="17"/>
    </row>
    <row r="446">
      <c r="A446" s="17"/>
      <c r="C446" s="17"/>
      <c r="D446" s="17"/>
      <c r="E446" s="17"/>
      <c r="F446" s="17"/>
      <c r="G446" s="17"/>
      <c r="H446" s="17"/>
      <c r="I446" s="17"/>
      <c r="J446" s="17"/>
      <c r="K446" s="17"/>
      <c r="L446" s="17"/>
      <c r="M446" s="17"/>
    </row>
    <row r="447">
      <c r="A447" s="17"/>
      <c r="C447" s="17"/>
      <c r="D447" s="17"/>
      <c r="E447" s="17"/>
      <c r="F447" s="17"/>
      <c r="G447" s="17"/>
      <c r="H447" s="17"/>
      <c r="I447" s="17"/>
      <c r="J447" s="17"/>
      <c r="K447" s="17"/>
      <c r="L447" s="17"/>
      <c r="M447" s="17"/>
    </row>
    <row r="448">
      <c r="A448" s="17"/>
      <c r="C448" s="17"/>
      <c r="D448" s="17"/>
      <c r="E448" s="17"/>
      <c r="F448" s="17"/>
      <c r="G448" s="17"/>
      <c r="H448" s="17"/>
      <c r="I448" s="17"/>
      <c r="J448" s="17"/>
      <c r="K448" s="17"/>
      <c r="L448" s="17"/>
      <c r="M448" s="17"/>
    </row>
    <row r="449">
      <c r="A449" s="17"/>
      <c r="C449" s="17"/>
      <c r="D449" s="17"/>
      <c r="E449" s="17"/>
      <c r="F449" s="17"/>
      <c r="G449" s="17"/>
      <c r="H449" s="17"/>
      <c r="I449" s="17"/>
      <c r="J449" s="17"/>
      <c r="K449" s="17"/>
      <c r="L449" s="17"/>
      <c r="M449" s="17"/>
    </row>
    <row r="450">
      <c r="A450" s="17"/>
      <c r="C450" s="17"/>
      <c r="D450" s="17"/>
      <c r="E450" s="17"/>
      <c r="F450" s="17"/>
      <c r="G450" s="17"/>
      <c r="H450" s="17"/>
      <c r="I450" s="17"/>
      <c r="J450" s="17"/>
      <c r="K450" s="17"/>
      <c r="L450" s="17"/>
      <c r="M450" s="17"/>
    </row>
    <row r="451">
      <c r="A451" s="17"/>
      <c r="C451" s="17"/>
      <c r="D451" s="17"/>
      <c r="E451" s="17"/>
      <c r="F451" s="17"/>
      <c r="G451" s="17"/>
      <c r="H451" s="17"/>
      <c r="I451" s="17"/>
      <c r="J451" s="17"/>
      <c r="K451" s="17"/>
      <c r="L451" s="17"/>
      <c r="M451" s="17"/>
    </row>
    <row r="452">
      <c r="A452" s="17"/>
      <c r="C452" s="17"/>
      <c r="D452" s="17"/>
      <c r="E452" s="17"/>
      <c r="F452" s="17"/>
      <c r="G452" s="17"/>
      <c r="H452" s="17"/>
      <c r="I452" s="17"/>
      <c r="J452" s="17"/>
      <c r="K452" s="17"/>
      <c r="L452" s="17"/>
      <c r="M452" s="17"/>
    </row>
    <row r="453">
      <c r="A453" s="17"/>
      <c r="C453" s="17"/>
      <c r="D453" s="17"/>
      <c r="E453" s="17"/>
      <c r="F453" s="17"/>
      <c r="G453" s="17"/>
      <c r="H453" s="17"/>
      <c r="I453" s="17"/>
      <c r="J453" s="17"/>
      <c r="K453" s="17"/>
      <c r="L453" s="17"/>
      <c r="M453" s="17"/>
    </row>
    <row r="454">
      <c r="A454" s="17"/>
      <c r="C454" s="17"/>
      <c r="D454" s="17"/>
      <c r="E454" s="17"/>
      <c r="F454" s="17"/>
      <c r="G454" s="17"/>
      <c r="H454" s="17"/>
      <c r="I454" s="17"/>
      <c r="J454" s="17"/>
      <c r="K454" s="17"/>
      <c r="L454" s="17"/>
      <c r="M454" s="17"/>
    </row>
    <row r="455">
      <c r="A455" s="17"/>
      <c r="C455" s="17"/>
      <c r="D455" s="17"/>
      <c r="E455" s="17"/>
      <c r="F455" s="17"/>
      <c r="G455" s="17"/>
      <c r="H455" s="17"/>
      <c r="I455" s="17"/>
      <c r="J455" s="17"/>
      <c r="K455" s="17"/>
      <c r="L455" s="17"/>
      <c r="M455" s="17"/>
    </row>
    <row r="456">
      <c r="A456" s="17"/>
      <c r="C456" s="17"/>
      <c r="D456" s="17"/>
      <c r="E456" s="17"/>
      <c r="F456" s="17"/>
      <c r="G456" s="17"/>
      <c r="H456" s="17"/>
      <c r="I456" s="17"/>
      <c r="J456" s="17"/>
      <c r="K456" s="17"/>
      <c r="L456" s="17"/>
      <c r="M456" s="17"/>
    </row>
    <row r="457">
      <c r="A457" s="17"/>
      <c r="C457" s="17"/>
      <c r="D457" s="17"/>
      <c r="E457" s="17"/>
      <c r="F457" s="17"/>
      <c r="G457" s="17"/>
      <c r="H457" s="17"/>
      <c r="I457" s="17"/>
      <c r="J457" s="17"/>
      <c r="K457" s="17"/>
      <c r="L457" s="17"/>
      <c r="M457" s="17"/>
    </row>
    <row r="458">
      <c r="A458" s="17"/>
      <c r="C458" s="17"/>
      <c r="D458" s="17"/>
      <c r="E458" s="17"/>
      <c r="F458" s="17"/>
      <c r="G458" s="17"/>
      <c r="H458" s="17"/>
      <c r="I458" s="17"/>
      <c r="J458" s="17"/>
      <c r="K458" s="17"/>
      <c r="L458" s="17"/>
      <c r="M458" s="17"/>
    </row>
    <row r="459">
      <c r="A459" s="17"/>
      <c r="C459" s="17"/>
      <c r="D459" s="17"/>
      <c r="E459" s="17"/>
      <c r="F459" s="17"/>
      <c r="G459" s="17"/>
      <c r="H459" s="17"/>
      <c r="I459" s="17"/>
      <c r="J459" s="17"/>
      <c r="K459" s="17"/>
      <c r="L459" s="17"/>
      <c r="M459" s="17"/>
    </row>
    <row r="460">
      <c r="A460" s="17"/>
      <c r="C460" s="17"/>
      <c r="D460" s="17"/>
      <c r="E460" s="17"/>
      <c r="F460" s="17"/>
      <c r="G460" s="17"/>
      <c r="H460" s="17"/>
      <c r="I460" s="17"/>
      <c r="J460" s="17"/>
      <c r="K460" s="17"/>
      <c r="L460" s="17"/>
      <c r="M460" s="17"/>
    </row>
    <row r="461">
      <c r="A461" s="17"/>
      <c r="C461" s="17"/>
      <c r="D461" s="17"/>
      <c r="E461" s="17"/>
      <c r="F461" s="17"/>
      <c r="G461" s="17"/>
      <c r="H461" s="17"/>
      <c r="I461" s="17"/>
      <c r="J461" s="17"/>
      <c r="K461" s="17"/>
      <c r="L461" s="17"/>
      <c r="M461" s="17"/>
    </row>
    <row r="462">
      <c r="A462" s="17"/>
      <c r="C462" s="17"/>
      <c r="D462" s="17"/>
      <c r="E462" s="17"/>
      <c r="F462" s="17"/>
      <c r="G462" s="17"/>
      <c r="H462" s="17"/>
      <c r="I462" s="17"/>
      <c r="J462" s="17"/>
      <c r="K462" s="17"/>
      <c r="L462" s="17"/>
      <c r="M462" s="17"/>
    </row>
    <row r="463">
      <c r="A463" s="17"/>
      <c r="C463" s="17"/>
      <c r="D463" s="17"/>
      <c r="E463" s="17"/>
      <c r="F463" s="17"/>
      <c r="G463" s="17"/>
      <c r="H463" s="17"/>
      <c r="I463" s="17"/>
      <c r="J463" s="17"/>
      <c r="K463" s="17"/>
      <c r="L463" s="17"/>
      <c r="M463" s="17"/>
    </row>
    <row r="464">
      <c r="A464" s="17"/>
      <c r="C464" s="17"/>
      <c r="D464" s="17"/>
      <c r="E464" s="17"/>
      <c r="F464" s="17"/>
      <c r="G464" s="17"/>
      <c r="H464" s="17"/>
      <c r="I464" s="17"/>
      <c r="J464" s="17"/>
      <c r="K464" s="17"/>
      <c r="L464" s="17"/>
      <c r="M464" s="17"/>
    </row>
    <row r="465">
      <c r="A465" s="17"/>
      <c r="C465" s="17"/>
      <c r="D465" s="17"/>
      <c r="E465" s="17"/>
      <c r="F465" s="17"/>
      <c r="G465" s="17"/>
      <c r="H465" s="17"/>
      <c r="I465" s="17"/>
      <c r="J465" s="17"/>
      <c r="K465" s="17"/>
      <c r="L465" s="17"/>
      <c r="M465" s="17"/>
    </row>
    <row r="466">
      <c r="A466" s="17"/>
      <c r="C466" s="17"/>
      <c r="D466" s="17"/>
      <c r="E466" s="17"/>
      <c r="F466" s="17"/>
      <c r="G466" s="17"/>
      <c r="H466" s="17"/>
      <c r="I466" s="17"/>
      <c r="J466" s="17"/>
      <c r="K466" s="17"/>
      <c r="L466" s="17"/>
      <c r="M466" s="17"/>
    </row>
    <row r="467">
      <c r="A467" s="17"/>
      <c r="C467" s="17"/>
      <c r="D467" s="17"/>
      <c r="E467" s="17"/>
      <c r="F467" s="17"/>
      <c r="G467" s="17"/>
      <c r="H467" s="17"/>
      <c r="I467" s="17"/>
      <c r="J467" s="17"/>
      <c r="K467" s="17"/>
      <c r="L467" s="17"/>
      <c r="M467" s="17"/>
    </row>
    <row r="468">
      <c r="A468" s="17"/>
      <c r="C468" s="17"/>
      <c r="D468" s="17"/>
      <c r="E468" s="17"/>
      <c r="F468" s="17"/>
      <c r="G468" s="17"/>
      <c r="H468" s="17"/>
      <c r="I468" s="17"/>
      <c r="J468" s="17"/>
      <c r="K468" s="17"/>
      <c r="L468" s="17"/>
      <c r="M468" s="17"/>
    </row>
    <row r="469">
      <c r="A469" s="17"/>
      <c r="C469" s="17"/>
      <c r="D469" s="17"/>
      <c r="E469" s="17"/>
      <c r="F469" s="17"/>
      <c r="G469" s="17"/>
      <c r="H469" s="17"/>
      <c r="I469" s="17"/>
      <c r="J469" s="17"/>
      <c r="K469" s="17"/>
      <c r="L469" s="17"/>
      <c r="M469" s="17"/>
    </row>
    <row r="470">
      <c r="A470" s="17"/>
      <c r="C470" s="17"/>
      <c r="D470" s="17"/>
      <c r="E470" s="17"/>
      <c r="F470" s="17"/>
      <c r="G470" s="17"/>
      <c r="H470" s="17"/>
      <c r="I470" s="17"/>
      <c r="J470" s="17"/>
      <c r="K470" s="17"/>
      <c r="L470" s="17"/>
      <c r="M470" s="17"/>
    </row>
    <row r="471">
      <c r="A471" s="17"/>
      <c r="C471" s="17"/>
      <c r="D471" s="17"/>
      <c r="E471" s="17"/>
      <c r="F471" s="17"/>
      <c r="G471" s="17"/>
      <c r="H471" s="17"/>
      <c r="I471" s="17"/>
      <c r="J471" s="17"/>
      <c r="K471" s="17"/>
      <c r="L471" s="17"/>
      <c r="M471" s="17"/>
    </row>
    <row r="472">
      <c r="A472" s="17"/>
      <c r="C472" s="17"/>
      <c r="D472" s="17"/>
      <c r="E472" s="17"/>
      <c r="F472" s="17"/>
      <c r="G472" s="17"/>
      <c r="H472" s="17"/>
      <c r="I472" s="17"/>
      <c r="J472" s="17"/>
      <c r="K472" s="17"/>
      <c r="L472" s="17"/>
      <c r="M472" s="17"/>
    </row>
    <row r="473">
      <c r="A473" s="17"/>
      <c r="C473" s="17"/>
      <c r="D473" s="17"/>
      <c r="E473" s="17"/>
      <c r="F473" s="17"/>
      <c r="G473" s="17"/>
      <c r="H473" s="17"/>
      <c r="I473" s="17"/>
      <c r="J473" s="17"/>
      <c r="K473" s="17"/>
      <c r="L473" s="17"/>
      <c r="M473" s="17"/>
    </row>
    <row r="474">
      <c r="A474" s="17"/>
      <c r="C474" s="17"/>
      <c r="D474" s="17"/>
      <c r="E474" s="17"/>
      <c r="F474" s="17"/>
      <c r="G474" s="17"/>
      <c r="H474" s="17"/>
      <c r="I474" s="17"/>
      <c r="J474" s="17"/>
      <c r="K474" s="17"/>
      <c r="L474" s="17"/>
      <c r="M474" s="17"/>
    </row>
    <row r="475">
      <c r="A475" s="17"/>
      <c r="C475" s="17"/>
      <c r="D475" s="17"/>
      <c r="E475" s="17"/>
      <c r="F475" s="17"/>
      <c r="G475" s="17"/>
      <c r="H475" s="17"/>
      <c r="I475" s="17"/>
      <c r="J475" s="17"/>
      <c r="K475" s="17"/>
      <c r="L475" s="17"/>
      <c r="M475" s="17"/>
    </row>
    <row r="476">
      <c r="A476" s="17"/>
      <c r="C476" s="17"/>
      <c r="D476" s="17"/>
      <c r="E476" s="17"/>
      <c r="F476" s="17"/>
      <c r="G476" s="17"/>
      <c r="H476" s="17"/>
      <c r="I476" s="17"/>
      <c r="J476" s="17"/>
      <c r="K476" s="17"/>
      <c r="L476" s="17"/>
      <c r="M476" s="17"/>
    </row>
    <row r="477">
      <c r="A477" s="17"/>
      <c r="C477" s="17"/>
      <c r="D477" s="17"/>
      <c r="E477" s="17"/>
      <c r="F477" s="17"/>
      <c r="G477" s="17"/>
      <c r="H477" s="17"/>
      <c r="I477" s="17"/>
      <c r="J477" s="17"/>
      <c r="K477" s="17"/>
      <c r="L477" s="17"/>
      <c r="M477" s="17"/>
    </row>
    <row r="478">
      <c r="A478" s="17"/>
      <c r="C478" s="17"/>
      <c r="D478" s="17"/>
      <c r="E478" s="17"/>
      <c r="F478" s="17"/>
      <c r="G478" s="17"/>
      <c r="H478" s="17"/>
      <c r="I478" s="17"/>
      <c r="J478" s="17"/>
      <c r="K478" s="17"/>
      <c r="L478" s="17"/>
      <c r="M478" s="17"/>
    </row>
    <row r="479">
      <c r="A479" s="17"/>
      <c r="C479" s="17"/>
      <c r="D479" s="17"/>
      <c r="E479" s="17"/>
      <c r="F479" s="17"/>
      <c r="G479" s="17"/>
      <c r="H479" s="17"/>
      <c r="I479" s="17"/>
      <c r="J479" s="17"/>
      <c r="K479" s="17"/>
      <c r="L479" s="17"/>
      <c r="M479" s="17"/>
    </row>
    <row r="480">
      <c r="A480" s="17"/>
      <c r="C480" s="17"/>
      <c r="D480" s="17"/>
      <c r="E480" s="17"/>
      <c r="F480" s="17"/>
      <c r="G480" s="17"/>
      <c r="H480" s="17"/>
      <c r="I480" s="17"/>
      <c r="J480" s="17"/>
      <c r="K480" s="17"/>
      <c r="L480" s="17"/>
      <c r="M480" s="17"/>
    </row>
    <row r="481">
      <c r="A481" s="17"/>
      <c r="C481" s="17"/>
      <c r="D481" s="17"/>
      <c r="E481" s="17"/>
      <c r="F481" s="17"/>
      <c r="G481" s="17"/>
      <c r="H481" s="17"/>
      <c r="I481" s="17"/>
      <c r="J481" s="17"/>
      <c r="K481" s="17"/>
      <c r="L481" s="17"/>
      <c r="M481" s="17"/>
    </row>
    <row r="482">
      <c r="A482" s="17"/>
      <c r="C482" s="17"/>
      <c r="D482" s="17"/>
      <c r="E482" s="17"/>
      <c r="F482" s="17"/>
      <c r="G482" s="17"/>
      <c r="H482" s="17"/>
      <c r="I482" s="17"/>
      <c r="J482" s="17"/>
      <c r="K482" s="17"/>
      <c r="L482" s="17"/>
      <c r="M482" s="17"/>
    </row>
    <row r="483">
      <c r="A483" s="17"/>
      <c r="C483" s="17"/>
      <c r="D483" s="17"/>
      <c r="E483" s="17"/>
      <c r="F483" s="17"/>
      <c r="G483" s="17"/>
      <c r="H483" s="17"/>
      <c r="I483" s="17"/>
      <c r="J483" s="17"/>
      <c r="K483" s="17"/>
      <c r="L483" s="17"/>
      <c r="M483" s="17"/>
    </row>
    <row r="484">
      <c r="A484" s="17"/>
      <c r="C484" s="17"/>
      <c r="D484" s="17"/>
      <c r="E484" s="17"/>
      <c r="F484" s="17"/>
      <c r="G484" s="17"/>
      <c r="H484" s="17"/>
      <c r="I484" s="17"/>
      <c r="J484" s="17"/>
      <c r="K484" s="17"/>
      <c r="L484" s="17"/>
      <c r="M484" s="17"/>
    </row>
    <row r="485">
      <c r="A485" s="17"/>
      <c r="C485" s="17"/>
      <c r="D485" s="17"/>
      <c r="E485" s="17"/>
      <c r="F485" s="17"/>
      <c r="G485" s="17"/>
      <c r="H485" s="17"/>
      <c r="I485" s="17"/>
      <c r="J485" s="17"/>
      <c r="K485" s="17"/>
      <c r="L485" s="17"/>
      <c r="M485" s="17"/>
    </row>
    <row r="486">
      <c r="A486" s="17"/>
      <c r="C486" s="17"/>
      <c r="D486" s="17"/>
      <c r="E486" s="17"/>
      <c r="F486" s="17"/>
      <c r="G486" s="17"/>
      <c r="H486" s="17"/>
      <c r="I486" s="17"/>
      <c r="J486" s="17"/>
      <c r="K486" s="17"/>
      <c r="L486" s="17"/>
      <c r="M486" s="17"/>
    </row>
    <row r="487">
      <c r="A487" s="17"/>
      <c r="C487" s="17"/>
      <c r="D487" s="17"/>
      <c r="E487" s="17"/>
      <c r="F487" s="17"/>
      <c r="G487" s="17"/>
      <c r="H487" s="17"/>
      <c r="I487" s="17"/>
      <c r="J487" s="17"/>
      <c r="K487" s="17"/>
      <c r="L487" s="17"/>
      <c r="M487" s="17"/>
    </row>
    <row r="488">
      <c r="A488" s="17"/>
      <c r="C488" s="17"/>
      <c r="D488" s="17"/>
      <c r="E488" s="17"/>
      <c r="F488" s="17"/>
      <c r="G488" s="17"/>
      <c r="H488" s="17"/>
      <c r="I488" s="17"/>
      <c r="J488" s="17"/>
      <c r="K488" s="17"/>
      <c r="L488" s="17"/>
      <c r="M488" s="17"/>
    </row>
    <row r="489">
      <c r="A489" s="17"/>
      <c r="C489" s="17"/>
      <c r="D489" s="17"/>
      <c r="E489" s="17"/>
      <c r="F489" s="17"/>
      <c r="G489" s="17"/>
      <c r="H489" s="17"/>
      <c r="I489" s="17"/>
      <c r="J489" s="17"/>
      <c r="K489" s="17"/>
      <c r="L489" s="17"/>
      <c r="M489" s="17"/>
    </row>
    <row r="490">
      <c r="A490" s="17"/>
      <c r="C490" s="17"/>
      <c r="D490" s="17"/>
      <c r="E490" s="17"/>
      <c r="F490" s="17"/>
      <c r="G490" s="17"/>
      <c r="H490" s="17"/>
      <c r="I490" s="17"/>
      <c r="J490" s="17"/>
      <c r="K490" s="17"/>
      <c r="L490" s="17"/>
      <c r="M490" s="17"/>
    </row>
    <row r="491">
      <c r="A491" s="17"/>
      <c r="C491" s="17"/>
      <c r="D491" s="17"/>
      <c r="E491" s="17"/>
      <c r="F491" s="17"/>
      <c r="G491" s="17"/>
      <c r="H491" s="17"/>
      <c r="I491" s="17"/>
      <c r="J491" s="17"/>
      <c r="K491" s="17"/>
      <c r="L491" s="17"/>
      <c r="M491" s="17"/>
    </row>
    <row r="492">
      <c r="A492" s="17"/>
      <c r="C492" s="17"/>
      <c r="D492" s="17"/>
      <c r="E492" s="17"/>
      <c r="F492" s="17"/>
      <c r="G492" s="17"/>
      <c r="H492" s="17"/>
      <c r="I492" s="17"/>
      <c r="J492" s="17"/>
      <c r="K492" s="17"/>
      <c r="L492" s="17"/>
      <c r="M492" s="17"/>
    </row>
    <row r="493">
      <c r="A493" s="17"/>
      <c r="C493" s="17"/>
      <c r="D493" s="17"/>
      <c r="E493" s="17"/>
      <c r="F493" s="17"/>
      <c r="G493" s="17"/>
      <c r="H493" s="17"/>
      <c r="I493" s="17"/>
      <c r="J493" s="17"/>
      <c r="K493" s="17"/>
      <c r="L493" s="17"/>
      <c r="M493" s="17"/>
    </row>
    <row r="494">
      <c r="A494" s="17"/>
      <c r="C494" s="17"/>
      <c r="D494" s="17"/>
      <c r="E494" s="17"/>
      <c r="F494" s="17"/>
      <c r="G494" s="17"/>
      <c r="H494" s="17"/>
      <c r="I494" s="17"/>
      <c r="J494" s="17"/>
      <c r="K494" s="17"/>
      <c r="L494" s="17"/>
      <c r="M494" s="17"/>
    </row>
    <row r="495">
      <c r="A495" s="17"/>
      <c r="C495" s="17"/>
      <c r="D495" s="17"/>
      <c r="E495" s="17"/>
      <c r="F495" s="17"/>
      <c r="G495" s="17"/>
      <c r="H495" s="17"/>
      <c r="I495" s="17"/>
      <c r="J495" s="17"/>
      <c r="K495" s="17"/>
      <c r="L495" s="17"/>
      <c r="M495" s="17"/>
    </row>
    <row r="496">
      <c r="A496" s="17"/>
      <c r="C496" s="17"/>
      <c r="D496" s="17"/>
      <c r="E496" s="17"/>
      <c r="F496" s="17"/>
      <c r="G496" s="17"/>
      <c r="H496" s="17"/>
      <c r="I496" s="17"/>
      <c r="J496" s="17"/>
      <c r="K496" s="17"/>
      <c r="L496" s="17"/>
      <c r="M496" s="17"/>
    </row>
    <row r="497">
      <c r="A497" s="17"/>
      <c r="C497" s="17"/>
      <c r="D497" s="17"/>
      <c r="E497" s="17"/>
      <c r="F497" s="17"/>
      <c r="G497" s="17"/>
      <c r="H497" s="17"/>
      <c r="I497" s="17"/>
      <c r="J497" s="17"/>
      <c r="K497" s="17"/>
      <c r="L497" s="17"/>
      <c r="M497" s="17"/>
    </row>
    <row r="498">
      <c r="A498" s="17"/>
      <c r="C498" s="17"/>
      <c r="D498" s="17"/>
      <c r="E498" s="17"/>
      <c r="F498" s="17"/>
      <c r="G498" s="17"/>
      <c r="H498" s="17"/>
      <c r="I498" s="17"/>
      <c r="J498" s="17"/>
      <c r="K498" s="17"/>
      <c r="L498" s="17"/>
      <c r="M498" s="17"/>
    </row>
    <row r="499">
      <c r="A499" s="17"/>
      <c r="C499" s="17"/>
      <c r="D499" s="17"/>
      <c r="E499" s="17"/>
      <c r="F499" s="17"/>
      <c r="G499" s="17"/>
      <c r="H499" s="17"/>
      <c r="I499" s="17"/>
      <c r="J499" s="17"/>
      <c r="K499" s="17"/>
      <c r="L499" s="17"/>
      <c r="M499" s="17"/>
    </row>
    <row r="500">
      <c r="A500" s="17"/>
      <c r="C500" s="17"/>
      <c r="D500" s="17"/>
      <c r="E500" s="17"/>
      <c r="F500" s="17"/>
      <c r="G500" s="17"/>
      <c r="H500" s="17"/>
      <c r="I500" s="17"/>
      <c r="J500" s="17"/>
      <c r="K500" s="17"/>
      <c r="L500" s="17"/>
      <c r="M500" s="17"/>
    </row>
    <row r="501">
      <c r="A501" s="17"/>
      <c r="C501" s="17"/>
      <c r="D501" s="17"/>
      <c r="E501" s="17"/>
      <c r="F501" s="17"/>
      <c r="G501" s="17"/>
      <c r="H501" s="17"/>
      <c r="I501" s="17"/>
      <c r="J501" s="17"/>
      <c r="K501" s="17"/>
      <c r="L501" s="17"/>
      <c r="M501" s="17"/>
    </row>
    <row r="502">
      <c r="A502" s="17"/>
      <c r="C502" s="17"/>
      <c r="D502" s="17"/>
      <c r="E502" s="17"/>
      <c r="F502" s="17"/>
      <c r="G502" s="17"/>
      <c r="H502" s="17"/>
      <c r="I502" s="17"/>
      <c r="J502" s="17"/>
      <c r="K502" s="17"/>
      <c r="L502" s="17"/>
      <c r="M502" s="17"/>
    </row>
    <row r="503">
      <c r="A503" s="17"/>
      <c r="C503" s="17"/>
      <c r="D503" s="17"/>
      <c r="E503" s="17"/>
      <c r="F503" s="17"/>
      <c r="G503" s="17"/>
      <c r="H503" s="17"/>
      <c r="I503" s="17"/>
      <c r="J503" s="17"/>
      <c r="K503" s="17"/>
      <c r="L503" s="17"/>
      <c r="M503" s="17"/>
    </row>
    <row r="504">
      <c r="A504" s="17"/>
      <c r="C504" s="17"/>
      <c r="D504" s="17"/>
      <c r="E504" s="17"/>
      <c r="F504" s="17"/>
      <c r="G504" s="17"/>
      <c r="H504" s="17"/>
      <c r="I504" s="17"/>
      <c r="J504" s="17"/>
      <c r="K504" s="17"/>
      <c r="L504" s="17"/>
      <c r="M504" s="17"/>
    </row>
    <row r="505">
      <c r="A505" s="17"/>
      <c r="C505" s="17"/>
      <c r="D505" s="17"/>
      <c r="E505" s="17"/>
      <c r="F505" s="17"/>
      <c r="G505" s="17"/>
      <c r="H505" s="17"/>
      <c r="I505" s="17"/>
      <c r="J505" s="17"/>
      <c r="K505" s="17"/>
      <c r="L505" s="17"/>
      <c r="M505" s="17"/>
    </row>
    <row r="506">
      <c r="A506" s="17"/>
      <c r="C506" s="17"/>
      <c r="D506" s="17"/>
      <c r="E506" s="17"/>
      <c r="F506" s="17"/>
      <c r="G506" s="17"/>
      <c r="H506" s="17"/>
      <c r="I506" s="17"/>
      <c r="J506" s="17"/>
      <c r="K506" s="17"/>
      <c r="L506" s="17"/>
      <c r="M506" s="17"/>
    </row>
    <row r="507">
      <c r="A507" s="17"/>
      <c r="C507" s="17"/>
      <c r="D507" s="17"/>
      <c r="E507" s="17"/>
      <c r="F507" s="17"/>
      <c r="G507" s="17"/>
      <c r="H507" s="17"/>
      <c r="I507" s="17"/>
      <c r="J507" s="17"/>
      <c r="K507" s="17"/>
      <c r="L507" s="17"/>
      <c r="M507" s="17"/>
    </row>
    <row r="508">
      <c r="A508" s="17"/>
      <c r="C508" s="17"/>
      <c r="D508" s="17"/>
      <c r="E508" s="17"/>
      <c r="F508" s="17"/>
      <c r="G508" s="17"/>
      <c r="H508" s="17"/>
      <c r="I508" s="17"/>
      <c r="J508" s="17"/>
      <c r="K508" s="17"/>
      <c r="L508" s="17"/>
      <c r="M508" s="17"/>
    </row>
    <row r="509">
      <c r="A509" s="17"/>
      <c r="C509" s="17"/>
      <c r="D509" s="17"/>
      <c r="E509" s="17"/>
      <c r="F509" s="17"/>
      <c r="G509" s="17"/>
      <c r="H509" s="17"/>
      <c r="I509" s="17"/>
      <c r="J509" s="17"/>
      <c r="K509" s="17"/>
      <c r="L509" s="17"/>
      <c r="M509" s="17"/>
    </row>
    <row r="510">
      <c r="A510" s="17"/>
      <c r="C510" s="17"/>
      <c r="D510" s="17"/>
      <c r="E510" s="17"/>
      <c r="F510" s="17"/>
      <c r="G510" s="17"/>
      <c r="H510" s="17"/>
      <c r="I510" s="17"/>
      <c r="J510" s="17"/>
      <c r="K510" s="17"/>
      <c r="L510" s="17"/>
      <c r="M510" s="17"/>
    </row>
    <row r="511">
      <c r="A511" s="17"/>
      <c r="C511" s="17"/>
      <c r="D511" s="17"/>
      <c r="E511" s="17"/>
      <c r="F511" s="17"/>
      <c r="G511" s="17"/>
      <c r="H511" s="17"/>
      <c r="I511" s="17"/>
      <c r="J511" s="17"/>
      <c r="K511" s="17"/>
      <c r="L511" s="17"/>
      <c r="M511" s="17"/>
    </row>
    <row r="512">
      <c r="A512" s="17"/>
      <c r="C512" s="17"/>
      <c r="D512" s="17"/>
      <c r="E512" s="17"/>
      <c r="F512" s="17"/>
      <c r="G512" s="17"/>
      <c r="H512" s="17"/>
      <c r="I512" s="17"/>
      <c r="J512" s="17"/>
      <c r="K512" s="17"/>
      <c r="L512" s="17"/>
      <c r="M512" s="17"/>
    </row>
    <row r="513">
      <c r="A513" s="17"/>
      <c r="C513" s="17"/>
      <c r="D513" s="17"/>
      <c r="E513" s="17"/>
      <c r="F513" s="17"/>
      <c r="G513" s="17"/>
      <c r="H513" s="17"/>
      <c r="I513" s="17"/>
      <c r="J513" s="17"/>
      <c r="K513" s="17"/>
      <c r="L513" s="17"/>
      <c r="M513" s="17"/>
    </row>
    <row r="514">
      <c r="A514" s="17"/>
      <c r="C514" s="17"/>
      <c r="D514" s="17"/>
      <c r="E514" s="17"/>
      <c r="F514" s="17"/>
      <c r="G514" s="17"/>
      <c r="H514" s="17"/>
      <c r="I514" s="17"/>
      <c r="J514" s="17"/>
      <c r="K514" s="17"/>
      <c r="L514" s="17"/>
      <c r="M514" s="17"/>
    </row>
    <row r="515">
      <c r="A515" s="17"/>
      <c r="C515" s="17"/>
      <c r="D515" s="17"/>
      <c r="E515" s="17"/>
      <c r="F515" s="17"/>
      <c r="G515" s="17"/>
      <c r="H515" s="17"/>
      <c r="I515" s="17"/>
      <c r="J515" s="17"/>
      <c r="K515" s="17"/>
      <c r="L515" s="17"/>
      <c r="M515" s="17"/>
    </row>
    <row r="516">
      <c r="A516" s="17"/>
      <c r="C516" s="17"/>
      <c r="D516" s="17"/>
      <c r="E516" s="17"/>
      <c r="F516" s="17"/>
      <c r="G516" s="17"/>
      <c r="H516" s="17"/>
      <c r="I516" s="17"/>
      <c r="J516" s="17"/>
      <c r="K516" s="17"/>
      <c r="L516" s="17"/>
      <c r="M516" s="17"/>
    </row>
    <row r="517">
      <c r="A517" s="17"/>
      <c r="C517" s="17"/>
      <c r="D517" s="17"/>
      <c r="E517" s="17"/>
      <c r="F517" s="17"/>
      <c r="G517" s="17"/>
      <c r="H517" s="17"/>
      <c r="I517" s="17"/>
      <c r="J517" s="17"/>
      <c r="K517" s="17"/>
      <c r="L517" s="17"/>
      <c r="M517" s="17"/>
    </row>
    <row r="518">
      <c r="A518" s="17"/>
      <c r="C518" s="17"/>
      <c r="D518" s="17"/>
      <c r="E518" s="17"/>
      <c r="F518" s="17"/>
      <c r="G518" s="17"/>
      <c r="H518" s="17"/>
      <c r="I518" s="17"/>
      <c r="J518" s="17"/>
      <c r="K518" s="17"/>
      <c r="L518" s="17"/>
      <c r="M518" s="17"/>
    </row>
    <row r="519">
      <c r="A519" s="17"/>
      <c r="C519" s="17"/>
      <c r="D519" s="17"/>
      <c r="E519" s="17"/>
      <c r="F519" s="17"/>
      <c r="G519" s="17"/>
      <c r="H519" s="17"/>
      <c r="I519" s="17"/>
      <c r="J519" s="17"/>
      <c r="K519" s="17"/>
      <c r="L519" s="17"/>
      <c r="M519" s="17"/>
    </row>
    <row r="520">
      <c r="A520" s="17"/>
      <c r="C520" s="17"/>
      <c r="D520" s="17"/>
      <c r="E520" s="17"/>
      <c r="F520" s="17"/>
      <c r="G520" s="17"/>
      <c r="H520" s="17"/>
      <c r="I520" s="17"/>
      <c r="J520" s="17"/>
      <c r="K520" s="17"/>
      <c r="L520" s="17"/>
      <c r="M520" s="17"/>
    </row>
    <row r="521">
      <c r="A521" s="17"/>
      <c r="C521" s="17"/>
      <c r="D521" s="17"/>
      <c r="E521" s="17"/>
      <c r="F521" s="17"/>
      <c r="G521" s="17"/>
      <c r="H521" s="17"/>
      <c r="I521" s="17"/>
      <c r="J521" s="17"/>
      <c r="K521" s="17"/>
      <c r="L521" s="17"/>
      <c r="M521" s="17"/>
    </row>
    <row r="522">
      <c r="A522" s="17"/>
      <c r="C522" s="17"/>
      <c r="D522" s="17"/>
      <c r="E522" s="17"/>
      <c r="F522" s="17"/>
      <c r="G522" s="17"/>
      <c r="H522" s="17"/>
      <c r="I522" s="17"/>
      <c r="J522" s="17"/>
      <c r="K522" s="17"/>
      <c r="L522" s="17"/>
      <c r="M522" s="17"/>
    </row>
    <row r="523">
      <c r="A523" s="17"/>
      <c r="C523" s="17"/>
      <c r="D523" s="17"/>
      <c r="E523" s="17"/>
      <c r="F523" s="17"/>
      <c r="G523" s="17"/>
      <c r="H523" s="17"/>
      <c r="I523" s="17"/>
      <c r="J523" s="17"/>
      <c r="K523" s="17"/>
      <c r="L523" s="17"/>
      <c r="M523" s="17"/>
    </row>
    <row r="524">
      <c r="A524" s="17"/>
      <c r="C524" s="17"/>
      <c r="D524" s="17"/>
      <c r="E524" s="17"/>
      <c r="F524" s="17"/>
      <c r="G524" s="17"/>
      <c r="H524" s="17"/>
      <c r="I524" s="17"/>
      <c r="J524" s="17"/>
      <c r="K524" s="17"/>
      <c r="L524" s="17"/>
      <c r="M524" s="17"/>
    </row>
    <row r="525">
      <c r="A525" s="17"/>
      <c r="C525" s="17"/>
      <c r="D525" s="17"/>
      <c r="E525" s="17"/>
      <c r="F525" s="17"/>
      <c r="G525" s="17"/>
      <c r="H525" s="17"/>
      <c r="I525" s="17"/>
      <c r="J525" s="17"/>
      <c r="K525" s="17"/>
      <c r="L525" s="17"/>
      <c r="M525" s="17"/>
    </row>
    <row r="526">
      <c r="A526" s="17"/>
      <c r="C526" s="17"/>
      <c r="D526" s="17"/>
      <c r="E526" s="17"/>
      <c r="F526" s="17"/>
      <c r="G526" s="17"/>
      <c r="H526" s="17"/>
      <c r="I526" s="17"/>
      <c r="J526" s="17"/>
      <c r="K526" s="17"/>
      <c r="L526" s="17"/>
      <c r="M526" s="17"/>
    </row>
    <row r="527">
      <c r="A527" s="17"/>
      <c r="C527" s="17"/>
      <c r="D527" s="17"/>
      <c r="E527" s="17"/>
      <c r="F527" s="17"/>
      <c r="G527" s="17"/>
      <c r="H527" s="17"/>
      <c r="I527" s="17"/>
      <c r="J527" s="17"/>
      <c r="K527" s="17"/>
      <c r="L527" s="17"/>
      <c r="M527" s="17"/>
    </row>
    <row r="528">
      <c r="A528" s="17"/>
      <c r="C528" s="17"/>
      <c r="D528" s="17"/>
      <c r="E528" s="17"/>
      <c r="F528" s="17"/>
      <c r="G528" s="17"/>
      <c r="H528" s="17"/>
      <c r="I528" s="17"/>
      <c r="J528" s="17"/>
      <c r="K528" s="17"/>
      <c r="L528" s="17"/>
      <c r="M528" s="17"/>
    </row>
    <row r="529">
      <c r="A529" s="17"/>
      <c r="C529" s="17"/>
      <c r="D529" s="17"/>
      <c r="E529" s="17"/>
      <c r="F529" s="17"/>
      <c r="G529" s="17"/>
      <c r="H529" s="17"/>
      <c r="I529" s="17"/>
      <c r="J529" s="17"/>
      <c r="K529" s="17"/>
      <c r="L529" s="17"/>
      <c r="M529" s="17"/>
    </row>
    <row r="530">
      <c r="A530" s="17"/>
      <c r="C530" s="17"/>
      <c r="D530" s="17"/>
      <c r="E530" s="17"/>
      <c r="F530" s="17"/>
      <c r="G530" s="17"/>
      <c r="H530" s="17"/>
      <c r="I530" s="17"/>
      <c r="J530" s="17"/>
      <c r="K530" s="17"/>
      <c r="L530" s="17"/>
      <c r="M530" s="17"/>
    </row>
    <row r="531">
      <c r="A531" s="17"/>
      <c r="C531" s="17"/>
      <c r="D531" s="17"/>
      <c r="E531" s="17"/>
      <c r="F531" s="17"/>
      <c r="G531" s="17"/>
      <c r="H531" s="17"/>
      <c r="I531" s="17"/>
      <c r="J531" s="17"/>
      <c r="K531" s="17"/>
      <c r="L531" s="17"/>
      <c r="M531" s="17"/>
    </row>
    <row r="532">
      <c r="A532" s="17"/>
      <c r="C532" s="17"/>
      <c r="D532" s="17"/>
      <c r="E532" s="17"/>
      <c r="F532" s="17"/>
      <c r="G532" s="17"/>
      <c r="H532" s="17"/>
      <c r="I532" s="17"/>
      <c r="J532" s="17"/>
      <c r="K532" s="17"/>
      <c r="L532" s="17"/>
      <c r="M532" s="17"/>
    </row>
    <row r="533">
      <c r="A533" s="17"/>
      <c r="C533" s="17"/>
      <c r="D533" s="17"/>
      <c r="E533" s="17"/>
      <c r="F533" s="17"/>
      <c r="G533" s="17"/>
      <c r="H533" s="17"/>
      <c r="I533" s="17"/>
      <c r="J533" s="17"/>
      <c r="K533" s="17"/>
      <c r="L533" s="17"/>
      <c r="M533" s="17"/>
    </row>
    <row r="534">
      <c r="A534" s="17"/>
      <c r="C534" s="17"/>
      <c r="D534" s="17"/>
      <c r="E534" s="17"/>
      <c r="F534" s="17"/>
      <c r="G534" s="17"/>
      <c r="H534" s="17"/>
      <c r="I534" s="17"/>
      <c r="J534" s="17"/>
      <c r="K534" s="17"/>
      <c r="L534" s="17"/>
      <c r="M534" s="17"/>
    </row>
    <row r="535">
      <c r="A535" s="17"/>
      <c r="C535" s="17"/>
      <c r="D535" s="17"/>
      <c r="E535" s="17"/>
      <c r="F535" s="17"/>
      <c r="G535" s="17"/>
      <c r="H535" s="17"/>
      <c r="I535" s="17"/>
      <c r="J535" s="17"/>
      <c r="K535" s="17"/>
      <c r="L535" s="17"/>
      <c r="M535" s="17"/>
    </row>
    <row r="536">
      <c r="A536" s="17"/>
      <c r="C536" s="17"/>
      <c r="D536" s="17"/>
      <c r="E536" s="17"/>
      <c r="F536" s="17"/>
      <c r="G536" s="17"/>
      <c r="H536" s="17"/>
      <c r="I536" s="17"/>
      <c r="J536" s="17"/>
      <c r="K536" s="17"/>
      <c r="L536" s="17"/>
      <c r="M536" s="17"/>
    </row>
    <row r="537">
      <c r="A537" s="17"/>
      <c r="C537" s="17"/>
      <c r="D537" s="17"/>
      <c r="E537" s="17"/>
      <c r="F537" s="17"/>
      <c r="G537" s="17"/>
      <c r="H537" s="17"/>
      <c r="I537" s="17"/>
      <c r="J537" s="17"/>
      <c r="K537" s="17"/>
      <c r="L537" s="17"/>
      <c r="M537" s="17"/>
    </row>
    <row r="538">
      <c r="A538" s="17"/>
      <c r="C538" s="17"/>
      <c r="D538" s="17"/>
      <c r="E538" s="17"/>
      <c r="F538" s="17"/>
      <c r="G538" s="17"/>
      <c r="H538" s="17"/>
      <c r="I538" s="17"/>
      <c r="J538" s="17"/>
      <c r="K538" s="17"/>
      <c r="L538" s="17"/>
      <c r="M538" s="17"/>
    </row>
    <row r="539">
      <c r="A539" s="17"/>
      <c r="C539" s="17"/>
      <c r="D539" s="17"/>
      <c r="E539" s="17"/>
      <c r="F539" s="17"/>
      <c r="G539" s="17"/>
      <c r="H539" s="17"/>
      <c r="I539" s="17"/>
      <c r="J539" s="17"/>
      <c r="K539" s="17"/>
      <c r="L539" s="17"/>
      <c r="M539" s="17"/>
    </row>
    <row r="540">
      <c r="A540" s="17"/>
      <c r="C540" s="17"/>
      <c r="D540" s="17"/>
      <c r="E540" s="17"/>
      <c r="F540" s="17"/>
      <c r="G540" s="17"/>
      <c r="H540" s="17"/>
      <c r="I540" s="17"/>
      <c r="J540" s="17"/>
      <c r="K540" s="17"/>
      <c r="L540" s="17"/>
      <c r="M540" s="17"/>
    </row>
    <row r="541">
      <c r="A541" s="17"/>
      <c r="C541" s="17"/>
      <c r="D541" s="17"/>
      <c r="E541" s="17"/>
      <c r="F541" s="17"/>
      <c r="G541" s="17"/>
      <c r="H541" s="17"/>
      <c r="I541" s="17"/>
      <c r="J541" s="17"/>
      <c r="K541" s="17"/>
      <c r="L541" s="17"/>
      <c r="M541" s="17"/>
    </row>
    <row r="542">
      <c r="A542" s="17"/>
      <c r="C542" s="17"/>
      <c r="D542" s="17"/>
      <c r="E542" s="17"/>
      <c r="F542" s="17"/>
      <c r="G542" s="17"/>
      <c r="H542" s="17"/>
      <c r="I542" s="17"/>
      <c r="J542" s="17"/>
      <c r="K542" s="17"/>
      <c r="L542" s="17"/>
      <c r="M542" s="17"/>
    </row>
    <row r="543">
      <c r="A543" s="17"/>
      <c r="C543" s="17"/>
      <c r="D543" s="17"/>
      <c r="E543" s="17"/>
      <c r="F543" s="17"/>
      <c r="G543" s="17"/>
      <c r="H543" s="17"/>
      <c r="I543" s="17"/>
      <c r="J543" s="17"/>
      <c r="K543" s="17"/>
      <c r="L543" s="17"/>
      <c r="M543" s="17"/>
    </row>
    <row r="544">
      <c r="A544" s="17"/>
      <c r="C544" s="17"/>
      <c r="D544" s="17"/>
      <c r="E544" s="17"/>
      <c r="F544" s="17"/>
      <c r="G544" s="17"/>
      <c r="H544" s="17"/>
      <c r="I544" s="17"/>
      <c r="J544" s="17"/>
      <c r="K544" s="17"/>
      <c r="L544" s="17"/>
      <c r="M544" s="17"/>
    </row>
    <row r="545">
      <c r="A545" s="17"/>
      <c r="C545" s="17"/>
      <c r="D545" s="17"/>
      <c r="E545" s="17"/>
      <c r="F545" s="17"/>
      <c r="G545" s="17"/>
      <c r="H545" s="17"/>
      <c r="I545" s="17"/>
      <c r="J545" s="17"/>
      <c r="K545" s="17"/>
      <c r="L545" s="17"/>
      <c r="M545" s="17"/>
    </row>
    <row r="546">
      <c r="A546" s="17"/>
      <c r="C546" s="17"/>
      <c r="D546" s="17"/>
      <c r="E546" s="17"/>
      <c r="F546" s="17"/>
      <c r="G546" s="17"/>
      <c r="H546" s="17"/>
      <c r="I546" s="17"/>
      <c r="J546" s="17"/>
      <c r="K546" s="17"/>
      <c r="L546" s="17"/>
      <c r="M546" s="17"/>
    </row>
    <row r="547">
      <c r="A547" s="17"/>
      <c r="C547" s="17"/>
      <c r="D547" s="17"/>
      <c r="E547" s="17"/>
      <c r="F547" s="17"/>
      <c r="G547" s="17"/>
      <c r="H547" s="17"/>
      <c r="I547" s="17"/>
      <c r="J547" s="17"/>
      <c r="K547" s="17"/>
      <c r="L547" s="17"/>
      <c r="M547" s="17"/>
    </row>
    <row r="548">
      <c r="A548" s="17"/>
      <c r="C548" s="17"/>
      <c r="D548" s="17"/>
      <c r="E548" s="17"/>
      <c r="F548" s="17"/>
      <c r="G548" s="17"/>
      <c r="H548" s="17"/>
      <c r="I548" s="17"/>
      <c r="J548" s="17"/>
      <c r="K548" s="17"/>
      <c r="L548" s="17"/>
      <c r="M548" s="17"/>
    </row>
    <row r="549">
      <c r="A549" s="17"/>
      <c r="C549" s="17"/>
      <c r="D549" s="17"/>
      <c r="E549" s="17"/>
      <c r="F549" s="17"/>
      <c r="G549" s="17"/>
      <c r="H549" s="17"/>
      <c r="I549" s="17"/>
      <c r="J549" s="17"/>
      <c r="K549" s="17"/>
      <c r="L549" s="17"/>
      <c r="M549" s="17"/>
    </row>
    <row r="550">
      <c r="A550" s="17"/>
      <c r="C550" s="17"/>
      <c r="D550" s="17"/>
      <c r="E550" s="17"/>
      <c r="F550" s="17"/>
      <c r="G550" s="17"/>
      <c r="H550" s="17"/>
      <c r="I550" s="17"/>
      <c r="J550" s="17"/>
      <c r="K550" s="17"/>
      <c r="L550" s="17"/>
      <c r="M550" s="17"/>
    </row>
    <row r="551">
      <c r="A551" s="17"/>
      <c r="C551" s="17"/>
      <c r="D551" s="17"/>
      <c r="E551" s="17"/>
      <c r="F551" s="17"/>
      <c r="G551" s="17"/>
      <c r="H551" s="17"/>
      <c r="I551" s="17"/>
      <c r="J551" s="17"/>
      <c r="K551" s="17"/>
      <c r="L551" s="17"/>
      <c r="M551" s="17"/>
    </row>
    <row r="552">
      <c r="A552" s="17"/>
      <c r="C552" s="17"/>
      <c r="D552" s="17"/>
      <c r="E552" s="17"/>
      <c r="F552" s="17"/>
      <c r="G552" s="17"/>
      <c r="H552" s="17"/>
      <c r="I552" s="17"/>
      <c r="J552" s="17"/>
      <c r="K552" s="17"/>
      <c r="L552" s="17"/>
      <c r="M552" s="17"/>
    </row>
    <row r="553">
      <c r="A553" s="17"/>
      <c r="C553" s="17"/>
      <c r="D553" s="17"/>
      <c r="E553" s="17"/>
      <c r="F553" s="17"/>
      <c r="G553" s="17"/>
      <c r="H553" s="17"/>
      <c r="I553" s="17"/>
      <c r="J553" s="17"/>
      <c r="K553" s="17"/>
      <c r="L553" s="17"/>
      <c r="M553" s="17"/>
    </row>
    <row r="554">
      <c r="A554" s="17"/>
      <c r="C554" s="17"/>
      <c r="D554" s="17"/>
      <c r="E554" s="17"/>
      <c r="F554" s="17"/>
      <c r="G554" s="17"/>
      <c r="H554" s="17"/>
      <c r="I554" s="17"/>
      <c r="J554" s="17"/>
      <c r="K554" s="17"/>
      <c r="L554" s="17"/>
      <c r="M554" s="17"/>
    </row>
    <row r="555">
      <c r="A555" s="17"/>
      <c r="C555" s="17"/>
      <c r="D555" s="17"/>
      <c r="E555" s="17"/>
      <c r="F555" s="17"/>
      <c r="G555" s="17"/>
      <c r="H555" s="17"/>
      <c r="I555" s="17"/>
      <c r="J555" s="17"/>
      <c r="K555" s="17"/>
      <c r="L555" s="17"/>
      <c r="M555" s="17"/>
    </row>
    <row r="556">
      <c r="A556" s="17"/>
      <c r="C556" s="17"/>
      <c r="D556" s="17"/>
      <c r="E556" s="17"/>
      <c r="F556" s="17"/>
      <c r="G556" s="17"/>
      <c r="H556" s="17"/>
      <c r="I556" s="17"/>
      <c r="J556" s="17"/>
      <c r="K556" s="17"/>
      <c r="L556" s="17"/>
      <c r="M556" s="17"/>
    </row>
    <row r="557">
      <c r="A557" s="17"/>
      <c r="C557" s="17"/>
      <c r="D557" s="17"/>
      <c r="E557" s="17"/>
      <c r="F557" s="17"/>
      <c r="G557" s="17"/>
      <c r="H557" s="17"/>
      <c r="I557" s="17"/>
      <c r="J557" s="17"/>
      <c r="K557" s="17"/>
      <c r="L557" s="17"/>
      <c r="M557" s="17"/>
    </row>
    <row r="558">
      <c r="A558" s="17"/>
      <c r="C558" s="17"/>
      <c r="D558" s="17"/>
      <c r="E558" s="17"/>
      <c r="F558" s="17"/>
      <c r="G558" s="17"/>
      <c r="H558" s="17"/>
      <c r="I558" s="17"/>
      <c r="J558" s="17"/>
      <c r="K558" s="17"/>
      <c r="L558" s="17"/>
      <c r="M558" s="17"/>
    </row>
    <row r="559">
      <c r="A559" s="17"/>
      <c r="C559" s="17"/>
      <c r="D559" s="17"/>
      <c r="E559" s="17"/>
      <c r="F559" s="17"/>
      <c r="G559" s="17"/>
      <c r="H559" s="17"/>
      <c r="I559" s="17"/>
      <c r="J559" s="17"/>
      <c r="K559" s="17"/>
      <c r="L559" s="17"/>
      <c r="M559" s="17"/>
    </row>
    <row r="560">
      <c r="A560" s="17"/>
      <c r="C560" s="17"/>
      <c r="D560" s="17"/>
      <c r="E560" s="17"/>
      <c r="F560" s="17"/>
      <c r="G560" s="17"/>
      <c r="H560" s="17"/>
      <c r="I560" s="17"/>
      <c r="J560" s="17"/>
      <c r="K560" s="17"/>
      <c r="L560" s="17"/>
      <c r="M560" s="17"/>
    </row>
    <row r="561">
      <c r="A561" s="17"/>
      <c r="C561" s="17"/>
      <c r="D561" s="17"/>
      <c r="E561" s="17"/>
      <c r="F561" s="17"/>
      <c r="G561" s="17"/>
      <c r="H561" s="17"/>
      <c r="I561" s="17"/>
      <c r="J561" s="17"/>
      <c r="K561" s="17"/>
      <c r="L561" s="17"/>
      <c r="M561" s="17"/>
    </row>
    <row r="562">
      <c r="A562" s="17"/>
      <c r="C562" s="17"/>
      <c r="D562" s="17"/>
      <c r="E562" s="17"/>
      <c r="F562" s="17"/>
      <c r="G562" s="17"/>
      <c r="H562" s="17"/>
      <c r="I562" s="17"/>
      <c r="J562" s="17"/>
      <c r="K562" s="17"/>
      <c r="L562" s="17"/>
      <c r="M562" s="17"/>
    </row>
    <row r="563">
      <c r="A563" s="17"/>
      <c r="C563" s="17"/>
      <c r="D563" s="17"/>
      <c r="E563" s="17"/>
      <c r="F563" s="17"/>
      <c r="G563" s="17"/>
      <c r="H563" s="17"/>
      <c r="I563" s="17"/>
      <c r="J563" s="17"/>
      <c r="K563" s="17"/>
      <c r="L563" s="17"/>
      <c r="M563" s="17"/>
    </row>
    <row r="564">
      <c r="A564" s="17"/>
      <c r="C564" s="17"/>
      <c r="D564" s="17"/>
      <c r="E564" s="17"/>
      <c r="F564" s="17"/>
      <c r="G564" s="17"/>
      <c r="H564" s="17"/>
      <c r="I564" s="17"/>
      <c r="J564" s="17"/>
      <c r="K564" s="17"/>
      <c r="L564" s="17"/>
      <c r="M564" s="17"/>
    </row>
    <row r="565">
      <c r="A565" s="17"/>
      <c r="C565" s="17"/>
      <c r="D565" s="17"/>
      <c r="E565" s="17"/>
      <c r="F565" s="17"/>
      <c r="G565" s="17"/>
      <c r="H565" s="17"/>
      <c r="I565" s="17"/>
      <c r="J565" s="17"/>
      <c r="K565" s="17"/>
      <c r="L565" s="17"/>
      <c r="M565" s="17"/>
    </row>
    <row r="566">
      <c r="A566" s="17"/>
      <c r="C566" s="17"/>
      <c r="D566" s="17"/>
      <c r="E566" s="17"/>
      <c r="F566" s="17"/>
      <c r="G566" s="17"/>
      <c r="H566" s="17"/>
      <c r="I566" s="17"/>
      <c r="J566" s="17"/>
      <c r="K566" s="17"/>
      <c r="L566" s="17"/>
      <c r="M566" s="17"/>
    </row>
    <row r="567">
      <c r="A567" s="17"/>
      <c r="C567" s="17"/>
      <c r="D567" s="17"/>
      <c r="E567" s="17"/>
      <c r="F567" s="17"/>
      <c r="G567" s="17"/>
      <c r="H567" s="17"/>
      <c r="I567" s="17"/>
      <c r="J567" s="17"/>
      <c r="K567" s="17"/>
      <c r="L567" s="17"/>
      <c r="M567" s="17"/>
    </row>
    <row r="568">
      <c r="A568" s="17"/>
      <c r="C568" s="17"/>
      <c r="D568" s="17"/>
      <c r="E568" s="17"/>
      <c r="F568" s="17"/>
      <c r="G568" s="17"/>
      <c r="H568" s="17"/>
      <c r="I568" s="17"/>
      <c r="J568" s="17"/>
      <c r="K568" s="17"/>
      <c r="L568" s="17"/>
      <c r="M568" s="17"/>
    </row>
    <row r="569">
      <c r="A569" s="17"/>
      <c r="C569" s="17"/>
      <c r="D569" s="17"/>
      <c r="E569" s="17"/>
      <c r="F569" s="17"/>
      <c r="G569" s="17"/>
      <c r="H569" s="17"/>
      <c r="I569" s="17"/>
      <c r="J569" s="17"/>
      <c r="K569" s="17"/>
      <c r="L569" s="17"/>
      <c r="M569" s="17"/>
    </row>
    <row r="570">
      <c r="A570" s="17"/>
      <c r="C570" s="17"/>
      <c r="D570" s="17"/>
      <c r="E570" s="17"/>
      <c r="F570" s="17"/>
      <c r="G570" s="17"/>
      <c r="H570" s="17"/>
      <c r="I570" s="17"/>
      <c r="J570" s="17"/>
      <c r="K570" s="17"/>
      <c r="L570" s="17"/>
      <c r="M570" s="17"/>
    </row>
    <row r="571">
      <c r="A571" s="17"/>
      <c r="C571" s="17"/>
      <c r="D571" s="17"/>
      <c r="E571" s="17"/>
      <c r="F571" s="17"/>
      <c r="G571" s="17"/>
      <c r="H571" s="17"/>
      <c r="I571" s="17"/>
      <c r="J571" s="17"/>
      <c r="K571" s="17"/>
      <c r="L571" s="17"/>
      <c r="M571" s="17"/>
    </row>
    <row r="572">
      <c r="A572" s="17"/>
      <c r="C572" s="17"/>
      <c r="D572" s="17"/>
      <c r="E572" s="17"/>
      <c r="F572" s="17"/>
      <c r="G572" s="17"/>
      <c r="H572" s="17"/>
      <c r="I572" s="17"/>
      <c r="J572" s="17"/>
      <c r="K572" s="17"/>
      <c r="L572" s="17"/>
      <c r="M572" s="17"/>
    </row>
    <row r="573">
      <c r="A573" s="17"/>
      <c r="C573" s="17"/>
      <c r="D573" s="17"/>
      <c r="E573" s="17"/>
      <c r="F573" s="17"/>
      <c r="G573" s="17"/>
      <c r="H573" s="17"/>
      <c r="I573" s="17"/>
      <c r="J573" s="17"/>
      <c r="K573" s="17"/>
      <c r="L573" s="17"/>
      <c r="M573" s="17"/>
    </row>
    <row r="574">
      <c r="A574" s="17"/>
      <c r="C574" s="17"/>
      <c r="D574" s="17"/>
      <c r="E574" s="17"/>
      <c r="F574" s="17"/>
      <c r="G574" s="17"/>
      <c r="H574" s="17"/>
      <c r="I574" s="17"/>
      <c r="J574" s="17"/>
      <c r="K574" s="17"/>
      <c r="L574" s="17"/>
      <c r="M574" s="17"/>
    </row>
    <row r="575">
      <c r="A575" s="17"/>
      <c r="C575" s="17"/>
      <c r="D575" s="17"/>
      <c r="E575" s="17"/>
      <c r="F575" s="17"/>
      <c r="G575" s="17"/>
      <c r="H575" s="17"/>
      <c r="I575" s="17"/>
      <c r="J575" s="17"/>
      <c r="K575" s="17"/>
      <c r="L575" s="17"/>
      <c r="M575" s="17"/>
    </row>
    <row r="576">
      <c r="A576" s="17"/>
      <c r="C576" s="17"/>
      <c r="D576" s="17"/>
      <c r="E576" s="17"/>
      <c r="F576" s="17"/>
      <c r="G576" s="17"/>
      <c r="H576" s="17"/>
      <c r="I576" s="17"/>
      <c r="J576" s="17"/>
      <c r="K576" s="17"/>
      <c r="L576" s="17"/>
      <c r="M576" s="17"/>
    </row>
    <row r="577">
      <c r="A577" s="17"/>
      <c r="C577" s="17"/>
      <c r="D577" s="17"/>
      <c r="E577" s="17"/>
      <c r="F577" s="17"/>
      <c r="G577" s="17"/>
      <c r="H577" s="17"/>
      <c r="I577" s="17"/>
      <c r="J577" s="17"/>
      <c r="K577" s="17"/>
      <c r="L577" s="17"/>
      <c r="M577" s="17"/>
    </row>
    <row r="578">
      <c r="A578" s="17"/>
      <c r="C578" s="17"/>
      <c r="D578" s="17"/>
      <c r="E578" s="17"/>
      <c r="F578" s="17"/>
      <c r="G578" s="17"/>
      <c r="H578" s="17"/>
      <c r="I578" s="17"/>
      <c r="J578" s="17"/>
      <c r="K578" s="17"/>
      <c r="L578" s="17"/>
      <c r="M578" s="17"/>
    </row>
    <row r="579">
      <c r="A579" s="17"/>
      <c r="C579" s="17"/>
      <c r="D579" s="17"/>
      <c r="E579" s="17"/>
      <c r="F579" s="17"/>
      <c r="G579" s="17"/>
      <c r="H579" s="17"/>
      <c r="I579" s="17"/>
      <c r="J579" s="17"/>
      <c r="K579" s="17"/>
      <c r="L579" s="17"/>
      <c r="M579" s="17"/>
    </row>
    <row r="580">
      <c r="A580" s="17"/>
      <c r="C580" s="17"/>
      <c r="D580" s="17"/>
      <c r="E580" s="17"/>
      <c r="F580" s="17"/>
      <c r="G580" s="17"/>
      <c r="H580" s="17"/>
      <c r="I580" s="17"/>
      <c r="J580" s="17"/>
      <c r="K580" s="17"/>
      <c r="L580" s="17"/>
      <c r="M580" s="17"/>
    </row>
    <row r="581">
      <c r="A581" s="17"/>
      <c r="C581" s="17"/>
      <c r="D581" s="17"/>
      <c r="E581" s="17"/>
      <c r="F581" s="17"/>
      <c r="G581" s="17"/>
      <c r="H581" s="17"/>
      <c r="I581" s="17"/>
      <c r="J581" s="17"/>
      <c r="K581" s="17"/>
      <c r="L581" s="17"/>
      <c r="M581" s="17"/>
    </row>
    <row r="582">
      <c r="A582" s="17"/>
      <c r="C582" s="17"/>
      <c r="D582" s="17"/>
      <c r="E582" s="17"/>
      <c r="F582" s="17"/>
      <c r="G582" s="17"/>
      <c r="H582" s="17"/>
      <c r="I582" s="17"/>
      <c r="J582" s="17"/>
      <c r="K582" s="17"/>
      <c r="L582" s="17"/>
      <c r="M582" s="17"/>
    </row>
    <row r="583">
      <c r="A583" s="17"/>
      <c r="C583" s="17"/>
      <c r="D583" s="17"/>
      <c r="E583" s="17"/>
      <c r="F583" s="17"/>
      <c r="G583" s="17"/>
      <c r="H583" s="17"/>
      <c r="I583" s="17"/>
      <c r="J583" s="17"/>
      <c r="K583" s="17"/>
      <c r="L583" s="17"/>
      <c r="M583" s="17"/>
    </row>
    <row r="584">
      <c r="A584" s="17"/>
      <c r="C584" s="17"/>
      <c r="D584" s="17"/>
      <c r="E584" s="17"/>
      <c r="F584" s="17"/>
      <c r="G584" s="17"/>
      <c r="H584" s="17"/>
      <c r="I584" s="17"/>
      <c r="J584" s="17"/>
      <c r="K584" s="17"/>
      <c r="L584" s="17"/>
      <c r="M584" s="17"/>
    </row>
    <row r="585">
      <c r="A585" s="17"/>
      <c r="C585" s="17"/>
      <c r="D585" s="17"/>
      <c r="E585" s="17"/>
      <c r="F585" s="17"/>
      <c r="G585" s="17"/>
      <c r="H585" s="17"/>
      <c r="I585" s="17"/>
      <c r="J585" s="17"/>
      <c r="K585" s="17"/>
      <c r="L585" s="17"/>
      <c r="M585" s="17"/>
    </row>
    <row r="586">
      <c r="A586" s="17"/>
      <c r="C586" s="17"/>
      <c r="D586" s="17"/>
      <c r="E586" s="17"/>
      <c r="F586" s="17"/>
      <c r="G586" s="17"/>
      <c r="H586" s="17"/>
      <c r="I586" s="17"/>
      <c r="J586" s="17"/>
      <c r="K586" s="17"/>
      <c r="L586" s="17"/>
      <c r="M586" s="17"/>
    </row>
    <row r="587">
      <c r="A587" s="17"/>
      <c r="C587" s="17"/>
      <c r="D587" s="17"/>
      <c r="E587" s="17"/>
      <c r="F587" s="17"/>
      <c r="G587" s="17"/>
      <c r="H587" s="17"/>
      <c r="I587" s="17"/>
      <c r="J587" s="17"/>
      <c r="K587" s="17"/>
      <c r="L587" s="17"/>
      <c r="M587" s="17"/>
    </row>
    <row r="588">
      <c r="A588" s="17"/>
      <c r="C588" s="17"/>
      <c r="D588" s="17"/>
      <c r="E588" s="17"/>
      <c r="F588" s="17"/>
      <c r="G588" s="17"/>
      <c r="H588" s="17"/>
      <c r="I588" s="17"/>
      <c r="J588" s="17"/>
      <c r="K588" s="17"/>
      <c r="L588" s="17"/>
      <c r="M588" s="17"/>
    </row>
    <row r="589">
      <c r="A589" s="17"/>
      <c r="C589" s="17"/>
      <c r="D589" s="17"/>
      <c r="E589" s="17"/>
      <c r="F589" s="17"/>
      <c r="G589" s="17"/>
      <c r="H589" s="17"/>
      <c r="I589" s="17"/>
      <c r="J589" s="17"/>
      <c r="K589" s="17"/>
      <c r="L589" s="17"/>
      <c r="M589" s="17"/>
    </row>
    <row r="590">
      <c r="A590" s="17"/>
      <c r="C590" s="17"/>
      <c r="D590" s="17"/>
      <c r="E590" s="17"/>
      <c r="F590" s="17"/>
      <c r="G590" s="17"/>
      <c r="H590" s="17"/>
      <c r="I590" s="17"/>
      <c r="J590" s="17"/>
      <c r="K590" s="17"/>
      <c r="L590" s="17"/>
      <c r="M590" s="17"/>
    </row>
    <row r="591">
      <c r="A591" s="17"/>
      <c r="C591" s="17"/>
      <c r="D591" s="17"/>
      <c r="E591" s="17"/>
      <c r="F591" s="17"/>
      <c r="G591" s="17"/>
      <c r="H591" s="17"/>
      <c r="I591" s="17"/>
      <c r="J591" s="17"/>
      <c r="K591" s="17"/>
      <c r="L591" s="17"/>
      <c r="M591" s="17"/>
    </row>
    <row r="592">
      <c r="A592" s="17"/>
      <c r="C592" s="17"/>
      <c r="D592" s="17"/>
      <c r="E592" s="17"/>
      <c r="F592" s="17"/>
      <c r="G592" s="17"/>
      <c r="H592" s="17"/>
      <c r="I592" s="17"/>
      <c r="J592" s="17"/>
      <c r="K592" s="17"/>
      <c r="L592" s="17"/>
      <c r="M592" s="17"/>
    </row>
    <row r="593">
      <c r="A593" s="17"/>
      <c r="C593" s="17"/>
      <c r="D593" s="17"/>
      <c r="E593" s="17"/>
      <c r="F593" s="17"/>
      <c r="G593" s="17"/>
      <c r="H593" s="17"/>
      <c r="I593" s="17"/>
      <c r="J593" s="17"/>
      <c r="K593" s="17"/>
      <c r="L593" s="17"/>
      <c r="M593" s="17"/>
    </row>
    <row r="594">
      <c r="A594" s="17"/>
      <c r="C594" s="17"/>
      <c r="D594" s="17"/>
      <c r="E594" s="17"/>
      <c r="F594" s="17"/>
      <c r="G594" s="17"/>
      <c r="H594" s="17"/>
      <c r="I594" s="17"/>
      <c r="J594" s="17"/>
      <c r="K594" s="17"/>
      <c r="L594" s="17"/>
      <c r="M594" s="17"/>
    </row>
    <row r="595">
      <c r="A595" s="17"/>
      <c r="C595" s="17"/>
      <c r="D595" s="17"/>
      <c r="E595" s="17"/>
      <c r="F595" s="17"/>
      <c r="G595" s="17"/>
      <c r="H595" s="17"/>
      <c r="I595" s="17"/>
      <c r="J595" s="17"/>
      <c r="K595" s="17"/>
      <c r="L595" s="17"/>
      <c r="M595" s="17"/>
    </row>
    <row r="596">
      <c r="A596" s="17"/>
      <c r="C596" s="17"/>
      <c r="D596" s="17"/>
      <c r="E596" s="17"/>
      <c r="F596" s="17"/>
      <c r="G596" s="17"/>
      <c r="H596" s="17"/>
      <c r="I596" s="17"/>
      <c r="J596" s="17"/>
      <c r="K596" s="17"/>
      <c r="L596" s="17"/>
      <c r="M596" s="17"/>
    </row>
    <row r="597">
      <c r="A597" s="17"/>
      <c r="C597" s="17"/>
      <c r="D597" s="17"/>
      <c r="E597" s="17"/>
      <c r="F597" s="17"/>
      <c r="G597" s="17"/>
      <c r="H597" s="17"/>
      <c r="I597" s="17"/>
      <c r="J597" s="17"/>
      <c r="K597" s="17"/>
      <c r="L597" s="17"/>
      <c r="M597" s="17"/>
    </row>
    <row r="598">
      <c r="A598" s="17"/>
      <c r="C598" s="17"/>
      <c r="D598" s="17"/>
      <c r="E598" s="17"/>
      <c r="F598" s="17"/>
      <c r="G598" s="17"/>
      <c r="H598" s="17"/>
      <c r="I598" s="17"/>
      <c r="J598" s="17"/>
      <c r="K598" s="17"/>
      <c r="L598" s="17"/>
      <c r="M598" s="17"/>
    </row>
    <row r="599">
      <c r="A599" s="17"/>
      <c r="C599" s="17"/>
      <c r="D599" s="17"/>
      <c r="E599" s="17"/>
      <c r="F599" s="17"/>
      <c r="G599" s="17"/>
      <c r="H599" s="17"/>
      <c r="I599" s="17"/>
      <c r="J599" s="17"/>
      <c r="K599" s="17"/>
      <c r="L599" s="17"/>
      <c r="M599" s="17"/>
    </row>
    <row r="600">
      <c r="A600" s="17"/>
      <c r="C600" s="17"/>
      <c r="D600" s="17"/>
      <c r="E600" s="17"/>
      <c r="F600" s="17"/>
      <c r="G600" s="17"/>
      <c r="H600" s="17"/>
      <c r="I600" s="17"/>
      <c r="J600" s="17"/>
      <c r="K600" s="17"/>
      <c r="L600" s="17"/>
      <c r="M600" s="17"/>
    </row>
    <row r="601">
      <c r="A601" s="17"/>
      <c r="C601" s="17"/>
      <c r="D601" s="17"/>
      <c r="E601" s="17"/>
      <c r="F601" s="17"/>
      <c r="G601" s="17"/>
      <c r="H601" s="17"/>
      <c r="I601" s="17"/>
      <c r="J601" s="17"/>
      <c r="K601" s="17"/>
      <c r="L601" s="17"/>
      <c r="M601" s="17"/>
    </row>
    <row r="602">
      <c r="A602" s="17"/>
      <c r="C602" s="17"/>
      <c r="D602" s="17"/>
      <c r="E602" s="17"/>
      <c r="F602" s="17"/>
      <c r="G602" s="17"/>
      <c r="H602" s="17"/>
      <c r="I602" s="17"/>
      <c r="J602" s="17"/>
      <c r="K602" s="17"/>
      <c r="L602" s="17"/>
      <c r="M602" s="17"/>
    </row>
    <row r="603">
      <c r="A603" s="17"/>
      <c r="C603" s="17"/>
      <c r="D603" s="17"/>
      <c r="E603" s="17"/>
      <c r="F603" s="17"/>
      <c r="G603" s="17"/>
      <c r="H603" s="17"/>
      <c r="I603" s="17"/>
      <c r="J603" s="17"/>
      <c r="K603" s="17"/>
      <c r="L603" s="17"/>
      <c r="M603" s="17"/>
    </row>
    <row r="604">
      <c r="A604" s="17"/>
      <c r="C604" s="17"/>
      <c r="D604" s="17"/>
      <c r="E604" s="17"/>
      <c r="F604" s="17"/>
      <c r="G604" s="17"/>
      <c r="H604" s="17"/>
      <c r="I604" s="17"/>
      <c r="J604" s="17"/>
      <c r="K604" s="17"/>
      <c r="L604" s="17"/>
      <c r="M604" s="17"/>
    </row>
    <row r="605">
      <c r="A605" s="17"/>
      <c r="C605" s="17"/>
      <c r="D605" s="17"/>
      <c r="E605" s="17"/>
      <c r="F605" s="17"/>
      <c r="G605" s="17"/>
      <c r="H605" s="17"/>
      <c r="I605" s="17"/>
      <c r="J605" s="17"/>
      <c r="K605" s="17"/>
      <c r="L605" s="17"/>
      <c r="M605" s="17"/>
    </row>
    <row r="606">
      <c r="A606" s="17"/>
      <c r="C606" s="17"/>
      <c r="D606" s="17"/>
      <c r="E606" s="17"/>
      <c r="F606" s="17"/>
      <c r="G606" s="17"/>
      <c r="H606" s="17"/>
      <c r="I606" s="17"/>
      <c r="J606" s="17"/>
      <c r="K606" s="17"/>
      <c r="L606" s="17"/>
      <c r="M606" s="17"/>
    </row>
    <row r="607">
      <c r="A607" s="17"/>
      <c r="C607" s="17"/>
      <c r="D607" s="17"/>
      <c r="E607" s="17"/>
      <c r="F607" s="17"/>
      <c r="G607" s="17"/>
      <c r="H607" s="17"/>
      <c r="I607" s="17"/>
      <c r="J607" s="17"/>
      <c r="K607" s="17"/>
      <c r="L607" s="17"/>
      <c r="M607" s="17"/>
    </row>
    <row r="608">
      <c r="A608" s="17"/>
      <c r="C608" s="17"/>
      <c r="D608" s="17"/>
      <c r="E608" s="17"/>
      <c r="F608" s="17"/>
      <c r="G608" s="17"/>
      <c r="H608" s="17"/>
      <c r="I608" s="17"/>
      <c r="J608" s="17"/>
      <c r="K608" s="17"/>
      <c r="L608" s="17"/>
      <c r="M608" s="17"/>
    </row>
    <row r="609">
      <c r="A609" s="17"/>
      <c r="C609" s="17"/>
      <c r="D609" s="17"/>
      <c r="E609" s="17"/>
      <c r="F609" s="17"/>
      <c r="G609" s="17"/>
      <c r="H609" s="17"/>
      <c r="I609" s="17"/>
      <c r="J609" s="17"/>
      <c r="K609" s="17"/>
      <c r="L609" s="17"/>
      <c r="M609" s="17"/>
    </row>
    <row r="610">
      <c r="A610" s="17"/>
      <c r="C610" s="17"/>
      <c r="D610" s="17"/>
      <c r="E610" s="17"/>
      <c r="F610" s="17"/>
      <c r="G610" s="17"/>
      <c r="H610" s="17"/>
      <c r="I610" s="17"/>
      <c r="J610" s="17"/>
      <c r="K610" s="17"/>
      <c r="L610" s="17"/>
      <c r="M610" s="17"/>
    </row>
    <row r="611">
      <c r="A611" s="17"/>
      <c r="C611" s="17"/>
      <c r="D611" s="17"/>
      <c r="E611" s="17"/>
      <c r="F611" s="17"/>
      <c r="G611" s="17"/>
      <c r="H611" s="17"/>
      <c r="I611" s="17"/>
      <c r="J611" s="17"/>
      <c r="K611" s="17"/>
      <c r="L611" s="17"/>
      <c r="M611" s="17"/>
    </row>
    <row r="612">
      <c r="A612" s="17"/>
      <c r="C612" s="17"/>
      <c r="D612" s="17"/>
      <c r="E612" s="17"/>
      <c r="F612" s="17"/>
      <c r="G612" s="17"/>
      <c r="H612" s="17"/>
      <c r="I612" s="17"/>
      <c r="J612" s="17"/>
      <c r="K612" s="17"/>
      <c r="L612" s="17"/>
      <c r="M612" s="17"/>
    </row>
    <row r="613">
      <c r="A613" s="17"/>
      <c r="C613" s="17"/>
      <c r="D613" s="17"/>
      <c r="E613" s="17"/>
      <c r="F613" s="17"/>
      <c r="G613" s="17"/>
      <c r="H613" s="17"/>
      <c r="I613" s="17"/>
      <c r="J613" s="17"/>
      <c r="K613" s="17"/>
      <c r="L613" s="17"/>
      <c r="M613" s="17"/>
    </row>
    <row r="614">
      <c r="A614" s="17"/>
      <c r="C614" s="17"/>
      <c r="D614" s="17"/>
      <c r="E614" s="17"/>
      <c r="F614" s="17"/>
      <c r="G614" s="17"/>
      <c r="H614" s="17"/>
      <c r="I614" s="17"/>
      <c r="J614" s="17"/>
      <c r="K614" s="17"/>
      <c r="L614" s="17"/>
      <c r="M614" s="17"/>
    </row>
    <row r="615">
      <c r="A615" s="17"/>
      <c r="C615" s="17"/>
      <c r="D615" s="17"/>
      <c r="E615" s="17"/>
      <c r="F615" s="17"/>
      <c r="G615" s="17"/>
      <c r="H615" s="17"/>
      <c r="I615" s="17"/>
      <c r="J615" s="17"/>
      <c r="K615" s="17"/>
      <c r="L615" s="17"/>
      <c r="M615" s="17"/>
    </row>
    <row r="616">
      <c r="A616" s="17"/>
      <c r="C616" s="17"/>
      <c r="D616" s="17"/>
      <c r="E616" s="17"/>
      <c r="F616" s="17"/>
      <c r="G616" s="17"/>
      <c r="H616" s="17"/>
      <c r="I616" s="17"/>
      <c r="J616" s="17"/>
      <c r="K616" s="17"/>
      <c r="L616" s="17"/>
      <c r="M616" s="17"/>
    </row>
    <row r="617">
      <c r="A617" s="17"/>
      <c r="C617" s="17"/>
      <c r="D617" s="17"/>
      <c r="E617" s="17"/>
      <c r="F617" s="17"/>
      <c r="G617" s="17"/>
      <c r="H617" s="17"/>
      <c r="I617" s="17"/>
      <c r="J617" s="17"/>
      <c r="K617" s="17"/>
      <c r="L617" s="17"/>
      <c r="M617" s="17"/>
    </row>
    <row r="618">
      <c r="A618" s="17"/>
      <c r="C618" s="17"/>
      <c r="D618" s="17"/>
      <c r="E618" s="17"/>
      <c r="F618" s="17"/>
      <c r="G618" s="17"/>
      <c r="H618" s="17"/>
      <c r="I618" s="17"/>
      <c r="J618" s="17"/>
      <c r="K618" s="17"/>
      <c r="L618" s="17"/>
      <c r="M618" s="17"/>
    </row>
    <row r="619">
      <c r="A619" s="17"/>
      <c r="C619" s="17"/>
      <c r="D619" s="17"/>
      <c r="E619" s="17"/>
      <c r="F619" s="17"/>
      <c r="G619" s="17"/>
      <c r="H619" s="17"/>
      <c r="I619" s="17"/>
      <c r="J619" s="17"/>
      <c r="K619" s="17"/>
      <c r="L619" s="17"/>
      <c r="M619" s="17"/>
    </row>
    <row r="620">
      <c r="A620" s="17"/>
      <c r="C620" s="17"/>
      <c r="D620" s="17"/>
      <c r="E620" s="17"/>
      <c r="F620" s="17"/>
      <c r="G620" s="17"/>
      <c r="H620" s="17"/>
      <c r="I620" s="17"/>
      <c r="J620" s="17"/>
      <c r="K620" s="17"/>
      <c r="L620" s="17"/>
      <c r="M620" s="17"/>
    </row>
    <row r="621">
      <c r="A621" s="17"/>
      <c r="C621" s="17"/>
      <c r="D621" s="17"/>
      <c r="E621" s="17"/>
      <c r="F621" s="17"/>
      <c r="G621" s="17"/>
      <c r="H621" s="17"/>
      <c r="I621" s="17"/>
      <c r="J621" s="17"/>
      <c r="K621" s="17"/>
      <c r="L621" s="17"/>
      <c r="M621" s="17"/>
    </row>
    <row r="622">
      <c r="A622" s="17"/>
      <c r="C622" s="17"/>
      <c r="D622" s="17"/>
      <c r="E622" s="17"/>
      <c r="F622" s="17"/>
      <c r="G622" s="17"/>
      <c r="H622" s="17"/>
      <c r="I622" s="17"/>
      <c r="J622" s="17"/>
      <c r="K622" s="17"/>
      <c r="L622" s="17"/>
      <c r="M622" s="17"/>
    </row>
    <row r="623">
      <c r="A623" s="17"/>
      <c r="C623" s="17"/>
      <c r="D623" s="17"/>
      <c r="E623" s="17"/>
      <c r="F623" s="17"/>
      <c r="G623" s="17"/>
      <c r="H623" s="17"/>
      <c r="I623" s="17"/>
      <c r="J623" s="17"/>
      <c r="K623" s="17"/>
      <c r="L623" s="17"/>
      <c r="M623" s="17"/>
    </row>
    <row r="624">
      <c r="A624" s="17"/>
      <c r="C624" s="17"/>
      <c r="D624" s="17"/>
      <c r="E624" s="17"/>
      <c r="F624" s="17"/>
      <c r="G624" s="17"/>
      <c r="H624" s="17"/>
      <c r="I624" s="17"/>
      <c r="J624" s="17"/>
      <c r="K624" s="17"/>
      <c r="L624" s="17"/>
      <c r="M624" s="17"/>
    </row>
    <row r="625">
      <c r="A625" s="17"/>
      <c r="C625" s="17"/>
      <c r="D625" s="17"/>
      <c r="E625" s="17"/>
      <c r="F625" s="17"/>
      <c r="G625" s="17"/>
      <c r="H625" s="17"/>
      <c r="I625" s="17"/>
      <c r="J625" s="17"/>
      <c r="K625" s="17"/>
      <c r="L625" s="17"/>
      <c r="M625" s="17"/>
    </row>
    <row r="626">
      <c r="A626" s="17"/>
      <c r="C626" s="17"/>
      <c r="D626" s="17"/>
      <c r="E626" s="17"/>
      <c r="F626" s="17"/>
      <c r="G626" s="17"/>
      <c r="H626" s="17"/>
      <c r="I626" s="17"/>
      <c r="J626" s="17"/>
      <c r="K626" s="17"/>
      <c r="L626" s="17"/>
      <c r="M626" s="17"/>
    </row>
    <row r="627">
      <c r="A627" s="17"/>
      <c r="C627" s="17"/>
      <c r="D627" s="17"/>
      <c r="E627" s="17"/>
      <c r="F627" s="17"/>
      <c r="G627" s="17"/>
      <c r="H627" s="17"/>
      <c r="I627" s="17"/>
      <c r="J627" s="17"/>
      <c r="K627" s="17"/>
      <c r="L627" s="17"/>
      <c r="M627" s="17"/>
    </row>
    <row r="628">
      <c r="A628" s="17"/>
      <c r="C628" s="17"/>
      <c r="D628" s="17"/>
      <c r="E628" s="17"/>
      <c r="F628" s="17"/>
      <c r="G628" s="17"/>
      <c r="H628" s="17"/>
      <c r="I628" s="17"/>
      <c r="J628" s="17"/>
      <c r="K628" s="17"/>
      <c r="L628" s="17"/>
      <c r="M628" s="17"/>
    </row>
    <row r="629">
      <c r="A629" s="17"/>
      <c r="C629" s="17"/>
      <c r="D629" s="17"/>
      <c r="E629" s="17"/>
      <c r="F629" s="17"/>
      <c r="G629" s="17"/>
      <c r="H629" s="17"/>
      <c r="I629" s="17"/>
      <c r="J629" s="17"/>
      <c r="K629" s="17"/>
      <c r="L629" s="17"/>
      <c r="M629" s="17"/>
    </row>
    <row r="630">
      <c r="A630" s="17"/>
      <c r="C630" s="17"/>
      <c r="D630" s="17"/>
      <c r="E630" s="17"/>
      <c r="F630" s="17"/>
      <c r="G630" s="17"/>
      <c r="H630" s="17"/>
      <c r="I630" s="17"/>
      <c r="J630" s="17"/>
      <c r="K630" s="17"/>
      <c r="L630" s="17"/>
      <c r="M630" s="17"/>
    </row>
    <row r="631">
      <c r="A631" s="17"/>
      <c r="C631" s="17"/>
      <c r="D631" s="17"/>
      <c r="E631" s="17"/>
      <c r="F631" s="17"/>
      <c r="G631" s="17"/>
      <c r="H631" s="17"/>
      <c r="I631" s="17"/>
      <c r="J631" s="17"/>
      <c r="K631" s="17"/>
      <c r="L631" s="17"/>
      <c r="M631" s="17"/>
    </row>
    <row r="632">
      <c r="A632" s="17"/>
      <c r="C632" s="17"/>
      <c r="D632" s="17"/>
      <c r="E632" s="17"/>
      <c r="F632" s="17"/>
      <c r="G632" s="17"/>
      <c r="H632" s="17"/>
      <c r="I632" s="17"/>
      <c r="J632" s="17"/>
      <c r="K632" s="17"/>
      <c r="L632" s="17"/>
      <c r="M632" s="17"/>
    </row>
    <row r="633">
      <c r="A633" s="17"/>
      <c r="C633" s="17"/>
      <c r="D633" s="17"/>
      <c r="E633" s="17"/>
      <c r="F633" s="17"/>
      <c r="G633" s="17"/>
      <c r="H633" s="17"/>
      <c r="I633" s="17"/>
      <c r="J633" s="17"/>
      <c r="K633" s="17"/>
      <c r="L633" s="17"/>
      <c r="M633" s="17"/>
    </row>
    <row r="634">
      <c r="A634" s="17"/>
      <c r="C634" s="17"/>
      <c r="D634" s="17"/>
      <c r="E634" s="17"/>
      <c r="F634" s="17"/>
      <c r="G634" s="17"/>
      <c r="H634" s="17"/>
      <c r="I634" s="17"/>
      <c r="J634" s="17"/>
      <c r="K634" s="17"/>
      <c r="L634" s="17"/>
      <c r="M634" s="17"/>
    </row>
    <row r="635">
      <c r="A635" s="17"/>
      <c r="C635" s="17"/>
      <c r="D635" s="17"/>
      <c r="E635" s="17"/>
      <c r="F635" s="17"/>
      <c r="G635" s="17"/>
      <c r="H635" s="17"/>
      <c r="I635" s="17"/>
      <c r="J635" s="17"/>
      <c r="K635" s="17"/>
      <c r="L635" s="17"/>
      <c r="M635" s="17"/>
    </row>
    <row r="636">
      <c r="A636" s="17"/>
      <c r="C636" s="17"/>
      <c r="D636" s="17"/>
      <c r="E636" s="17"/>
      <c r="F636" s="17"/>
      <c r="G636" s="17"/>
      <c r="H636" s="17"/>
      <c r="I636" s="17"/>
      <c r="J636" s="17"/>
      <c r="K636" s="17"/>
      <c r="L636" s="17"/>
      <c r="M636" s="17"/>
    </row>
    <row r="637">
      <c r="A637" s="17"/>
      <c r="C637" s="17"/>
      <c r="D637" s="17"/>
      <c r="E637" s="17"/>
      <c r="F637" s="17"/>
      <c r="G637" s="17"/>
      <c r="H637" s="17"/>
      <c r="I637" s="17"/>
      <c r="J637" s="17"/>
      <c r="K637" s="17"/>
      <c r="L637" s="17"/>
      <c r="M637" s="17"/>
    </row>
    <row r="638">
      <c r="A638" s="17"/>
      <c r="C638" s="17"/>
      <c r="D638" s="17"/>
      <c r="E638" s="17"/>
      <c r="F638" s="17"/>
      <c r="G638" s="17"/>
      <c r="H638" s="17"/>
      <c r="I638" s="17"/>
      <c r="J638" s="17"/>
      <c r="K638" s="17"/>
      <c r="L638" s="17"/>
      <c r="M638" s="17"/>
    </row>
    <row r="639">
      <c r="A639" s="17"/>
      <c r="C639" s="17"/>
      <c r="D639" s="17"/>
      <c r="E639" s="17"/>
      <c r="F639" s="17"/>
      <c r="G639" s="17"/>
      <c r="H639" s="17"/>
      <c r="I639" s="17"/>
      <c r="J639" s="17"/>
      <c r="K639" s="17"/>
      <c r="L639" s="17"/>
      <c r="M639" s="17"/>
    </row>
    <row r="640">
      <c r="A640" s="17"/>
      <c r="C640" s="17"/>
      <c r="D640" s="17"/>
      <c r="E640" s="17"/>
      <c r="F640" s="17"/>
      <c r="G640" s="17"/>
      <c r="H640" s="17"/>
      <c r="I640" s="17"/>
      <c r="J640" s="17"/>
      <c r="K640" s="17"/>
      <c r="L640" s="17"/>
      <c r="M640" s="17"/>
    </row>
    <row r="641">
      <c r="A641" s="17"/>
      <c r="C641" s="17"/>
      <c r="D641" s="17"/>
      <c r="E641" s="17"/>
      <c r="F641" s="17"/>
      <c r="G641" s="17"/>
      <c r="H641" s="17"/>
      <c r="I641" s="17"/>
      <c r="J641" s="17"/>
      <c r="K641" s="17"/>
      <c r="L641" s="17"/>
      <c r="M641" s="17"/>
    </row>
    <row r="642">
      <c r="A642" s="17"/>
      <c r="C642" s="17"/>
      <c r="D642" s="17"/>
      <c r="E642" s="17"/>
      <c r="F642" s="17"/>
      <c r="G642" s="17"/>
      <c r="H642" s="17"/>
      <c r="I642" s="17"/>
      <c r="J642" s="17"/>
      <c r="K642" s="17"/>
      <c r="L642" s="17"/>
      <c r="M642" s="17"/>
    </row>
    <row r="643">
      <c r="A643" s="17"/>
      <c r="C643" s="17"/>
      <c r="D643" s="17"/>
      <c r="E643" s="17"/>
      <c r="F643" s="17"/>
      <c r="G643" s="17"/>
      <c r="H643" s="17"/>
      <c r="I643" s="17"/>
      <c r="J643" s="17"/>
      <c r="K643" s="17"/>
      <c r="L643" s="17"/>
      <c r="M643" s="17"/>
    </row>
    <row r="644">
      <c r="A644" s="17"/>
      <c r="C644" s="17"/>
      <c r="D644" s="17"/>
      <c r="E644" s="17"/>
      <c r="F644" s="17"/>
      <c r="G644" s="17"/>
      <c r="H644" s="17"/>
      <c r="I644" s="17"/>
      <c r="J644" s="17"/>
      <c r="K644" s="17"/>
      <c r="L644" s="17"/>
      <c r="M644" s="17"/>
    </row>
    <row r="645">
      <c r="A645" s="17"/>
      <c r="C645" s="17"/>
      <c r="D645" s="17"/>
      <c r="E645" s="17"/>
      <c r="F645" s="17"/>
      <c r="G645" s="17"/>
      <c r="H645" s="17"/>
      <c r="I645" s="17"/>
      <c r="J645" s="17"/>
      <c r="K645" s="17"/>
      <c r="L645" s="17"/>
      <c r="M645" s="17"/>
    </row>
    <row r="646">
      <c r="A646" s="17"/>
      <c r="C646" s="17"/>
      <c r="D646" s="17"/>
      <c r="E646" s="17"/>
      <c r="F646" s="17"/>
      <c r="G646" s="17"/>
      <c r="H646" s="17"/>
      <c r="I646" s="17"/>
      <c r="J646" s="17"/>
      <c r="K646" s="17"/>
      <c r="L646" s="17"/>
      <c r="M646" s="17"/>
    </row>
    <row r="647">
      <c r="A647" s="17"/>
      <c r="C647" s="17"/>
      <c r="D647" s="17"/>
      <c r="E647" s="17"/>
      <c r="F647" s="17"/>
      <c r="G647" s="17"/>
      <c r="H647" s="17"/>
      <c r="I647" s="17"/>
      <c r="J647" s="17"/>
      <c r="K647" s="17"/>
      <c r="L647" s="17"/>
      <c r="M647" s="17"/>
    </row>
    <row r="648">
      <c r="A648" s="17"/>
      <c r="C648" s="17"/>
      <c r="D648" s="17"/>
      <c r="E648" s="17"/>
      <c r="F648" s="17"/>
      <c r="G648" s="17"/>
      <c r="H648" s="17"/>
      <c r="I648" s="17"/>
      <c r="J648" s="17"/>
      <c r="K648" s="17"/>
      <c r="L648" s="17"/>
      <c r="M648" s="17"/>
    </row>
    <row r="649">
      <c r="A649" s="17"/>
      <c r="C649" s="17"/>
      <c r="D649" s="17"/>
      <c r="E649" s="17"/>
      <c r="F649" s="17"/>
      <c r="G649" s="17"/>
      <c r="H649" s="17"/>
      <c r="I649" s="17"/>
      <c r="J649" s="17"/>
      <c r="K649" s="17"/>
      <c r="L649" s="17"/>
      <c r="M649" s="17"/>
    </row>
    <row r="650">
      <c r="A650" s="17"/>
      <c r="C650" s="17"/>
      <c r="D650" s="17"/>
      <c r="E650" s="17"/>
      <c r="F650" s="17"/>
      <c r="G650" s="17"/>
      <c r="H650" s="17"/>
      <c r="I650" s="17"/>
      <c r="J650" s="17"/>
      <c r="K650" s="17"/>
      <c r="L650" s="17"/>
      <c r="M650" s="17"/>
    </row>
    <row r="651">
      <c r="A651" s="17"/>
      <c r="C651" s="17"/>
      <c r="D651" s="17"/>
      <c r="E651" s="17"/>
      <c r="F651" s="17"/>
      <c r="G651" s="17"/>
      <c r="H651" s="17"/>
      <c r="I651" s="17"/>
      <c r="J651" s="17"/>
      <c r="K651" s="17"/>
      <c r="L651" s="17"/>
      <c r="M651" s="17"/>
    </row>
    <row r="652">
      <c r="A652" s="17"/>
      <c r="C652" s="17"/>
      <c r="D652" s="17"/>
      <c r="E652" s="17"/>
      <c r="F652" s="17"/>
      <c r="G652" s="17"/>
      <c r="H652" s="17"/>
      <c r="I652" s="17"/>
      <c r="J652" s="17"/>
      <c r="K652" s="17"/>
      <c r="L652" s="17"/>
      <c r="M652" s="17"/>
    </row>
    <row r="653">
      <c r="A653" s="17"/>
      <c r="C653" s="17"/>
      <c r="D653" s="17"/>
      <c r="E653" s="17"/>
      <c r="F653" s="17"/>
      <c r="G653" s="17"/>
      <c r="H653" s="17"/>
      <c r="I653" s="17"/>
      <c r="J653" s="17"/>
      <c r="K653" s="17"/>
      <c r="L653" s="17"/>
      <c r="M653" s="17"/>
    </row>
    <row r="654">
      <c r="A654" s="17"/>
      <c r="C654" s="17"/>
      <c r="D654" s="17"/>
      <c r="E654" s="17"/>
      <c r="F654" s="17"/>
      <c r="G654" s="17"/>
      <c r="H654" s="17"/>
      <c r="I654" s="17"/>
      <c r="J654" s="17"/>
      <c r="K654" s="17"/>
      <c r="L654" s="17"/>
      <c r="M654" s="17"/>
    </row>
    <row r="655">
      <c r="A655" s="17"/>
      <c r="C655" s="17"/>
      <c r="D655" s="17"/>
      <c r="E655" s="17"/>
      <c r="F655" s="17"/>
      <c r="G655" s="17"/>
      <c r="H655" s="17"/>
      <c r="I655" s="17"/>
      <c r="J655" s="17"/>
      <c r="K655" s="17"/>
      <c r="L655" s="17"/>
      <c r="M655" s="17"/>
    </row>
    <row r="656">
      <c r="A656" s="17"/>
      <c r="C656" s="17"/>
      <c r="D656" s="17"/>
      <c r="E656" s="17"/>
      <c r="F656" s="17"/>
      <c r="G656" s="17"/>
      <c r="H656" s="17"/>
      <c r="I656" s="17"/>
      <c r="J656" s="17"/>
      <c r="K656" s="17"/>
      <c r="L656" s="17"/>
      <c r="M656" s="17"/>
    </row>
    <row r="657">
      <c r="A657" s="17"/>
      <c r="C657" s="17"/>
      <c r="D657" s="17"/>
      <c r="E657" s="17"/>
      <c r="F657" s="17"/>
      <c r="G657" s="17"/>
      <c r="H657" s="17"/>
      <c r="I657" s="17"/>
      <c r="J657" s="17"/>
      <c r="K657" s="17"/>
      <c r="L657" s="17"/>
      <c r="M657" s="17"/>
    </row>
    <row r="658">
      <c r="A658" s="17"/>
      <c r="C658" s="17"/>
      <c r="D658" s="17"/>
      <c r="E658" s="17"/>
      <c r="F658" s="17"/>
      <c r="G658" s="17"/>
      <c r="H658" s="17"/>
      <c r="I658" s="17"/>
      <c r="J658" s="17"/>
      <c r="K658" s="17"/>
      <c r="L658" s="17"/>
      <c r="M658" s="17"/>
    </row>
    <row r="659">
      <c r="A659" s="17"/>
      <c r="C659" s="17"/>
      <c r="D659" s="17"/>
      <c r="E659" s="17"/>
      <c r="F659" s="17"/>
      <c r="G659" s="17"/>
      <c r="H659" s="17"/>
      <c r="I659" s="17"/>
      <c r="J659" s="17"/>
      <c r="K659" s="17"/>
      <c r="L659" s="17"/>
      <c r="M659" s="17"/>
    </row>
    <row r="660">
      <c r="A660" s="17"/>
      <c r="C660" s="17"/>
      <c r="D660" s="17"/>
      <c r="E660" s="17"/>
      <c r="F660" s="17"/>
      <c r="G660" s="17"/>
      <c r="H660" s="17"/>
      <c r="I660" s="17"/>
      <c r="J660" s="17"/>
      <c r="K660" s="17"/>
      <c r="L660" s="17"/>
      <c r="M660" s="17"/>
    </row>
    <row r="661">
      <c r="A661" s="17"/>
      <c r="C661" s="17"/>
      <c r="D661" s="17"/>
      <c r="E661" s="17"/>
      <c r="F661" s="17"/>
      <c r="G661" s="17"/>
      <c r="H661" s="17"/>
      <c r="I661" s="17"/>
      <c r="J661" s="17"/>
      <c r="K661" s="17"/>
      <c r="L661" s="17"/>
      <c r="M661" s="17"/>
    </row>
    <row r="662">
      <c r="A662" s="17"/>
      <c r="C662" s="17"/>
      <c r="D662" s="17"/>
      <c r="E662" s="17"/>
      <c r="F662" s="17"/>
      <c r="G662" s="17"/>
      <c r="H662" s="17"/>
      <c r="I662" s="17"/>
      <c r="J662" s="17"/>
      <c r="K662" s="17"/>
      <c r="L662" s="17"/>
      <c r="M662" s="17"/>
    </row>
    <row r="663">
      <c r="A663" s="17"/>
      <c r="C663" s="17"/>
      <c r="D663" s="17"/>
      <c r="E663" s="17"/>
      <c r="F663" s="17"/>
      <c r="G663" s="17"/>
      <c r="H663" s="17"/>
      <c r="I663" s="17"/>
      <c r="J663" s="17"/>
      <c r="K663" s="17"/>
      <c r="L663" s="17"/>
      <c r="M663" s="17"/>
    </row>
    <row r="664">
      <c r="A664" s="17"/>
      <c r="C664" s="17"/>
      <c r="D664" s="17"/>
      <c r="E664" s="17"/>
      <c r="F664" s="17"/>
      <c r="G664" s="17"/>
      <c r="H664" s="17"/>
      <c r="I664" s="17"/>
      <c r="J664" s="17"/>
      <c r="K664" s="17"/>
      <c r="L664" s="17"/>
      <c r="M664" s="17"/>
    </row>
    <row r="665">
      <c r="A665" s="17"/>
      <c r="C665" s="17"/>
      <c r="D665" s="17"/>
      <c r="E665" s="17"/>
      <c r="F665" s="17"/>
      <c r="G665" s="17"/>
      <c r="H665" s="17"/>
      <c r="I665" s="17"/>
      <c r="J665" s="17"/>
      <c r="K665" s="17"/>
      <c r="L665" s="17"/>
      <c r="M665" s="17"/>
    </row>
    <row r="666">
      <c r="A666" s="17"/>
      <c r="C666" s="17"/>
      <c r="D666" s="17"/>
      <c r="E666" s="17"/>
      <c r="F666" s="17"/>
      <c r="G666" s="17"/>
      <c r="H666" s="17"/>
      <c r="I666" s="17"/>
      <c r="J666" s="17"/>
      <c r="K666" s="17"/>
      <c r="L666" s="17"/>
      <c r="M666" s="17"/>
    </row>
    <row r="667">
      <c r="A667" s="17"/>
      <c r="C667" s="17"/>
      <c r="D667" s="17"/>
      <c r="E667" s="17"/>
      <c r="F667" s="17"/>
      <c r="G667" s="17"/>
      <c r="H667" s="17"/>
      <c r="I667" s="17"/>
      <c r="J667" s="17"/>
      <c r="K667" s="17"/>
      <c r="L667" s="17"/>
      <c r="M667" s="17"/>
    </row>
    <row r="668">
      <c r="A668" s="17"/>
      <c r="C668" s="17"/>
      <c r="D668" s="17"/>
      <c r="E668" s="17"/>
      <c r="F668" s="17"/>
      <c r="G668" s="17"/>
      <c r="H668" s="17"/>
      <c r="I668" s="17"/>
      <c r="J668" s="17"/>
      <c r="K668" s="17"/>
      <c r="L668" s="17"/>
      <c r="M668" s="17"/>
    </row>
    <row r="669">
      <c r="A669" s="17"/>
      <c r="C669" s="17"/>
      <c r="D669" s="17"/>
      <c r="E669" s="17"/>
      <c r="F669" s="17"/>
      <c r="G669" s="17"/>
      <c r="H669" s="17"/>
      <c r="I669" s="17"/>
      <c r="J669" s="17"/>
      <c r="K669" s="17"/>
      <c r="L669" s="17"/>
      <c r="M669" s="17"/>
    </row>
    <row r="670">
      <c r="A670" s="17"/>
      <c r="C670" s="17"/>
      <c r="D670" s="17"/>
      <c r="E670" s="17"/>
      <c r="F670" s="17"/>
      <c r="G670" s="17"/>
      <c r="H670" s="17"/>
      <c r="I670" s="17"/>
      <c r="J670" s="17"/>
      <c r="K670" s="17"/>
      <c r="L670" s="17"/>
      <c r="M670" s="17"/>
    </row>
    <row r="671">
      <c r="A671" s="17"/>
      <c r="C671" s="17"/>
      <c r="D671" s="17"/>
      <c r="E671" s="17"/>
      <c r="F671" s="17"/>
      <c r="G671" s="17"/>
      <c r="H671" s="17"/>
      <c r="I671" s="17"/>
      <c r="J671" s="17"/>
      <c r="K671" s="17"/>
      <c r="L671" s="17"/>
      <c r="M671" s="17"/>
    </row>
    <row r="672">
      <c r="A672" s="17"/>
      <c r="C672" s="17"/>
      <c r="D672" s="17"/>
      <c r="E672" s="17"/>
      <c r="F672" s="17"/>
      <c r="G672" s="17"/>
      <c r="H672" s="17"/>
      <c r="I672" s="17"/>
      <c r="J672" s="17"/>
      <c r="K672" s="17"/>
      <c r="L672" s="17"/>
      <c r="M672" s="17"/>
    </row>
    <row r="673">
      <c r="A673" s="17"/>
      <c r="C673" s="17"/>
      <c r="D673" s="17"/>
      <c r="E673" s="17"/>
      <c r="F673" s="17"/>
      <c r="G673" s="17"/>
      <c r="H673" s="17"/>
      <c r="I673" s="17"/>
      <c r="J673" s="17"/>
      <c r="K673" s="17"/>
      <c r="L673" s="17"/>
      <c r="M673" s="17"/>
    </row>
    <row r="674">
      <c r="A674" s="17"/>
      <c r="C674" s="17"/>
      <c r="D674" s="17"/>
      <c r="E674" s="17"/>
      <c r="F674" s="17"/>
      <c r="G674" s="17"/>
      <c r="H674" s="17"/>
      <c r="I674" s="17"/>
      <c r="J674" s="17"/>
      <c r="K674" s="17"/>
      <c r="L674" s="17"/>
      <c r="M674" s="17"/>
    </row>
    <row r="675">
      <c r="A675" s="17"/>
      <c r="C675" s="17"/>
      <c r="D675" s="17"/>
      <c r="E675" s="17"/>
      <c r="F675" s="17"/>
      <c r="G675" s="17"/>
      <c r="H675" s="17"/>
      <c r="I675" s="17"/>
      <c r="J675" s="17"/>
      <c r="K675" s="17"/>
      <c r="L675" s="17"/>
      <c r="M675" s="17"/>
    </row>
    <row r="676">
      <c r="A676" s="17"/>
      <c r="C676" s="17"/>
      <c r="D676" s="17"/>
      <c r="E676" s="17"/>
      <c r="F676" s="17"/>
      <c r="G676" s="17"/>
      <c r="H676" s="17"/>
      <c r="I676" s="17"/>
      <c r="J676" s="17"/>
      <c r="K676" s="17"/>
      <c r="L676" s="17"/>
      <c r="M676" s="17"/>
    </row>
    <row r="677">
      <c r="A677" s="17"/>
      <c r="C677" s="17"/>
      <c r="D677" s="17"/>
      <c r="E677" s="17"/>
      <c r="F677" s="17"/>
      <c r="G677" s="17"/>
      <c r="H677" s="17"/>
      <c r="I677" s="17"/>
      <c r="J677" s="17"/>
      <c r="K677" s="17"/>
      <c r="L677" s="17"/>
      <c r="M677" s="17"/>
    </row>
    <row r="678">
      <c r="A678" s="17"/>
      <c r="C678" s="17"/>
      <c r="D678" s="17"/>
      <c r="E678" s="17"/>
      <c r="F678" s="17"/>
      <c r="G678" s="17"/>
      <c r="H678" s="17"/>
      <c r="I678" s="17"/>
      <c r="J678" s="17"/>
      <c r="K678" s="17"/>
      <c r="L678" s="17"/>
      <c r="M678" s="17"/>
    </row>
    <row r="679">
      <c r="A679" s="17"/>
      <c r="C679" s="17"/>
      <c r="D679" s="17"/>
      <c r="E679" s="17"/>
      <c r="F679" s="17"/>
      <c r="G679" s="17"/>
      <c r="H679" s="17"/>
      <c r="I679" s="17"/>
      <c r="J679" s="17"/>
      <c r="K679" s="17"/>
      <c r="L679" s="17"/>
      <c r="M679" s="17"/>
    </row>
    <row r="680">
      <c r="A680" s="17"/>
      <c r="C680" s="17"/>
      <c r="D680" s="17"/>
      <c r="E680" s="17"/>
      <c r="F680" s="17"/>
      <c r="G680" s="17"/>
      <c r="H680" s="17"/>
      <c r="I680" s="17"/>
      <c r="J680" s="17"/>
      <c r="K680" s="17"/>
      <c r="L680" s="17"/>
      <c r="M680" s="17"/>
    </row>
    <row r="681">
      <c r="A681" s="17"/>
      <c r="C681" s="17"/>
      <c r="D681" s="17"/>
      <c r="E681" s="17"/>
      <c r="F681" s="17"/>
      <c r="G681" s="17"/>
      <c r="H681" s="17"/>
      <c r="I681" s="17"/>
      <c r="J681" s="17"/>
      <c r="K681" s="17"/>
      <c r="L681" s="17"/>
      <c r="M681" s="17"/>
    </row>
    <row r="682">
      <c r="A682" s="17"/>
      <c r="C682" s="17"/>
      <c r="D682" s="17"/>
      <c r="E682" s="17"/>
      <c r="F682" s="17"/>
      <c r="G682" s="17"/>
      <c r="H682" s="17"/>
      <c r="I682" s="17"/>
      <c r="J682" s="17"/>
      <c r="K682" s="17"/>
      <c r="L682" s="17"/>
      <c r="M682" s="17"/>
    </row>
    <row r="683">
      <c r="A683" s="17"/>
      <c r="C683" s="17"/>
      <c r="D683" s="17"/>
      <c r="E683" s="17"/>
      <c r="F683" s="17"/>
      <c r="G683" s="17"/>
      <c r="H683" s="17"/>
      <c r="I683" s="17"/>
      <c r="J683" s="17"/>
      <c r="K683" s="17"/>
      <c r="L683" s="17"/>
      <c r="M683" s="17"/>
    </row>
    <row r="684">
      <c r="A684" s="17"/>
      <c r="C684" s="17"/>
      <c r="D684" s="17"/>
      <c r="E684" s="17"/>
      <c r="F684" s="17"/>
      <c r="G684" s="17"/>
      <c r="H684" s="17"/>
      <c r="I684" s="17"/>
      <c r="J684" s="17"/>
      <c r="K684" s="17"/>
      <c r="L684" s="17"/>
      <c r="M684" s="17"/>
    </row>
    <row r="685">
      <c r="A685" s="17"/>
      <c r="C685" s="17"/>
      <c r="D685" s="17"/>
      <c r="E685" s="17"/>
      <c r="F685" s="17"/>
      <c r="G685" s="17"/>
      <c r="H685" s="17"/>
      <c r="I685" s="17"/>
      <c r="J685" s="17"/>
      <c r="K685" s="17"/>
      <c r="L685" s="17"/>
      <c r="M685" s="17"/>
    </row>
    <row r="686">
      <c r="A686" s="17"/>
      <c r="C686" s="17"/>
      <c r="D686" s="17"/>
      <c r="E686" s="17"/>
      <c r="F686" s="17"/>
      <c r="G686" s="17"/>
      <c r="H686" s="17"/>
      <c r="I686" s="17"/>
      <c r="J686" s="17"/>
      <c r="K686" s="17"/>
      <c r="L686" s="17"/>
      <c r="M686" s="17"/>
    </row>
    <row r="687">
      <c r="A687" s="17"/>
      <c r="C687" s="17"/>
      <c r="D687" s="17"/>
      <c r="E687" s="17"/>
      <c r="F687" s="17"/>
      <c r="G687" s="17"/>
      <c r="H687" s="17"/>
      <c r="I687" s="17"/>
      <c r="J687" s="17"/>
      <c r="K687" s="17"/>
      <c r="L687" s="17"/>
      <c r="M687" s="17"/>
    </row>
    <row r="688">
      <c r="A688" s="17"/>
      <c r="C688" s="17"/>
      <c r="D688" s="17"/>
      <c r="E688" s="17"/>
      <c r="F688" s="17"/>
      <c r="G688" s="17"/>
      <c r="H688" s="17"/>
      <c r="I688" s="17"/>
      <c r="J688" s="17"/>
      <c r="K688" s="17"/>
      <c r="L688" s="17"/>
      <c r="M688" s="17"/>
    </row>
    <row r="689">
      <c r="A689" s="17"/>
      <c r="C689" s="17"/>
      <c r="D689" s="17"/>
      <c r="E689" s="17"/>
      <c r="F689" s="17"/>
      <c r="G689" s="17"/>
      <c r="H689" s="17"/>
      <c r="I689" s="17"/>
      <c r="J689" s="17"/>
      <c r="K689" s="17"/>
      <c r="L689" s="17"/>
      <c r="M689" s="17"/>
    </row>
    <row r="690">
      <c r="A690" s="17"/>
      <c r="C690" s="17"/>
      <c r="D690" s="17"/>
      <c r="E690" s="17"/>
      <c r="F690" s="17"/>
      <c r="G690" s="17"/>
      <c r="H690" s="17"/>
      <c r="I690" s="17"/>
      <c r="J690" s="17"/>
      <c r="K690" s="17"/>
      <c r="L690" s="17"/>
      <c r="M690" s="17"/>
    </row>
    <row r="691">
      <c r="A691" s="17"/>
      <c r="C691" s="17"/>
      <c r="D691" s="17"/>
      <c r="E691" s="17"/>
      <c r="F691" s="17"/>
      <c r="G691" s="17"/>
      <c r="H691" s="17"/>
      <c r="I691" s="17"/>
      <c r="J691" s="17"/>
      <c r="K691" s="17"/>
      <c r="L691" s="17"/>
      <c r="M691" s="17"/>
    </row>
    <row r="692">
      <c r="A692" s="17"/>
      <c r="C692" s="17"/>
      <c r="D692" s="17"/>
      <c r="E692" s="17"/>
      <c r="F692" s="17"/>
      <c r="G692" s="17"/>
      <c r="H692" s="17"/>
      <c r="I692" s="17"/>
      <c r="J692" s="17"/>
      <c r="K692" s="17"/>
      <c r="L692" s="17"/>
      <c r="M692" s="17"/>
    </row>
    <row r="693">
      <c r="A693" s="17"/>
      <c r="C693" s="17"/>
      <c r="D693" s="17"/>
      <c r="E693" s="17"/>
      <c r="F693" s="17"/>
      <c r="G693" s="17"/>
      <c r="H693" s="17"/>
      <c r="I693" s="17"/>
      <c r="J693" s="17"/>
      <c r="K693" s="17"/>
      <c r="L693" s="17"/>
      <c r="M693" s="17"/>
    </row>
    <row r="694">
      <c r="A694" s="17"/>
      <c r="C694" s="17"/>
      <c r="D694" s="17"/>
      <c r="E694" s="17"/>
      <c r="F694" s="17"/>
      <c r="G694" s="17"/>
      <c r="H694" s="17"/>
      <c r="I694" s="17"/>
      <c r="J694" s="17"/>
      <c r="K694" s="17"/>
      <c r="L694" s="17"/>
      <c r="M694" s="17"/>
    </row>
    <row r="695">
      <c r="A695" s="17"/>
      <c r="C695" s="17"/>
      <c r="D695" s="17"/>
      <c r="E695" s="17"/>
      <c r="F695" s="17"/>
      <c r="G695" s="17"/>
      <c r="H695" s="17"/>
      <c r="I695" s="17"/>
      <c r="J695" s="17"/>
      <c r="K695" s="17"/>
      <c r="L695" s="17"/>
      <c r="M695" s="17"/>
    </row>
    <row r="696">
      <c r="A696" s="17"/>
      <c r="C696" s="17"/>
      <c r="D696" s="17"/>
      <c r="E696" s="17"/>
      <c r="F696" s="17"/>
      <c r="G696" s="17"/>
      <c r="H696" s="17"/>
      <c r="I696" s="17"/>
      <c r="J696" s="17"/>
      <c r="K696" s="17"/>
      <c r="L696" s="17"/>
      <c r="M696" s="17"/>
    </row>
    <row r="697">
      <c r="A697" s="17"/>
      <c r="C697" s="17"/>
      <c r="D697" s="17"/>
      <c r="E697" s="17"/>
      <c r="F697" s="17"/>
      <c r="G697" s="17"/>
      <c r="H697" s="17"/>
      <c r="I697" s="17"/>
      <c r="J697" s="17"/>
      <c r="K697" s="17"/>
      <c r="L697" s="17"/>
      <c r="M697" s="17"/>
    </row>
    <row r="698">
      <c r="A698" s="17"/>
      <c r="C698" s="17"/>
      <c r="D698" s="17"/>
      <c r="E698" s="17"/>
      <c r="F698" s="17"/>
      <c r="G698" s="17"/>
      <c r="H698" s="17"/>
      <c r="I698" s="17"/>
      <c r="J698" s="17"/>
      <c r="K698" s="17"/>
      <c r="L698" s="17"/>
      <c r="M698" s="17"/>
    </row>
    <row r="699">
      <c r="A699" s="17"/>
      <c r="C699" s="17"/>
      <c r="D699" s="17"/>
      <c r="E699" s="17"/>
      <c r="F699" s="17"/>
      <c r="G699" s="17"/>
      <c r="H699" s="17"/>
      <c r="I699" s="17"/>
      <c r="J699" s="17"/>
      <c r="K699" s="17"/>
      <c r="L699" s="17"/>
      <c r="M699" s="17"/>
    </row>
    <row r="700">
      <c r="A700" s="17"/>
      <c r="C700" s="17"/>
      <c r="D700" s="17"/>
      <c r="E700" s="17"/>
      <c r="F700" s="17"/>
      <c r="G700" s="17"/>
      <c r="H700" s="17"/>
      <c r="I700" s="17"/>
      <c r="J700" s="17"/>
      <c r="K700" s="17"/>
      <c r="L700" s="17"/>
      <c r="M700" s="17"/>
    </row>
    <row r="701">
      <c r="A701" s="17"/>
      <c r="C701" s="17"/>
      <c r="D701" s="17"/>
      <c r="E701" s="17"/>
      <c r="F701" s="17"/>
      <c r="G701" s="17"/>
      <c r="H701" s="17"/>
      <c r="I701" s="17"/>
      <c r="J701" s="17"/>
      <c r="K701" s="17"/>
      <c r="L701" s="17"/>
      <c r="M701" s="17"/>
    </row>
    <row r="702">
      <c r="A702" s="17"/>
      <c r="C702" s="17"/>
      <c r="D702" s="17"/>
      <c r="E702" s="17"/>
      <c r="F702" s="17"/>
      <c r="G702" s="17"/>
      <c r="H702" s="17"/>
      <c r="I702" s="17"/>
      <c r="J702" s="17"/>
      <c r="K702" s="17"/>
      <c r="L702" s="17"/>
      <c r="M702" s="17"/>
    </row>
    <row r="703">
      <c r="A703" s="17"/>
      <c r="C703" s="17"/>
      <c r="D703" s="17"/>
      <c r="E703" s="17"/>
      <c r="F703" s="17"/>
      <c r="G703" s="17"/>
      <c r="H703" s="17"/>
      <c r="I703" s="17"/>
      <c r="J703" s="17"/>
      <c r="K703" s="17"/>
      <c r="L703" s="17"/>
      <c r="M703" s="17"/>
    </row>
    <row r="704">
      <c r="A704" s="17"/>
      <c r="C704" s="17"/>
      <c r="D704" s="17"/>
      <c r="E704" s="17"/>
      <c r="F704" s="17"/>
      <c r="G704" s="17"/>
      <c r="H704" s="17"/>
      <c r="I704" s="17"/>
      <c r="J704" s="17"/>
      <c r="K704" s="17"/>
      <c r="L704" s="17"/>
      <c r="M704" s="17"/>
    </row>
    <row r="705">
      <c r="A705" s="17"/>
      <c r="C705" s="17"/>
      <c r="D705" s="17"/>
      <c r="E705" s="17"/>
      <c r="F705" s="17"/>
      <c r="G705" s="17"/>
      <c r="H705" s="17"/>
      <c r="I705" s="17"/>
      <c r="J705" s="17"/>
      <c r="K705" s="17"/>
      <c r="L705" s="17"/>
      <c r="M705" s="17"/>
    </row>
    <row r="706">
      <c r="A706" s="17"/>
      <c r="C706" s="17"/>
      <c r="D706" s="17"/>
      <c r="E706" s="17"/>
      <c r="F706" s="17"/>
      <c r="G706" s="17"/>
      <c r="H706" s="17"/>
      <c r="I706" s="17"/>
      <c r="J706" s="17"/>
      <c r="K706" s="17"/>
      <c r="L706" s="17"/>
      <c r="M706" s="17"/>
    </row>
    <row r="707">
      <c r="A707" s="17"/>
      <c r="C707" s="17"/>
      <c r="D707" s="17"/>
      <c r="E707" s="17"/>
      <c r="F707" s="17"/>
      <c r="G707" s="17"/>
      <c r="H707" s="17"/>
      <c r="I707" s="17"/>
      <c r="J707" s="17"/>
      <c r="K707" s="17"/>
      <c r="L707" s="17"/>
      <c r="M707" s="17"/>
    </row>
    <row r="708">
      <c r="A708" s="17"/>
      <c r="C708" s="17"/>
      <c r="D708" s="17"/>
      <c r="E708" s="17"/>
      <c r="F708" s="17"/>
      <c r="G708" s="17"/>
      <c r="H708" s="17"/>
      <c r="I708" s="17"/>
      <c r="J708" s="17"/>
      <c r="K708" s="17"/>
      <c r="L708" s="17"/>
      <c r="M708" s="17"/>
    </row>
    <row r="709">
      <c r="A709" s="17"/>
      <c r="C709" s="17"/>
      <c r="D709" s="17"/>
      <c r="E709" s="17"/>
      <c r="F709" s="17"/>
      <c r="G709" s="17"/>
      <c r="H709" s="17"/>
      <c r="I709" s="17"/>
      <c r="J709" s="17"/>
      <c r="K709" s="17"/>
      <c r="L709" s="17"/>
      <c r="M709" s="17"/>
    </row>
    <row r="710">
      <c r="A710" s="17"/>
      <c r="C710" s="17"/>
      <c r="D710" s="17"/>
      <c r="E710" s="17"/>
      <c r="F710" s="17"/>
      <c r="G710" s="17"/>
      <c r="H710" s="17"/>
      <c r="I710" s="17"/>
      <c r="J710" s="17"/>
      <c r="K710" s="17"/>
      <c r="L710" s="17"/>
      <c r="M710" s="17"/>
    </row>
    <row r="711">
      <c r="A711" s="17"/>
      <c r="C711" s="17"/>
      <c r="D711" s="17"/>
      <c r="E711" s="17"/>
      <c r="F711" s="17"/>
      <c r="G711" s="17"/>
      <c r="H711" s="17"/>
      <c r="I711" s="17"/>
      <c r="J711" s="17"/>
      <c r="K711" s="17"/>
      <c r="L711" s="17"/>
      <c r="M711" s="17"/>
    </row>
    <row r="712">
      <c r="A712" s="17"/>
      <c r="C712" s="17"/>
      <c r="D712" s="17"/>
      <c r="E712" s="17"/>
      <c r="F712" s="17"/>
      <c r="G712" s="17"/>
      <c r="H712" s="17"/>
      <c r="I712" s="17"/>
      <c r="J712" s="17"/>
      <c r="K712" s="17"/>
      <c r="L712" s="17"/>
      <c r="M712" s="17"/>
    </row>
    <row r="713">
      <c r="A713" s="17"/>
      <c r="C713" s="17"/>
      <c r="D713" s="17"/>
      <c r="E713" s="17"/>
      <c r="F713" s="17"/>
      <c r="G713" s="17"/>
      <c r="H713" s="17"/>
      <c r="I713" s="17"/>
      <c r="J713" s="17"/>
      <c r="K713" s="17"/>
      <c r="L713" s="17"/>
      <c r="M713" s="17"/>
    </row>
    <row r="714">
      <c r="A714" s="17"/>
      <c r="C714" s="17"/>
      <c r="D714" s="17"/>
      <c r="E714" s="17"/>
      <c r="F714" s="17"/>
      <c r="G714" s="17"/>
      <c r="H714" s="17"/>
      <c r="I714" s="17"/>
      <c r="J714" s="17"/>
      <c r="K714" s="17"/>
      <c r="L714" s="17"/>
      <c r="M714" s="17"/>
    </row>
    <row r="715">
      <c r="A715" s="17"/>
      <c r="C715" s="17"/>
      <c r="D715" s="17"/>
      <c r="E715" s="17"/>
      <c r="F715" s="17"/>
      <c r="G715" s="17"/>
      <c r="H715" s="17"/>
      <c r="I715" s="17"/>
      <c r="J715" s="17"/>
      <c r="K715" s="17"/>
      <c r="L715" s="17"/>
      <c r="M715" s="17"/>
    </row>
    <row r="716">
      <c r="A716" s="17"/>
      <c r="C716" s="17"/>
      <c r="D716" s="17"/>
      <c r="E716" s="17"/>
      <c r="F716" s="17"/>
      <c r="G716" s="17"/>
      <c r="H716" s="17"/>
      <c r="I716" s="17"/>
      <c r="J716" s="17"/>
      <c r="K716" s="17"/>
      <c r="L716" s="17"/>
      <c r="M716" s="17"/>
    </row>
    <row r="717">
      <c r="A717" s="17"/>
      <c r="C717" s="17"/>
      <c r="D717" s="17"/>
      <c r="E717" s="17"/>
      <c r="F717" s="17"/>
      <c r="G717" s="17"/>
      <c r="H717" s="17"/>
      <c r="I717" s="17"/>
      <c r="J717" s="17"/>
      <c r="K717" s="17"/>
      <c r="L717" s="17"/>
      <c r="M717" s="17"/>
    </row>
    <row r="718">
      <c r="A718" s="17"/>
      <c r="C718" s="17"/>
      <c r="D718" s="17"/>
      <c r="E718" s="17"/>
      <c r="F718" s="17"/>
      <c r="G718" s="17"/>
      <c r="H718" s="17"/>
      <c r="I718" s="17"/>
      <c r="J718" s="17"/>
      <c r="K718" s="17"/>
      <c r="L718" s="17"/>
      <c r="M718" s="17"/>
    </row>
    <row r="719">
      <c r="A719" s="17"/>
      <c r="C719" s="17"/>
      <c r="D719" s="17"/>
      <c r="E719" s="17"/>
      <c r="F719" s="17"/>
      <c r="G719" s="17"/>
      <c r="H719" s="17"/>
      <c r="I719" s="17"/>
      <c r="J719" s="17"/>
      <c r="K719" s="17"/>
      <c r="L719" s="17"/>
      <c r="M719" s="17"/>
    </row>
    <row r="720">
      <c r="A720" s="17"/>
      <c r="C720" s="17"/>
      <c r="D720" s="17"/>
      <c r="E720" s="17"/>
      <c r="F720" s="17"/>
      <c r="G720" s="17"/>
      <c r="H720" s="17"/>
      <c r="I720" s="17"/>
      <c r="J720" s="17"/>
      <c r="K720" s="17"/>
      <c r="L720" s="17"/>
      <c r="M720" s="17"/>
    </row>
    <row r="721">
      <c r="A721" s="17"/>
      <c r="C721" s="17"/>
      <c r="D721" s="17"/>
      <c r="E721" s="17"/>
      <c r="F721" s="17"/>
      <c r="G721" s="17"/>
      <c r="H721" s="17"/>
      <c r="I721" s="17"/>
      <c r="J721" s="17"/>
      <c r="K721" s="17"/>
      <c r="L721" s="17"/>
      <c r="M721" s="17"/>
    </row>
    <row r="722">
      <c r="A722" s="17"/>
      <c r="C722" s="17"/>
      <c r="D722" s="17"/>
      <c r="E722" s="17"/>
      <c r="F722" s="17"/>
      <c r="G722" s="17"/>
      <c r="H722" s="17"/>
      <c r="I722" s="17"/>
      <c r="J722" s="17"/>
      <c r="K722" s="17"/>
      <c r="L722" s="17"/>
      <c r="M722" s="17"/>
    </row>
    <row r="723">
      <c r="A723" s="17"/>
      <c r="C723" s="17"/>
      <c r="D723" s="17"/>
      <c r="E723" s="17"/>
      <c r="F723" s="17"/>
      <c r="G723" s="17"/>
      <c r="H723" s="17"/>
      <c r="I723" s="17"/>
      <c r="J723" s="17"/>
      <c r="K723" s="17"/>
      <c r="L723" s="17"/>
      <c r="M723" s="17"/>
    </row>
    <row r="724">
      <c r="A724" s="17"/>
      <c r="C724" s="17"/>
      <c r="D724" s="17"/>
      <c r="E724" s="17"/>
      <c r="F724" s="17"/>
      <c r="G724" s="17"/>
      <c r="H724" s="17"/>
      <c r="I724" s="17"/>
      <c r="J724" s="17"/>
      <c r="K724" s="17"/>
      <c r="L724" s="17"/>
      <c r="M724" s="17"/>
    </row>
    <row r="725">
      <c r="A725" s="17"/>
      <c r="C725" s="17"/>
      <c r="D725" s="17"/>
      <c r="E725" s="17"/>
      <c r="F725" s="17"/>
      <c r="G725" s="17"/>
      <c r="H725" s="17"/>
      <c r="I725" s="17"/>
      <c r="J725" s="17"/>
      <c r="K725" s="17"/>
      <c r="L725" s="17"/>
      <c r="M725" s="17"/>
    </row>
    <row r="726">
      <c r="A726" s="17"/>
      <c r="C726" s="17"/>
      <c r="D726" s="17"/>
      <c r="E726" s="17"/>
      <c r="F726" s="17"/>
      <c r="G726" s="17"/>
      <c r="H726" s="17"/>
      <c r="I726" s="17"/>
      <c r="J726" s="17"/>
      <c r="K726" s="17"/>
      <c r="L726" s="17"/>
      <c r="M726" s="17"/>
    </row>
    <row r="727">
      <c r="A727" s="17"/>
      <c r="C727" s="17"/>
      <c r="D727" s="17"/>
      <c r="E727" s="17"/>
      <c r="F727" s="17"/>
      <c r="G727" s="17"/>
      <c r="H727" s="17"/>
      <c r="I727" s="17"/>
      <c r="J727" s="17"/>
      <c r="K727" s="17"/>
      <c r="L727" s="17"/>
      <c r="M727" s="17"/>
    </row>
    <row r="728">
      <c r="A728" s="17"/>
      <c r="C728" s="17"/>
      <c r="D728" s="17"/>
      <c r="E728" s="17"/>
      <c r="F728" s="17"/>
      <c r="G728" s="17"/>
      <c r="H728" s="17"/>
      <c r="I728" s="17"/>
      <c r="J728" s="17"/>
      <c r="K728" s="17"/>
      <c r="L728" s="17"/>
      <c r="M728" s="17"/>
    </row>
    <row r="729">
      <c r="A729" s="17"/>
      <c r="C729" s="17"/>
      <c r="D729" s="17"/>
      <c r="E729" s="17"/>
      <c r="F729" s="17"/>
      <c r="G729" s="17"/>
      <c r="H729" s="17"/>
      <c r="I729" s="17"/>
      <c r="J729" s="17"/>
      <c r="K729" s="17"/>
      <c r="L729" s="17"/>
      <c r="M729" s="17"/>
    </row>
    <row r="730">
      <c r="A730" s="17"/>
      <c r="C730" s="17"/>
      <c r="D730" s="17"/>
      <c r="E730" s="17"/>
      <c r="F730" s="17"/>
      <c r="G730" s="17"/>
      <c r="H730" s="17"/>
      <c r="I730" s="17"/>
      <c r="J730" s="17"/>
      <c r="K730" s="17"/>
      <c r="L730" s="17"/>
      <c r="M730" s="17"/>
    </row>
    <row r="731">
      <c r="A731" s="17"/>
      <c r="C731" s="17"/>
      <c r="D731" s="17"/>
      <c r="E731" s="17"/>
      <c r="F731" s="17"/>
      <c r="G731" s="17"/>
      <c r="H731" s="17"/>
      <c r="I731" s="17"/>
      <c r="J731" s="17"/>
      <c r="K731" s="17"/>
      <c r="L731" s="17"/>
      <c r="M731" s="17"/>
    </row>
    <row r="732">
      <c r="A732" s="17"/>
      <c r="C732" s="17"/>
      <c r="D732" s="17"/>
      <c r="E732" s="17"/>
      <c r="F732" s="17"/>
      <c r="G732" s="17"/>
      <c r="H732" s="17"/>
      <c r="I732" s="17"/>
      <c r="J732" s="17"/>
      <c r="K732" s="17"/>
      <c r="L732" s="17"/>
      <c r="M732" s="17"/>
    </row>
    <row r="733">
      <c r="A733" s="17"/>
      <c r="C733" s="17"/>
      <c r="D733" s="17"/>
      <c r="E733" s="17"/>
      <c r="F733" s="17"/>
      <c r="G733" s="17"/>
      <c r="H733" s="17"/>
      <c r="I733" s="17"/>
      <c r="J733" s="17"/>
      <c r="K733" s="17"/>
      <c r="L733" s="17"/>
      <c r="M733" s="17"/>
    </row>
    <row r="734">
      <c r="A734" s="17"/>
      <c r="C734" s="17"/>
      <c r="D734" s="17"/>
      <c r="E734" s="17"/>
      <c r="F734" s="17"/>
      <c r="G734" s="17"/>
      <c r="H734" s="17"/>
      <c r="I734" s="17"/>
      <c r="J734" s="17"/>
      <c r="K734" s="17"/>
      <c r="L734" s="17"/>
      <c r="M734" s="17"/>
    </row>
    <row r="735">
      <c r="A735" s="17"/>
      <c r="C735" s="17"/>
      <c r="D735" s="17"/>
      <c r="E735" s="17"/>
      <c r="F735" s="17"/>
      <c r="G735" s="17"/>
      <c r="H735" s="17"/>
      <c r="I735" s="17"/>
      <c r="J735" s="17"/>
      <c r="K735" s="17"/>
      <c r="L735" s="17"/>
      <c r="M735" s="17"/>
    </row>
    <row r="736">
      <c r="A736" s="17"/>
      <c r="C736" s="17"/>
      <c r="D736" s="17"/>
      <c r="E736" s="17"/>
      <c r="F736" s="17"/>
      <c r="G736" s="17"/>
      <c r="H736" s="17"/>
      <c r="I736" s="17"/>
      <c r="J736" s="17"/>
      <c r="K736" s="17"/>
      <c r="L736" s="17"/>
      <c r="M736" s="17"/>
    </row>
    <row r="737">
      <c r="A737" s="17"/>
      <c r="C737" s="17"/>
      <c r="D737" s="17"/>
      <c r="E737" s="17"/>
      <c r="F737" s="17"/>
      <c r="G737" s="17"/>
      <c r="H737" s="17"/>
      <c r="I737" s="17"/>
      <c r="J737" s="17"/>
      <c r="K737" s="17"/>
      <c r="L737" s="17"/>
      <c r="M737" s="17"/>
    </row>
    <row r="738">
      <c r="A738" s="17"/>
      <c r="C738" s="17"/>
      <c r="D738" s="17"/>
      <c r="E738" s="17"/>
      <c r="F738" s="17"/>
      <c r="G738" s="17"/>
      <c r="H738" s="17"/>
      <c r="I738" s="17"/>
      <c r="J738" s="17"/>
      <c r="K738" s="17"/>
      <c r="L738" s="17"/>
      <c r="M738" s="17"/>
    </row>
    <row r="739">
      <c r="A739" s="17"/>
      <c r="C739" s="17"/>
      <c r="D739" s="17"/>
      <c r="E739" s="17"/>
      <c r="F739" s="17"/>
      <c r="G739" s="17"/>
      <c r="H739" s="17"/>
      <c r="I739" s="17"/>
      <c r="J739" s="17"/>
      <c r="K739" s="17"/>
      <c r="L739" s="17"/>
      <c r="M739" s="17"/>
    </row>
    <row r="740">
      <c r="A740" s="17"/>
      <c r="C740" s="17"/>
      <c r="D740" s="17"/>
      <c r="E740" s="17"/>
      <c r="F740" s="17"/>
      <c r="G740" s="17"/>
      <c r="H740" s="17"/>
      <c r="I740" s="17"/>
      <c r="J740" s="17"/>
      <c r="K740" s="17"/>
      <c r="L740" s="17"/>
      <c r="M740" s="17"/>
    </row>
    <row r="741">
      <c r="A741" s="17"/>
      <c r="C741" s="17"/>
      <c r="D741" s="17"/>
      <c r="E741" s="17"/>
      <c r="F741" s="17"/>
      <c r="G741" s="17"/>
      <c r="H741" s="17"/>
      <c r="I741" s="17"/>
      <c r="J741" s="17"/>
      <c r="K741" s="17"/>
      <c r="L741" s="17"/>
      <c r="M741" s="17"/>
    </row>
    <row r="742">
      <c r="A742" s="17"/>
      <c r="C742" s="17"/>
      <c r="D742" s="17"/>
      <c r="E742" s="17"/>
      <c r="F742" s="17"/>
      <c r="G742" s="17"/>
      <c r="H742" s="17"/>
      <c r="I742" s="17"/>
      <c r="J742" s="17"/>
      <c r="K742" s="17"/>
      <c r="L742" s="17"/>
      <c r="M742" s="17"/>
    </row>
    <row r="743">
      <c r="A743" s="17"/>
      <c r="C743" s="17"/>
      <c r="D743" s="17"/>
      <c r="E743" s="17"/>
      <c r="F743" s="17"/>
      <c r="G743" s="17"/>
      <c r="H743" s="17"/>
      <c r="I743" s="17"/>
      <c r="J743" s="17"/>
      <c r="K743" s="17"/>
      <c r="L743" s="17"/>
      <c r="M743" s="17"/>
    </row>
    <row r="744">
      <c r="A744" s="17"/>
      <c r="C744" s="17"/>
      <c r="D744" s="17"/>
      <c r="E744" s="17"/>
      <c r="F744" s="17"/>
      <c r="G744" s="17"/>
      <c r="H744" s="17"/>
      <c r="I744" s="17"/>
      <c r="J744" s="17"/>
      <c r="K744" s="17"/>
      <c r="L744" s="17"/>
      <c r="M744" s="17"/>
    </row>
    <row r="745">
      <c r="A745" s="17"/>
      <c r="C745" s="17"/>
      <c r="D745" s="17"/>
      <c r="E745" s="17"/>
      <c r="F745" s="17"/>
      <c r="G745" s="17"/>
      <c r="H745" s="17"/>
      <c r="I745" s="17"/>
      <c r="J745" s="17"/>
      <c r="K745" s="17"/>
      <c r="L745" s="17"/>
      <c r="M745" s="17"/>
    </row>
    <row r="746">
      <c r="A746" s="17"/>
      <c r="C746" s="17"/>
      <c r="D746" s="17"/>
      <c r="E746" s="17"/>
      <c r="F746" s="17"/>
      <c r="G746" s="17"/>
      <c r="H746" s="17"/>
      <c r="I746" s="17"/>
      <c r="J746" s="17"/>
      <c r="K746" s="17"/>
      <c r="L746" s="17"/>
      <c r="M746" s="17"/>
    </row>
    <row r="747">
      <c r="A747" s="17"/>
      <c r="C747" s="17"/>
      <c r="D747" s="17"/>
      <c r="E747" s="17"/>
      <c r="F747" s="17"/>
      <c r="G747" s="17"/>
      <c r="H747" s="17"/>
      <c r="I747" s="17"/>
      <c r="J747" s="17"/>
      <c r="K747" s="17"/>
      <c r="L747" s="17"/>
      <c r="M747" s="17"/>
    </row>
    <row r="748">
      <c r="A748" s="17"/>
      <c r="C748" s="17"/>
      <c r="D748" s="17"/>
      <c r="E748" s="17"/>
      <c r="F748" s="17"/>
      <c r="G748" s="17"/>
      <c r="H748" s="17"/>
      <c r="I748" s="17"/>
      <c r="J748" s="17"/>
      <c r="K748" s="17"/>
      <c r="L748" s="17"/>
      <c r="M748" s="17"/>
    </row>
    <row r="749">
      <c r="A749" s="17"/>
      <c r="C749" s="17"/>
      <c r="D749" s="17"/>
      <c r="E749" s="17"/>
      <c r="F749" s="17"/>
      <c r="G749" s="17"/>
      <c r="H749" s="17"/>
      <c r="I749" s="17"/>
      <c r="J749" s="17"/>
      <c r="K749" s="17"/>
      <c r="L749" s="17"/>
      <c r="M749" s="17"/>
    </row>
    <row r="750">
      <c r="A750" s="17"/>
      <c r="C750" s="17"/>
      <c r="D750" s="17"/>
      <c r="E750" s="17"/>
      <c r="F750" s="17"/>
      <c r="G750" s="17"/>
      <c r="H750" s="17"/>
      <c r="I750" s="17"/>
      <c r="J750" s="17"/>
      <c r="K750" s="17"/>
      <c r="L750" s="17"/>
      <c r="M750" s="17"/>
    </row>
    <row r="751">
      <c r="A751" s="17"/>
      <c r="C751" s="17"/>
      <c r="D751" s="17"/>
      <c r="E751" s="17"/>
      <c r="F751" s="17"/>
      <c r="G751" s="17"/>
      <c r="H751" s="17"/>
      <c r="I751" s="17"/>
      <c r="J751" s="17"/>
      <c r="K751" s="17"/>
      <c r="L751" s="17"/>
      <c r="M751" s="17"/>
    </row>
    <row r="752">
      <c r="A752" s="17"/>
      <c r="C752" s="17"/>
      <c r="D752" s="17"/>
      <c r="E752" s="17"/>
      <c r="F752" s="17"/>
      <c r="G752" s="17"/>
      <c r="H752" s="17"/>
      <c r="I752" s="17"/>
      <c r="J752" s="17"/>
      <c r="K752" s="17"/>
      <c r="L752" s="17"/>
      <c r="M752" s="17"/>
    </row>
    <row r="753">
      <c r="A753" s="17"/>
      <c r="C753" s="17"/>
      <c r="D753" s="17"/>
      <c r="E753" s="17"/>
      <c r="F753" s="17"/>
      <c r="G753" s="17"/>
      <c r="H753" s="17"/>
      <c r="I753" s="17"/>
      <c r="J753" s="17"/>
      <c r="K753" s="17"/>
      <c r="L753" s="17"/>
      <c r="M753" s="17"/>
    </row>
    <row r="754">
      <c r="A754" s="17"/>
      <c r="C754" s="17"/>
      <c r="D754" s="17"/>
      <c r="E754" s="17"/>
      <c r="F754" s="17"/>
      <c r="G754" s="17"/>
      <c r="H754" s="17"/>
      <c r="I754" s="17"/>
      <c r="J754" s="17"/>
      <c r="K754" s="17"/>
      <c r="L754" s="17"/>
      <c r="M754" s="17"/>
    </row>
    <row r="755">
      <c r="A755" s="17"/>
      <c r="C755" s="17"/>
      <c r="D755" s="17"/>
      <c r="E755" s="17"/>
      <c r="F755" s="17"/>
      <c r="G755" s="17"/>
      <c r="H755" s="17"/>
      <c r="I755" s="17"/>
      <c r="J755" s="17"/>
      <c r="K755" s="17"/>
      <c r="L755" s="17"/>
      <c r="M755" s="17"/>
    </row>
    <row r="756">
      <c r="A756" s="17"/>
      <c r="C756" s="17"/>
      <c r="D756" s="17"/>
      <c r="E756" s="17"/>
      <c r="F756" s="17"/>
      <c r="G756" s="17"/>
      <c r="H756" s="17"/>
      <c r="I756" s="17"/>
      <c r="J756" s="17"/>
      <c r="K756" s="17"/>
      <c r="L756" s="17"/>
      <c r="M756" s="17"/>
    </row>
    <row r="757">
      <c r="A757" s="17"/>
      <c r="C757" s="17"/>
      <c r="D757" s="17"/>
      <c r="E757" s="17"/>
      <c r="F757" s="17"/>
      <c r="G757" s="17"/>
      <c r="H757" s="17"/>
      <c r="I757" s="17"/>
      <c r="J757" s="17"/>
      <c r="K757" s="17"/>
      <c r="L757" s="17"/>
      <c r="M757" s="17"/>
    </row>
    <row r="758">
      <c r="A758" s="17"/>
      <c r="C758" s="17"/>
      <c r="D758" s="17"/>
      <c r="E758" s="17"/>
      <c r="F758" s="17"/>
      <c r="G758" s="17"/>
      <c r="H758" s="17"/>
      <c r="I758" s="17"/>
      <c r="J758" s="17"/>
      <c r="K758" s="17"/>
      <c r="L758" s="17"/>
      <c r="M758" s="17"/>
    </row>
    <row r="759">
      <c r="A759" s="17"/>
      <c r="C759" s="17"/>
      <c r="D759" s="17"/>
      <c r="E759" s="17"/>
      <c r="F759" s="17"/>
      <c r="G759" s="17"/>
      <c r="H759" s="17"/>
      <c r="I759" s="17"/>
      <c r="J759" s="17"/>
      <c r="K759" s="17"/>
      <c r="L759" s="17"/>
      <c r="M759" s="17"/>
    </row>
    <row r="760">
      <c r="A760" s="17"/>
      <c r="C760" s="17"/>
      <c r="D760" s="17"/>
      <c r="E760" s="17"/>
      <c r="F760" s="17"/>
      <c r="G760" s="17"/>
      <c r="H760" s="17"/>
      <c r="I760" s="17"/>
      <c r="J760" s="17"/>
      <c r="K760" s="17"/>
      <c r="L760" s="17"/>
      <c r="M760" s="17"/>
    </row>
    <row r="761">
      <c r="A761" s="17"/>
      <c r="C761" s="17"/>
      <c r="D761" s="17"/>
      <c r="E761" s="17"/>
      <c r="F761" s="17"/>
      <c r="G761" s="17"/>
      <c r="H761" s="17"/>
      <c r="I761" s="17"/>
      <c r="J761" s="17"/>
      <c r="K761" s="17"/>
      <c r="L761" s="17"/>
      <c r="M761" s="17"/>
    </row>
    <row r="762">
      <c r="A762" s="17"/>
      <c r="C762" s="17"/>
      <c r="D762" s="17"/>
      <c r="E762" s="17"/>
      <c r="F762" s="17"/>
      <c r="G762" s="17"/>
      <c r="H762" s="17"/>
      <c r="I762" s="17"/>
      <c r="J762" s="17"/>
      <c r="K762" s="17"/>
      <c r="L762" s="17"/>
      <c r="M762" s="17"/>
    </row>
    <row r="763">
      <c r="A763" s="17"/>
      <c r="C763" s="17"/>
      <c r="D763" s="17"/>
      <c r="E763" s="17"/>
      <c r="F763" s="17"/>
      <c r="G763" s="17"/>
      <c r="H763" s="17"/>
      <c r="I763" s="17"/>
      <c r="J763" s="17"/>
      <c r="K763" s="17"/>
      <c r="L763" s="17"/>
      <c r="M763" s="17"/>
    </row>
    <row r="764">
      <c r="A764" s="17"/>
      <c r="C764" s="17"/>
      <c r="D764" s="17"/>
      <c r="E764" s="17"/>
      <c r="F764" s="17"/>
      <c r="G764" s="17"/>
      <c r="H764" s="17"/>
      <c r="I764" s="17"/>
      <c r="J764" s="17"/>
      <c r="K764" s="17"/>
      <c r="L764" s="17"/>
      <c r="M764" s="17"/>
    </row>
    <row r="765">
      <c r="A765" s="17"/>
      <c r="C765" s="17"/>
      <c r="D765" s="17"/>
      <c r="E765" s="17"/>
      <c r="F765" s="17"/>
      <c r="G765" s="17"/>
      <c r="H765" s="17"/>
      <c r="I765" s="17"/>
      <c r="J765" s="17"/>
      <c r="K765" s="17"/>
      <c r="L765" s="17"/>
      <c r="M765" s="17"/>
    </row>
    <row r="766">
      <c r="A766" s="17"/>
      <c r="C766" s="17"/>
      <c r="D766" s="17"/>
      <c r="E766" s="17"/>
      <c r="F766" s="17"/>
      <c r="G766" s="17"/>
      <c r="H766" s="17"/>
      <c r="I766" s="17"/>
      <c r="J766" s="17"/>
      <c r="K766" s="17"/>
      <c r="L766" s="17"/>
      <c r="M766" s="17"/>
    </row>
    <row r="767">
      <c r="A767" s="17"/>
      <c r="C767" s="17"/>
      <c r="D767" s="17"/>
      <c r="E767" s="17"/>
      <c r="F767" s="17"/>
      <c r="G767" s="17"/>
      <c r="H767" s="17"/>
      <c r="I767" s="17"/>
      <c r="J767" s="17"/>
      <c r="K767" s="17"/>
      <c r="L767" s="17"/>
      <c r="M767" s="17"/>
    </row>
    <row r="768">
      <c r="A768" s="17"/>
      <c r="C768" s="17"/>
      <c r="D768" s="17"/>
      <c r="E768" s="17"/>
      <c r="F768" s="17"/>
      <c r="G768" s="17"/>
      <c r="H768" s="17"/>
      <c r="I768" s="17"/>
      <c r="J768" s="17"/>
      <c r="K768" s="17"/>
      <c r="L768" s="17"/>
      <c r="M768" s="17"/>
    </row>
    <row r="769">
      <c r="A769" s="17"/>
      <c r="C769" s="17"/>
      <c r="D769" s="17"/>
      <c r="E769" s="17"/>
      <c r="F769" s="17"/>
      <c r="G769" s="17"/>
      <c r="H769" s="17"/>
      <c r="I769" s="17"/>
      <c r="J769" s="17"/>
      <c r="K769" s="17"/>
      <c r="L769" s="17"/>
      <c r="M769" s="17"/>
    </row>
    <row r="770">
      <c r="A770" s="17"/>
      <c r="C770" s="17"/>
      <c r="D770" s="17"/>
      <c r="E770" s="17"/>
      <c r="F770" s="17"/>
      <c r="G770" s="17"/>
      <c r="H770" s="17"/>
      <c r="I770" s="17"/>
      <c r="J770" s="17"/>
      <c r="K770" s="17"/>
      <c r="L770" s="17"/>
      <c r="M770" s="17"/>
    </row>
    <row r="771">
      <c r="A771" s="17"/>
      <c r="C771" s="17"/>
      <c r="D771" s="17"/>
      <c r="E771" s="17"/>
      <c r="F771" s="17"/>
      <c r="G771" s="17"/>
      <c r="H771" s="17"/>
      <c r="I771" s="17"/>
      <c r="J771" s="17"/>
      <c r="K771" s="17"/>
      <c r="L771" s="17"/>
      <c r="M771" s="17"/>
    </row>
    <row r="772">
      <c r="A772" s="17"/>
      <c r="C772" s="17"/>
      <c r="D772" s="17"/>
      <c r="E772" s="17"/>
      <c r="F772" s="17"/>
      <c r="G772" s="17"/>
      <c r="H772" s="17"/>
      <c r="I772" s="17"/>
      <c r="J772" s="17"/>
      <c r="K772" s="17"/>
      <c r="L772" s="17"/>
      <c r="M772" s="17"/>
    </row>
    <row r="773">
      <c r="A773" s="17"/>
      <c r="C773" s="17"/>
      <c r="D773" s="17"/>
      <c r="E773" s="17"/>
      <c r="F773" s="17"/>
      <c r="G773" s="17"/>
      <c r="H773" s="17"/>
      <c r="I773" s="17"/>
      <c r="J773" s="17"/>
      <c r="K773" s="17"/>
      <c r="L773" s="17"/>
      <c r="M773" s="17"/>
    </row>
    <row r="774">
      <c r="A774" s="17"/>
      <c r="C774" s="17"/>
      <c r="D774" s="17"/>
      <c r="E774" s="17"/>
      <c r="F774" s="17"/>
      <c r="G774" s="17"/>
      <c r="H774" s="17"/>
      <c r="I774" s="17"/>
      <c r="J774" s="17"/>
      <c r="K774" s="17"/>
      <c r="L774" s="17"/>
      <c r="M774" s="17"/>
    </row>
    <row r="775">
      <c r="A775" s="17"/>
      <c r="C775" s="17"/>
      <c r="D775" s="17"/>
      <c r="E775" s="17"/>
      <c r="F775" s="17"/>
      <c r="G775" s="17"/>
      <c r="H775" s="17"/>
      <c r="I775" s="17"/>
      <c r="J775" s="17"/>
      <c r="K775" s="17"/>
      <c r="L775" s="17"/>
      <c r="M775" s="17"/>
    </row>
    <row r="776">
      <c r="A776" s="17"/>
      <c r="C776" s="17"/>
      <c r="D776" s="17"/>
      <c r="E776" s="17"/>
      <c r="F776" s="17"/>
      <c r="G776" s="17"/>
      <c r="H776" s="17"/>
      <c r="I776" s="17"/>
      <c r="J776" s="17"/>
      <c r="K776" s="17"/>
      <c r="L776" s="17"/>
      <c r="M776" s="17"/>
    </row>
    <row r="777">
      <c r="A777" s="17"/>
      <c r="C777" s="17"/>
      <c r="D777" s="17"/>
      <c r="E777" s="17"/>
      <c r="F777" s="17"/>
      <c r="G777" s="17"/>
      <c r="H777" s="17"/>
      <c r="I777" s="17"/>
      <c r="J777" s="17"/>
      <c r="K777" s="17"/>
      <c r="L777" s="17"/>
      <c r="M777" s="17"/>
    </row>
    <row r="778">
      <c r="A778" s="17"/>
      <c r="C778" s="17"/>
      <c r="D778" s="17"/>
      <c r="E778" s="17"/>
      <c r="F778" s="17"/>
      <c r="G778" s="17"/>
      <c r="H778" s="17"/>
      <c r="I778" s="17"/>
      <c r="J778" s="17"/>
      <c r="K778" s="17"/>
      <c r="L778" s="17"/>
      <c r="M778" s="17"/>
    </row>
    <row r="779">
      <c r="A779" s="17"/>
      <c r="C779" s="17"/>
      <c r="D779" s="17"/>
      <c r="E779" s="17"/>
      <c r="F779" s="17"/>
      <c r="G779" s="17"/>
      <c r="H779" s="17"/>
      <c r="I779" s="17"/>
      <c r="J779" s="17"/>
      <c r="K779" s="17"/>
      <c r="L779" s="17"/>
      <c r="M779" s="17"/>
    </row>
    <row r="780">
      <c r="A780" s="17"/>
      <c r="C780" s="17"/>
      <c r="D780" s="17"/>
      <c r="E780" s="17"/>
      <c r="F780" s="17"/>
      <c r="G780" s="17"/>
      <c r="H780" s="17"/>
      <c r="I780" s="17"/>
      <c r="J780" s="17"/>
      <c r="K780" s="17"/>
      <c r="L780" s="17"/>
      <c r="M780" s="17"/>
    </row>
    <row r="781">
      <c r="A781" s="17"/>
      <c r="C781" s="17"/>
      <c r="D781" s="17"/>
      <c r="E781" s="17"/>
      <c r="F781" s="17"/>
      <c r="G781" s="17"/>
      <c r="H781" s="17"/>
      <c r="I781" s="17"/>
      <c r="J781" s="17"/>
      <c r="K781" s="17"/>
      <c r="L781" s="17"/>
      <c r="M781" s="17"/>
    </row>
    <row r="782">
      <c r="A782" s="17"/>
      <c r="C782" s="17"/>
      <c r="D782" s="17"/>
      <c r="E782" s="17"/>
      <c r="F782" s="17"/>
      <c r="G782" s="17"/>
      <c r="H782" s="17"/>
      <c r="I782" s="17"/>
      <c r="J782" s="17"/>
      <c r="K782" s="17"/>
      <c r="L782" s="17"/>
      <c r="M782" s="17"/>
    </row>
    <row r="783">
      <c r="A783" s="17"/>
      <c r="C783" s="17"/>
      <c r="D783" s="17"/>
      <c r="E783" s="17"/>
      <c r="F783" s="17"/>
      <c r="G783" s="17"/>
      <c r="H783" s="17"/>
      <c r="I783" s="17"/>
      <c r="J783" s="17"/>
      <c r="K783" s="17"/>
      <c r="L783" s="17"/>
      <c r="M783" s="17"/>
    </row>
    <row r="784">
      <c r="A784" s="17"/>
      <c r="C784" s="17"/>
      <c r="D784" s="17"/>
      <c r="E784" s="17"/>
      <c r="F784" s="17"/>
      <c r="G784" s="17"/>
      <c r="H784" s="17"/>
      <c r="I784" s="17"/>
      <c r="J784" s="17"/>
      <c r="K784" s="17"/>
      <c r="L784" s="17"/>
      <c r="M784" s="17"/>
    </row>
    <row r="785">
      <c r="A785" s="17"/>
      <c r="C785" s="17"/>
      <c r="D785" s="17"/>
      <c r="E785" s="17"/>
      <c r="F785" s="17"/>
      <c r="G785" s="17"/>
      <c r="H785" s="17"/>
      <c r="I785" s="17"/>
      <c r="J785" s="17"/>
      <c r="K785" s="17"/>
      <c r="L785" s="17"/>
      <c r="M785" s="17"/>
    </row>
    <row r="786">
      <c r="A786" s="17"/>
      <c r="C786" s="17"/>
      <c r="D786" s="17"/>
      <c r="E786" s="17"/>
      <c r="F786" s="17"/>
      <c r="G786" s="17"/>
      <c r="H786" s="17"/>
      <c r="I786" s="17"/>
      <c r="J786" s="17"/>
      <c r="K786" s="17"/>
      <c r="L786" s="17"/>
      <c r="M786" s="17"/>
    </row>
    <row r="787">
      <c r="A787" s="17"/>
      <c r="C787" s="17"/>
      <c r="D787" s="17"/>
      <c r="E787" s="17"/>
      <c r="F787" s="17"/>
      <c r="G787" s="17"/>
      <c r="H787" s="17"/>
      <c r="I787" s="17"/>
      <c r="J787" s="17"/>
      <c r="K787" s="17"/>
      <c r="L787" s="17"/>
      <c r="M787" s="17"/>
    </row>
    <row r="788">
      <c r="A788" s="17"/>
      <c r="C788" s="17"/>
      <c r="D788" s="17"/>
      <c r="E788" s="17"/>
      <c r="F788" s="17"/>
      <c r="G788" s="17"/>
      <c r="H788" s="17"/>
      <c r="I788" s="17"/>
      <c r="J788" s="17"/>
      <c r="K788" s="17"/>
      <c r="L788" s="17"/>
      <c r="M788" s="17"/>
    </row>
    <row r="789">
      <c r="A789" s="17"/>
      <c r="C789" s="17"/>
      <c r="D789" s="17"/>
      <c r="E789" s="17"/>
      <c r="F789" s="17"/>
      <c r="G789" s="17"/>
      <c r="H789" s="17"/>
      <c r="I789" s="17"/>
      <c r="J789" s="17"/>
      <c r="K789" s="17"/>
      <c r="L789" s="17"/>
      <c r="M789" s="17"/>
    </row>
    <row r="790">
      <c r="A790" s="17"/>
      <c r="C790" s="17"/>
      <c r="D790" s="17"/>
      <c r="E790" s="17"/>
      <c r="F790" s="17"/>
      <c r="G790" s="17"/>
      <c r="H790" s="17"/>
      <c r="I790" s="17"/>
      <c r="J790" s="17"/>
      <c r="K790" s="17"/>
      <c r="L790" s="17"/>
      <c r="M790" s="17"/>
    </row>
    <row r="791">
      <c r="A791" s="17"/>
      <c r="C791" s="17"/>
      <c r="D791" s="17"/>
      <c r="E791" s="17"/>
      <c r="F791" s="17"/>
      <c r="G791" s="17"/>
      <c r="H791" s="17"/>
      <c r="I791" s="17"/>
      <c r="J791" s="17"/>
      <c r="K791" s="17"/>
      <c r="L791" s="17"/>
      <c r="M791" s="17"/>
    </row>
    <row r="792">
      <c r="A792" s="17"/>
      <c r="C792" s="17"/>
      <c r="D792" s="17"/>
      <c r="E792" s="17"/>
      <c r="F792" s="17"/>
      <c r="G792" s="17"/>
      <c r="H792" s="17"/>
      <c r="I792" s="17"/>
      <c r="J792" s="17"/>
      <c r="K792" s="17"/>
      <c r="L792" s="17"/>
      <c r="M792" s="17"/>
    </row>
    <row r="793">
      <c r="A793" s="17"/>
      <c r="C793" s="17"/>
      <c r="D793" s="17"/>
      <c r="E793" s="17"/>
      <c r="F793" s="17"/>
      <c r="G793" s="17"/>
      <c r="H793" s="17"/>
      <c r="I793" s="17"/>
      <c r="J793" s="17"/>
      <c r="K793" s="17"/>
      <c r="L793" s="17"/>
      <c r="M793" s="17"/>
    </row>
    <row r="794">
      <c r="A794" s="17"/>
      <c r="C794" s="17"/>
      <c r="D794" s="17"/>
      <c r="E794" s="17"/>
      <c r="F794" s="17"/>
      <c r="G794" s="17"/>
      <c r="H794" s="17"/>
      <c r="I794" s="17"/>
      <c r="J794" s="17"/>
      <c r="K794" s="17"/>
      <c r="L794" s="17"/>
      <c r="M794" s="17"/>
    </row>
    <row r="795">
      <c r="A795" s="17"/>
      <c r="C795" s="17"/>
      <c r="D795" s="17"/>
      <c r="E795" s="17"/>
      <c r="F795" s="17"/>
      <c r="G795" s="17"/>
      <c r="H795" s="17"/>
      <c r="I795" s="17"/>
      <c r="J795" s="17"/>
      <c r="K795" s="17"/>
      <c r="L795" s="17"/>
      <c r="M795" s="17"/>
    </row>
    <row r="796">
      <c r="A796" s="17"/>
      <c r="C796" s="17"/>
      <c r="D796" s="17"/>
      <c r="E796" s="17"/>
      <c r="F796" s="17"/>
      <c r="G796" s="17"/>
      <c r="H796" s="17"/>
      <c r="I796" s="17"/>
      <c r="J796" s="17"/>
      <c r="K796" s="17"/>
      <c r="L796" s="17"/>
      <c r="M796" s="17"/>
    </row>
    <row r="797">
      <c r="A797" s="17"/>
      <c r="C797" s="17"/>
      <c r="D797" s="17"/>
      <c r="E797" s="17"/>
      <c r="F797" s="17"/>
      <c r="G797" s="17"/>
      <c r="H797" s="17"/>
      <c r="I797" s="17"/>
      <c r="J797" s="17"/>
      <c r="K797" s="17"/>
      <c r="L797" s="17"/>
      <c r="M797" s="17"/>
    </row>
    <row r="798">
      <c r="A798" s="17"/>
      <c r="C798" s="17"/>
      <c r="D798" s="17"/>
      <c r="E798" s="17"/>
      <c r="F798" s="17"/>
      <c r="G798" s="17"/>
      <c r="H798" s="17"/>
      <c r="I798" s="17"/>
      <c r="J798" s="17"/>
      <c r="K798" s="17"/>
      <c r="L798" s="17"/>
      <c r="M798" s="17"/>
    </row>
    <row r="799">
      <c r="A799" s="17"/>
      <c r="C799" s="17"/>
      <c r="D799" s="17"/>
      <c r="E799" s="17"/>
      <c r="F799" s="17"/>
      <c r="G799" s="17"/>
      <c r="H799" s="17"/>
      <c r="I799" s="17"/>
      <c r="J799" s="17"/>
      <c r="K799" s="17"/>
      <c r="L799" s="17"/>
      <c r="M799" s="17"/>
    </row>
    <row r="800">
      <c r="A800" s="17"/>
      <c r="C800" s="17"/>
      <c r="D800" s="17"/>
      <c r="E800" s="17"/>
      <c r="F800" s="17"/>
      <c r="G800" s="17"/>
      <c r="H800" s="17"/>
      <c r="I800" s="17"/>
      <c r="J800" s="17"/>
      <c r="K800" s="17"/>
      <c r="L800" s="17"/>
      <c r="M800" s="17"/>
    </row>
    <row r="801">
      <c r="A801" s="17"/>
      <c r="C801" s="17"/>
      <c r="D801" s="17"/>
      <c r="E801" s="17"/>
      <c r="F801" s="17"/>
      <c r="G801" s="17"/>
      <c r="H801" s="17"/>
      <c r="I801" s="17"/>
      <c r="J801" s="17"/>
      <c r="K801" s="17"/>
      <c r="L801" s="17"/>
      <c r="M801" s="17"/>
    </row>
    <row r="802">
      <c r="A802" s="17"/>
      <c r="C802" s="17"/>
      <c r="D802" s="17"/>
      <c r="E802" s="17"/>
      <c r="F802" s="17"/>
      <c r="G802" s="17"/>
      <c r="H802" s="17"/>
      <c r="I802" s="17"/>
      <c r="J802" s="17"/>
      <c r="K802" s="17"/>
      <c r="L802" s="17"/>
      <c r="M802" s="17"/>
    </row>
    <row r="803">
      <c r="A803" s="17"/>
      <c r="C803" s="17"/>
      <c r="D803" s="17"/>
      <c r="E803" s="17"/>
      <c r="F803" s="17"/>
      <c r="G803" s="17"/>
      <c r="H803" s="17"/>
      <c r="I803" s="17"/>
      <c r="J803" s="17"/>
      <c r="K803" s="17"/>
      <c r="L803" s="17"/>
      <c r="M803" s="17"/>
    </row>
    <row r="804">
      <c r="A804" s="17"/>
      <c r="C804" s="17"/>
      <c r="D804" s="17"/>
      <c r="E804" s="17"/>
      <c r="F804" s="17"/>
      <c r="G804" s="17"/>
      <c r="H804" s="17"/>
      <c r="I804" s="17"/>
      <c r="J804" s="17"/>
      <c r="K804" s="17"/>
      <c r="L804" s="17"/>
      <c r="M804" s="17"/>
    </row>
    <row r="805">
      <c r="A805" s="17"/>
      <c r="C805" s="17"/>
      <c r="D805" s="17"/>
      <c r="E805" s="17"/>
      <c r="F805" s="17"/>
      <c r="G805" s="17"/>
      <c r="H805" s="17"/>
      <c r="I805" s="17"/>
      <c r="J805" s="17"/>
      <c r="K805" s="17"/>
      <c r="L805" s="17"/>
      <c r="M805" s="17"/>
    </row>
    <row r="806">
      <c r="A806" s="17"/>
      <c r="C806" s="17"/>
      <c r="D806" s="17"/>
      <c r="E806" s="17"/>
      <c r="F806" s="17"/>
      <c r="G806" s="17"/>
      <c r="H806" s="17"/>
      <c r="I806" s="17"/>
      <c r="J806" s="17"/>
      <c r="K806" s="17"/>
      <c r="L806" s="17"/>
      <c r="M806" s="17"/>
    </row>
    <row r="807">
      <c r="A807" s="17"/>
      <c r="C807" s="17"/>
      <c r="D807" s="17"/>
      <c r="E807" s="17"/>
      <c r="F807" s="17"/>
      <c r="G807" s="17"/>
      <c r="H807" s="17"/>
      <c r="I807" s="17"/>
      <c r="J807" s="17"/>
      <c r="K807" s="17"/>
      <c r="L807" s="17"/>
      <c r="M807" s="17"/>
    </row>
    <row r="808">
      <c r="A808" s="17"/>
      <c r="C808" s="17"/>
      <c r="D808" s="17"/>
      <c r="E808" s="17"/>
      <c r="F808" s="17"/>
      <c r="G808" s="17"/>
      <c r="H808" s="17"/>
      <c r="I808" s="17"/>
      <c r="J808" s="17"/>
      <c r="K808" s="17"/>
      <c r="L808" s="17"/>
      <c r="M808" s="17"/>
    </row>
    <row r="809">
      <c r="A809" s="17"/>
      <c r="C809" s="17"/>
      <c r="D809" s="17"/>
      <c r="E809" s="17"/>
      <c r="F809" s="17"/>
      <c r="G809" s="17"/>
      <c r="H809" s="17"/>
      <c r="I809" s="17"/>
      <c r="J809" s="17"/>
      <c r="K809" s="17"/>
      <c r="L809" s="17"/>
      <c r="M809" s="17"/>
    </row>
    <row r="810">
      <c r="A810" s="17"/>
      <c r="C810" s="17"/>
      <c r="D810" s="17"/>
      <c r="E810" s="17"/>
      <c r="F810" s="17"/>
      <c r="G810" s="17"/>
      <c r="H810" s="17"/>
      <c r="I810" s="17"/>
      <c r="J810" s="17"/>
      <c r="K810" s="17"/>
      <c r="L810" s="17"/>
      <c r="M810" s="17"/>
    </row>
    <row r="811">
      <c r="A811" s="17"/>
      <c r="C811" s="17"/>
      <c r="D811" s="17"/>
      <c r="E811" s="17"/>
      <c r="F811" s="17"/>
      <c r="G811" s="17"/>
      <c r="H811" s="17"/>
      <c r="I811" s="17"/>
      <c r="J811" s="17"/>
      <c r="K811" s="17"/>
      <c r="L811" s="17"/>
      <c r="M811" s="17"/>
    </row>
    <row r="812">
      <c r="A812" s="17"/>
      <c r="C812" s="17"/>
      <c r="D812" s="17"/>
      <c r="E812" s="17"/>
      <c r="F812" s="17"/>
      <c r="G812" s="17"/>
      <c r="H812" s="17"/>
      <c r="I812" s="17"/>
      <c r="J812" s="17"/>
      <c r="K812" s="17"/>
      <c r="L812" s="17"/>
      <c r="M812" s="17"/>
    </row>
    <row r="813">
      <c r="A813" s="17"/>
      <c r="C813" s="17"/>
      <c r="D813" s="17"/>
      <c r="E813" s="17"/>
      <c r="F813" s="17"/>
      <c r="G813" s="17"/>
      <c r="H813" s="17"/>
      <c r="I813" s="17"/>
      <c r="J813" s="17"/>
      <c r="K813" s="17"/>
      <c r="L813" s="17"/>
      <c r="M813" s="17"/>
    </row>
    <row r="814">
      <c r="A814" s="17"/>
      <c r="C814" s="17"/>
      <c r="D814" s="17"/>
      <c r="E814" s="17"/>
      <c r="F814" s="17"/>
      <c r="G814" s="17"/>
      <c r="H814" s="17"/>
      <c r="I814" s="17"/>
      <c r="J814" s="17"/>
      <c r="K814" s="17"/>
      <c r="L814" s="17"/>
      <c r="M814" s="17"/>
    </row>
    <row r="815">
      <c r="A815" s="17"/>
      <c r="C815" s="17"/>
      <c r="D815" s="17"/>
      <c r="E815" s="17"/>
      <c r="F815" s="17"/>
      <c r="G815" s="17"/>
      <c r="H815" s="17"/>
      <c r="I815" s="17"/>
      <c r="J815" s="17"/>
      <c r="K815" s="17"/>
      <c r="L815" s="17"/>
      <c r="M815" s="17"/>
    </row>
    <row r="816">
      <c r="A816" s="17"/>
      <c r="C816" s="17"/>
      <c r="D816" s="17"/>
      <c r="E816" s="17"/>
      <c r="F816" s="17"/>
      <c r="G816" s="17"/>
      <c r="H816" s="17"/>
      <c r="I816" s="17"/>
      <c r="J816" s="17"/>
      <c r="K816" s="17"/>
      <c r="L816" s="17"/>
      <c r="M816" s="17"/>
    </row>
    <row r="817">
      <c r="A817" s="17"/>
      <c r="C817" s="17"/>
      <c r="D817" s="17"/>
      <c r="E817" s="17"/>
      <c r="F817" s="17"/>
      <c r="G817" s="17"/>
      <c r="H817" s="17"/>
      <c r="I817" s="17"/>
      <c r="J817" s="17"/>
      <c r="K817" s="17"/>
      <c r="L817" s="17"/>
      <c r="M817" s="17"/>
    </row>
    <row r="818">
      <c r="A818" s="17"/>
      <c r="C818" s="17"/>
      <c r="D818" s="17"/>
      <c r="E818" s="17"/>
      <c r="F818" s="17"/>
      <c r="G818" s="17"/>
      <c r="H818" s="17"/>
      <c r="I818" s="17"/>
      <c r="J818" s="17"/>
      <c r="K818" s="17"/>
      <c r="L818" s="17"/>
      <c r="M818" s="17"/>
    </row>
    <row r="819">
      <c r="A819" s="17"/>
      <c r="C819" s="17"/>
      <c r="D819" s="17"/>
      <c r="E819" s="17"/>
      <c r="F819" s="17"/>
      <c r="G819" s="17"/>
      <c r="H819" s="17"/>
      <c r="I819" s="17"/>
      <c r="J819" s="17"/>
      <c r="K819" s="17"/>
      <c r="L819" s="17"/>
      <c r="M819" s="17"/>
    </row>
    <row r="820">
      <c r="A820" s="17"/>
      <c r="C820" s="17"/>
      <c r="D820" s="17"/>
      <c r="E820" s="17"/>
      <c r="F820" s="17"/>
      <c r="G820" s="17"/>
      <c r="H820" s="17"/>
      <c r="I820" s="17"/>
      <c r="J820" s="17"/>
      <c r="K820" s="17"/>
      <c r="L820" s="17"/>
      <c r="M820" s="17"/>
    </row>
    <row r="821">
      <c r="A821" s="17"/>
      <c r="C821" s="17"/>
      <c r="D821" s="17"/>
      <c r="E821" s="17"/>
      <c r="F821" s="17"/>
      <c r="G821" s="17"/>
      <c r="H821" s="17"/>
      <c r="I821" s="17"/>
      <c r="J821" s="17"/>
      <c r="K821" s="17"/>
      <c r="L821" s="17"/>
      <c r="M821" s="17"/>
    </row>
    <row r="822">
      <c r="A822" s="17"/>
      <c r="C822" s="17"/>
      <c r="D822" s="17"/>
      <c r="E822" s="17"/>
      <c r="F822" s="17"/>
      <c r="G822" s="17"/>
      <c r="H822" s="17"/>
      <c r="I822" s="17"/>
      <c r="J822" s="17"/>
      <c r="K822" s="17"/>
      <c r="L822" s="17"/>
      <c r="M822" s="17"/>
    </row>
    <row r="823">
      <c r="A823" s="17"/>
      <c r="C823" s="17"/>
      <c r="D823" s="17"/>
      <c r="E823" s="17"/>
      <c r="F823" s="17"/>
      <c r="G823" s="17"/>
      <c r="H823" s="17"/>
      <c r="I823" s="17"/>
      <c r="J823" s="17"/>
      <c r="K823" s="17"/>
      <c r="L823" s="17"/>
      <c r="M823" s="17"/>
    </row>
    <row r="824">
      <c r="A824" s="17"/>
      <c r="C824" s="17"/>
      <c r="D824" s="17"/>
      <c r="E824" s="17"/>
      <c r="F824" s="17"/>
      <c r="G824" s="17"/>
      <c r="H824" s="17"/>
      <c r="I824" s="17"/>
      <c r="J824" s="17"/>
      <c r="K824" s="17"/>
      <c r="L824" s="17"/>
      <c r="M824" s="17"/>
    </row>
    <row r="825">
      <c r="A825" s="17"/>
      <c r="C825" s="17"/>
      <c r="D825" s="17"/>
      <c r="E825" s="17"/>
      <c r="F825" s="17"/>
      <c r="G825" s="17"/>
      <c r="H825" s="17"/>
      <c r="I825" s="17"/>
      <c r="J825" s="17"/>
      <c r="K825" s="17"/>
      <c r="L825" s="17"/>
      <c r="M825" s="17"/>
    </row>
    <row r="826">
      <c r="A826" s="17"/>
      <c r="C826" s="17"/>
      <c r="D826" s="17"/>
      <c r="E826" s="17"/>
      <c r="F826" s="17"/>
      <c r="G826" s="17"/>
      <c r="H826" s="17"/>
      <c r="I826" s="17"/>
      <c r="J826" s="17"/>
      <c r="K826" s="17"/>
      <c r="L826" s="17"/>
      <c r="M826" s="17"/>
    </row>
    <row r="827">
      <c r="A827" s="17"/>
      <c r="C827" s="17"/>
      <c r="D827" s="17"/>
      <c r="E827" s="17"/>
      <c r="F827" s="17"/>
      <c r="G827" s="17"/>
      <c r="H827" s="17"/>
      <c r="I827" s="17"/>
      <c r="J827" s="17"/>
      <c r="K827" s="17"/>
      <c r="L827" s="17"/>
      <c r="M827" s="17"/>
    </row>
    <row r="828">
      <c r="A828" s="17"/>
      <c r="C828" s="17"/>
      <c r="D828" s="17"/>
      <c r="E828" s="17"/>
      <c r="F828" s="17"/>
      <c r="G828" s="17"/>
      <c r="H828" s="17"/>
      <c r="I828" s="17"/>
      <c r="J828" s="17"/>
      <c r="K828" s="17"/>
      <c r="L828" s="17"/>
      <c r="M828" s="17"/>
    </row>
    <row r="829">
      <c r="A829" s="17"/>
      <c r="C829" s="17"/>
      <c r="D829" s="17"/>
      <c r="E829" s="17"/>
      <c r="F829" s="17"/>
      <c r="G829" s="17"/>
      <c r="H829" s="17"/>
      <c r="I829" s="17"/>
      <c r="J829" s="17"/>
      <c r="K829" s="17"/>
      <c r="L829" s="17"/>
      <c r="M829" s="17"/>
    </row>
    <row r="830">
      <c r="A830" s="17"/>
      <c r="C830" s="17"/>
      <c r="D830" s="17"/>
      <c r="E830" s="17"/>
      <c r="F830" s="17"/>
      <c r="G830" s="17"/>
      <c r="H830" s="17"/>
      <c r="I830" s="17"/>
      <c r="J830" s="17"/>
      <c r="K830" s="17"/>
      <c r="L830" s="17"/>
      <c r="M830" s="17"/>
    </row>
    <row r="831">
      <c r="A831" s="17"/>
      <c r="C831" s="17"/>
      <c r="D831" s="17"/>
      <c r="E831" s="17"/>
      <c r="F831" s="17"/>
      <c r="G831" s="17"/>
      <c r="H831" s="17"/>
      <c r="I831" s="17"/>
      <c r="J831" s="17"/>
      <c r="K831" s="17"/>
      <c r="L831" s="17"/>
      <c r="M831" s="17"/>
    </row>
    <row r="832">
      <c r="A832" s="17"/>
      <c r="C832" s="17"/>
      <c r="D832" s="17"/>
      <c r="E832" s="17"/>
      <c r="F832" s="17"/>
      <c r="G832" s="17"/>
      <c r="H832" s="17"/>
      <c r="I832" s="17"/>
      <c r="J832" s="17"/>
      <c r="K832" s="17"/>
      <c r="L832" s="17"/>
      <c r="M832" s="17"/>
    </row>
    <row r="833">
      <c r="A833" s="17"/>
      <c r="C833" s="17"/>
      <c r="D833" s="17"/>
      <c r="E833" s="17"/>
      <c r="F833" s="17"/>
      <c r="G833" s="17"/>
      <c r="H833" s="17"/>
      <c r="I833" s="17"/>
      <c r="J833" s="17"/>
      <c r="K833" s="17"/>
      <c r="L833" s="17"/>
      <c r="M833" s="17"/>
    </row>
    <row r="834">
      <c r="A834" s="17"/>
      <c r="C834" s="17"/>
      <c r="D834" s="17"/>
      <c r="E834" s="17"/>
      <c r="F834" s="17"/>
      <c r="G834" s="17"/>
      <c r="H834" s="17"/>
      <c r="I834" s="17"/>
      <c r="J834" s="17"/>
      <c r="K834" s="17"/>
      <c r="L834" s="17"/>
      <c r="M834" s="17"/>
    </row>
    <row r="835">
      <c r="A835" s="17"/>
      <c r="C835" s="17"/>
      <c r="D835" s="17"/>
      <c r="E835" s="17"/>
      <c r="F835" s="17"/>
      <c r="G835" s="17"/>
      <c r="H835" s="17"/>
      <c r="I835" s="17"/>
      <c r="J835" s="17"/>
      <c r="K835" s="17"/>
      <c r="L835" s="17"/>
      <c r="M835" s="17"/>
    </row>
    <row r="836">
      <c r="A836" s="17"/>
      <c r="C836" s="17"/>
      <c r="D836" s="17"/>
      <c r="E836" s="17"/>
      <c r="F836" s="17"/>
      <c r="G836" s="17"/>
      <c r="H836" s="17"/>
      <c r="I836" s="17"/>
      <c r="J836" s="17"/>
      <c r="K836" s="17"/>
      <c r="L836" s="17"/>
      <c r="M836" s="17"/>
    </row>
    <row r="837">
      <c r="A837" s="17"/>
      <c r="C837" s="17"/>
      <c r="D837" s="17"/>
      <c r="E837" s="17"/>
      <c r="F837" s="17"/>
      <c r="G837" s="17"/>
      <c r="H837" s="17"/>
      <c r="I837" s="17"/>
      <c r="J837" s="17"/>
      <c r="K837" s="17"/>
      <c r="L837" s="17"/>
      <c r="M837" s="17"/>
    </row>
    <row r="838">
      <c r="A838" s="17"/>
      <c r="C838" s="17"/>
      <c r="D838" s="17"/>
      <c r="E838" s="17"/>
      <c r="F838" s="17"/>
      <c r="G838" s="17"/>
      <c r="H838" s="17"/>
      <c r="I838" s="17"/>
      <c r="J838" s="17"/>
      <c r="K838" s="17"/>
      <c r="L838" s="17"/>
      <c r="M838" s="17"/>
    </row>
    <row r="839">
      <c r="A839" s="17"/>
      <c r="C839" s="17"/>
      <c r="D839" s="17"/>
      <c r="E839" s="17"/>
      <c r="F839" s="17"/>
      <c r="G839" s="17"/>
      <c r="H839" s="17"/>
      <c r="I839" s="17"/>
      <c r="J839" s="17"/>
      <c r="K839" s="17"/>
      <c r="L839" s="17"/>
      <c r="M839" s="17"/>
    </row>
    <row r="840">
      <c r="A840" s="17"/>
      <c r="C840" s="17"/>
      <c r="D840" s="17"/>
      <c r="E840" s="17"/>
      <c r="F840" s="17"/>
      <c r="G840" s="17"/>
      <c r="H840" s="17"/>
      <c r="I840" s="17"/>
      <c r="J840" s="17"/>
      <c r="K840" s="17"/>
      <c r="L840" s="17"/>
      <c r="M840" s="17"/>
    </row>
    <row r="841">
      <c r="A841" s="17"/>
      <c r="C841" s="17"/>
      <c r="D841" s="17"/>
      <c r="E841" s="17"/>
      <c r="F841" s="17"/>
      <c r="G841" s="17"/>
      <c r="H841" s="17"/>
      <c r="I841" s="17"/>
      <c r="J841" s="17"/>
      <c r="K841" s="17"/>
      <c r="L841" s="17"/>
      <c r="M841" s="17"/>
    </row>
    <row r="842">
      <c r="A842" s="17"/>
      <c r="C842" s="17"/>
      <c r="D842" s="17"/>
      <c r="E842" s="17"/>
      <c r="F842" s="17"/>
      <c r="G842" s="17"/>
      <c r="H842" s="17"/>
      <c r="I842" s="17"/>
      <c r="J842" s="17"/>
      <c r="K842" s="17"/>
      <c r="L842" s="17"/>
      <c r="M842" s="17"/>
    </row>
    <row r="843">
      <c r="A843" s="17"/>
      <c r="C843" s="17"/>
      <c r="D843" s="17"/>
      <c r="E843" s="17"/>
      <c r="F843" s="17"/>
      <c r="G843" s="17"/>
      <c r="H843" s="17"/>
      <c r="I843" s="17"/>
      <c r="J843" s="17"/>
      <c r="K843" s="17"/>
      <c r="L843" s="17"/>
      <c r="M843" s="17"/>
    </row>
    <row r="844">
      <c r="A844" s="17"/>
      <c r="C844" s="17"/>
      <c r="D844" s="17"/>
      <c r="E844" s="17"/>
      <c r="F844" s="17"/>
      <c r="G844" s="17"/>
      <c r="H844" s="17"/>
      <c r="I844" s="17"/>
      <c r="J844" s="17"/>
      <c r="K844" s="17"/>
      <c r="L844" s="17"/>
      <c r="M844" s="17"/>
    </row>
    <row r="845">
      <c r="A845" s="17"/>
      <c r="C845" s="17"/>
      <c r="D845" s="17"/>
      <c r="E845" s="17"/>
      <c r="F845" s="17"/>
      <c r="G845" s="17"/>
      <c r="H845" s="17"/>
      <c r="I845" s="17"/>
      <c r="J845" s="17"/>
      <c r="K845" s="17"/>
      <c r="L845" s="17"/>
      <c r="M845" s="17"/>
    </row>
    <row r="846">
      <c r="A846" s="17"/>
      <c r="C846" s="17"/>
      <c r="D846" s="17"/>
      <c r="E846" s="17"/>
      <c r="F846" s="17"/>
      <c r="G846" s="17"/>
      <c r="H846" s="17"/>
      <c r="I846" s="17"/>
      <c r="J846" s="17"/>
      <c r="K846" s="17"/>
      <c r="L846" s="17"/>
      <c r="M846" s="17"/>
    </row>
    <row r="847">
      <c r="A847" s="17"/>
      <c r="C847" s="17"/>
      <c r="D847" s="17"/>
      <c r="E847" s="17"/>
      <c r="F847" s="17"/>
      <c r="G847" s="17"/>
      <c r="H847" s="17"/>
      <c r="I847" s="17"/>
      <c r="J847" s="17"/>
      <c r="K847" s="17"/>
      <c r="L847" s="17"/>
      <c r="M847" s="17"/>
    </row>
    <row r="848">
      <c r="A848" s="17"/>
      <c r="C848" s="17"/>
      <c r="D848" s="17"/>
      <c r="E848" s="17"/>
      <c r="F848" s="17"/>
      <c r="G848" s="17"/>
      <c r="H848" s="17"/>
      <c r="I848" s="17"/>
      <c r="J848" s="17"/>
      <c r="K848" s="17"/>
      <c r="L848" s="17"/>
      <c r="M848" s="17"/>
    </row>
    <row r="849">
      <c r="A849" s="17"/>
      <c r="C849" s="17"/>
      <c r="D849" s="17"/>
      <c r="E849" s="17"/>
      <c r="F849" s="17"/>
      <c r="G849" s="17"/>
      <c r="H849" s="17"/>
      <c r="I849" s="17"/>
      <c r="J849" s="17"/>
      <c r="K849" s="17"/>
      <c r="L849" s="17"/>
      <c r="M849" s="17"/>
    </row>
    <row r="850">
      <c r="A850" s="17"/>
      <c r="C850" s="17"/>
      <c r="D850" s="17"/>
      <c r="E850" s="17"/>
      <c r="F850" s="17"/>
      <c r="G850" s="17"/>
      <c r="H850" s="17"/>
      <c r="I850" s="17"/>
      <c r="J850" s="17"/>
      <c r="K850" s="17"/>
      <c r="L850" s="17"/>
      <c r="M850" s="17"/>
    </row>
    <row r="851">
      <c r="A851" s="17"/>
      <c r="C851" s="17"/>
      <c r="D851" s="17"/>
      <c r="E851" s="17"/>
      <c r="F851" s="17"/>
      <c r="G851" s="17"/>
      <c r="H851" s="17"/>
      <c r="I851" s="17"/>
      <c r="J851" s="17"/>
      <c r="K851" s="17"/>
      <c r="L851" s="17"/>
      <c r="M851" s="17"/>
    </row>
    <row r="852">
      <c r="A852" s="17"/>
      <c r="C852" s="17"/>
      <c r="D852" s="17"/>
      <c r="E852" s="17"/>
      <c r="F852" s="17"/>
      <c r="G852" s="17"/>
      <c r="H852" s="17"/>
      <c r="I852" s="17"/>
      <c r="J852" s="17"/>
      <c r="K852" s="17"/>
      <c r="L852" s="17"/>
      <c r="M852" s="17"/>
    </row>
    <row r="853">
      <c r="A853" s="17"/>
      <c r="C853" s="17"/>
      <c r="D853" s="17"/>
      <c r="E853" s="17"/>
      <c r="F853" s="17"/>
      <c r="G853" s="17"/>
      <c r="H853" s="17"/>
      <c r="I853" s="17"/>
      <c r="J853" s="17"/>
      <c r="K853" s="17"/>
      <c r="L853" s="17"/>
      <c r="M853" s="17"/>
    </row>
    <row r="854">
      <c r="A854" s="17"/>
      <c r="C854" s="17"/>
      <c r="D854" s="17"/>
      <c r="E854" s="17"/>
      <c r="F854" s="17"/>
      <c r="G854" s="17"/>
      <c r="H854" s="17"/>
      <c r="I854" s="17"/>
      <c r="J854" s="17"/>
      <c r="K854" s="17"/>
      <c r="L854" s="17"/>
      <c r="M854" s="17"/>
    </row>
    <row r="855">
      <c r="A855" s="17"/>
      <c r="C855" s="17"/>
      <c r="D855" s="17"/>
      <c r="E855" s="17"/>
      <c r="F855" s="17"/>
      <c r="G855" s="17"/>
      <c r="H855" s="17"/>
      <c r="I855" s="17"/>
      <c r="J855" s="17"/>
      <c r="K855" s="17"/>
      <c r="L855" s="17"/>
      <c r="M855" s="17"/>
    </row>
    <row r="856">
      <c r="A856" s="17"/>
      <c r="C856" s="17"/>
      <c r="D856" s="17"/>
      <c r="E856" s="17"/>
      <c r="F856" s="17"/>
      <c r="G856" s="17"/>
      <c r="H856" s="17"/>
      <c r="I856" s="17"/>
      <c r="J856" s="17"/>
      <c r="K856" s="17"/>
      <c r="L856" s="17"/>
      <c r="M856" s="17"/>
    </row>
    <row r="857">
      <c r="A857" s="17"/>
      <c r="C857" s="17"/>
      <c r="D857" s="17"/>
      <c r="E857" s="17"/>
      <c r="F857" s="17"/>
      <c r="G857" s="17"/>
      <c r="H857" s="17"/>
      <c r="I857" s="17"/>
      <c r="J857" s="17"/>
      <c r="K857" s="17"/>
      <c r="L857" s="17"/>
      <c r="M857" s="17"/>
    </row>
    <row r="858">
      <c r="A858" s="17"/>
      <c r="C858" s="17"/>
      <c r="D858" s="17"/>
      <c r="E858" s="17"/>
      <c r="F858" s="17"/>
      <c r="G858" s="17"/>
      <c r="H858" s="17"/>
      <c r="I858" s="17"/>
      <c r="J858" s="17"/>
      <c r="K858" s="17"/>
      <c r="L858" s="17"/>
      <c r="M858" s="17"/>
    </row>
    <row r="859">
      <c r="A859" s="17"/>
      <c r="C859" s="17"/>
      <c r="D859" s="17"/>
      <c r="E859" s="17"/>
      <c r="F859" s="17"/>
      <c r="G859" s="17"/>
      <c r="H859" s="17"/>
      <c r="I859" s="17"/>
      <c r="J859" s="17"/>
      <c r="K859" s="17"/>
      <c r="L859" s="17"/>
      <c r="M859" s="17"/>
    </row>
    <row r="860">
      <c r="A860" s="17"/>
      <c r="C860" s="17"/>
      <c r="D860" s="17"/>
      <c r="E860" s="17"/>
      <c r="F860" s="17"/>
      <c r="G860" s="17"/>
      <c r="H860" s="17"/>
      <c r="I860" s="17"/>
      <c r="J860" s="17"/>
      <c r="K860" s="17"/>
      <c r="L860" s="17"/>
      <c r="M860" s="17"/>
    </row>
    <row r="861">
      <c r="A861" s="17"/>
      <c r="C861" s="17"/>
      <c r="D861" s="17"/>
      <c r="E861" s="17"/>
      <c r="F861" s="17"/>
      <c r="G861" s="17"/>
      <c r="H861" s="17"/>
      <c r="I861" s="17"/>
      <c r="J861" s="17"/>
      <c r="K861" s="17"/>
      <c r="L861" s="17"/>
      <c r="M861" s="17"/>
    </row>
    <row r="862">
      <c r="A862" s="17"/>
      <c r="C862" s="17"/>
      <c r="D862" s="17"/>
      <c r="E862" s="17"/>
      <c r="F862" s="17"/>
      <c r="G862" s="17"/>
      <c r="H862" s="17"/>
      <c r="I862" s="17"/>
      <c r="J862" s="17"/>
      <c r="K862" s="17"/>
      <c r="L862" s="17"/>
      <c r="M862" s="17"/>
    </row>
    <row r="863">
      <c r="A863" s="17"/>
      <c r="C863" s="17"/>
      <c r="D863" s="17"/>
      <c r="E863" s="17"/>
      <c r="F863" s="17"/>
      <c r="G863" s="17"/>
      <c r="H863" s="17"/>
      <c r="I863" s="17"/>
      <c r="J863" s="17"/>
      <c r="K863" s="17"/>
      <c r="L863" s="17"/>
      <c r="M863" s="17"/>
    </row>
    <row r="864">
      <c r="A864" s="17"/>
      <c r="C864" s="17"/>
      <c r="D864" s="17"/>
      <c r="E864" s="17"/>
      <c r="F864" s="17"/>
      <c r="G864" s="17"/>
      <c r="H864" s="17"/>
      <c r="I864" s="17"/>
      <c r="J864" s="17"/>
      <c r="K864" s="17"/>
      <c r="L864" s="17"/>
      <c r="M864" s="17"/>
    </row>
    <row r="865">
      <c r="A865" s="17"/>
      <c r="C865" s="17"/>
      <c r="D865" s="17"/>
      <c r="E865" s="17"/>
      <c r="F865" s="17"/>
      <c r="G865" s="17"/>
      <c r="H865" s="17"/>
      <c r="I865" s="17"/>
      <c r="J865" s="17"/>
      <c r="K865" s="17"/>
      <c r="L865" s="17"/>
      <c r="M865" s="17"/>
    </row>
    <row r="866">
      <c r="A866" s="17"/>
      <c r="C866" s="17"/>
      <c r="D866" s="17"/>
      <c r="E866" s="17"/>
      <c r="F866" s="17"/>
      <c r="G866" s="17"/>
      <c r="H866" s="17"/>
      <c r="I866" s="17"/>
      <c r="J866" s="17"/>
      <c r="K866" s="17"/>
      <c r="L866" s="17"/>
      <c r="M866" s="17"/>
    </row>
    <row r="867">
      <c r="A867" s="17"/>
      <c r="C867" s="17"/>
      <c r="D867" s="17"/>
      <c r="E867" s="17"/>
      <c r="F867" s="17"/>
      <c r="G867" s="17"/>
      <c r="H867" s="17"/>
      <c r="I867" s="17"/>
      <c r="J867" s="17"/>
      <c r="K867" s="17"/>
      <c r="L867" s="17"/>
      <c r="M867" s="17"/>
    </row>
    <row r="868">
      <c r="A868" s="17"/>
      <c r="C868" s="17"/>
      <c r="D868" s="17"/>
      <c r="E868" s="17"/>
      <c r="F868" s="17"/>
      <c r="G868" s="17"/>
      <c r="H868" s="17"/>
      <c r="I868" s="17"/>
      <c r="J868" s="17"/>
      <c r="K868" s="17"/>
      <c r="L868" s="17"/>
      <c r="M868" s="17"/>
    </row>
    <row r="869">
      <c r="A869" s="17"/>
      <c r="C869" s="17"/>
      <c r="D869" s="17"/>
      <c r="E869" s="17"/>
      <c r="F869" s="17"/>
      <c r="G869" s="17"/>
      <c r="H869" s="17"/>
      <c r="I869" s="17"/>
      <c r="J869" s="17"/>
      <c r="K869" s="17"/>
      <c r="L869" s="17"/>
      <c r="M869" s="17"/>
    </row>
    <row r="870">
      <c r="A870" s="17"/>
      <c r="C870" s="17"/>
      <c r="D870" s="17"/>
      <c r="E870" s="17"/>
      <c r="F870" s="17"/>
      <c r="G870" s="17"/>
      <c r="H870" s="17"/>
      <c r="I870" s="17"/>
      <c r="J870" s="17"/>
      <c r="K870" s="17"/>
      <c r="L870" s="17"/>
      <c r="M870" s="17"/>
    </row>
    <row r="871">
      <c r="A871" s="17"/>
      <c r="C871" s="17"/>
      <c r="D871" s="17"/>
      <c r="E871" s="17"/>
      <c r="F871" s="17"/>
      <c r="G871" s="17"/>
      <c r="H871" s="17"/>
      <c r="I871" s="17"/>
      <c r="J871" s="17"/>
      <c r="K871" s="17"/>
      <c r="L871" s="17"/>
      <c r="M871" s="17"/>
    </row>
    <row r="872">
      <c r="A872" s="17"/>
      <c r="C872" s="17"/>
      <c r="D872" s="17"/>
      <c r="E872" s="17"/>
      <c r="F872" s="17"/>
      <c r="G872" s="17"/>
      <c r="H872" s="17"/>
      <c r="I872" s="17"/>
      <c r="J872" s="17"/>
      <c r="K872" s="17"/>
      <c r="L872" s="17"/>
      <c r="M872" s="17"/>
    </row>
    <row r="873">
      <c r="A873" s="17"/>
      <c r="C873" s="17"/>
      <c r="D873" s="17"/>
      <c r="E873" s="17"/>
      <c r="F873" s="17"/>
      <c r="G873" s="17"/>
      <c r="H873" s="17"/>
      <c r="I873" s="17"/>
      <c r="J873" s="17"/>
      <c r="K873" s="17"/>
      <c r="L873" s="17"/>
      <c r="M873" s="17"/>
    </row>
    <row r="874">
      <c r="A874" s="17"/>
      <c r="C874" s="17"/>
      <c r="D874" s="17"/>
      <c r="E874" s="17"/>
      <c r="F874" s="17"/>
      <c r="G874" s="17"/>
      <c r="H874" s="17"/>
      <c r="I874" s="17"/>
      <c r="J874" s="17"/>
      <c r="K874" s="17"/>
      <c r="L874" s="17"/>
      <c r="M874" s="17"/>
    </row>
    <row r="875">
      <c r="A875" s="17"/>
      <c r="C875" s="17"/>
      <c r="D875" s="17"/>
      <c r="E875" s="17"/>
      <c r="F875" s="17"/>
      <c r="G875" s="17"/>
      <c r="H875" s="17"/>
      <c r="I875" s="17"/>
      <c r="J875" s="17"/>
      <c r="K875" s="17"/>
      <c r="L875" s="17"/>
      <c r="M875" s="17"/>
    </row>
    <row r="876">
      <c r="A876" s="17"/>
      <c r="C876" s="17"/>
      <c r="D876" s="17"/>
      <c r="E876" s="17"/>
      <c r="F876" s="17"/>
      <c r="G876" s="17"/>
      <c r="H876" s="17"/>
      <c r="I876" s="17"/>
      <c r="J876" s="17"/>
      <c r="K876" s="17"/>
      <c r="L876" s="17"/>
      <c r="M876" s="17"/>
    </row>
    <row r="877">
      <c r="A877" s="17"/>
      <c r="C877" s="17"/>
      <c r="D877" s="17"/>
      <c r="E877" s="17"/>
      <c r="F877" s="17"/>
      <c r="G877" s="17"/>
      <c r="H877" s="17"/>
      <c r="I877" s="17"/>
      <c r="J877" s="17"/>
      <c r="K877" s="17"/>
      <c r="L877" s="17"/>
      <c r="M877" s="17"/>
    </row>
    <row r="878">
      <c r="A878" s="17"/>
      <c r="C878" s="17"/>
      <c r="D878" s="17"/>
      <c r="E878" s="17"/>
      <c r="F878" s="17"/>
      <c r="G878" s="17"/>
      <c r="H878" s="17"/>
      <c r="I878" s="17"/>
      <c r="J878" s="17"/>
      <c r="K878" s="17"/>
      <c r="L878" s="17"/>
      <c r="M878" s="17"/>
    </row>
    <row r="879">
      <c r="A879" s="17"/>
      <c r="C879" s="17"/>
      <c r="D879" s="17"/>
      <c r="E879" s="17"/>
      <c r="F879" s="17"/>
      <c r="G879" s="17"/>
      <c r="H879" s="17"/>
      <c r="I879" s="17"/>
      <c r="J879" s="17"/>
      <c r="K879" s="17"/>
      <c r="L879" s="17"/>
      <c r="M879" s="17"/>
    </row>
    <row r="880">
      <c r="A880" s="17"/>
      <c r="C880" s="17"/>
      <c r="D880" s="17"/>
      <c r="E880" s="17"/>
      <c r="F880" s="17"/>
      <c r="G880" s="17"/>
      <c r="H880" s="17"/>
      <c r="I880" s="17"/>
      <c r="J880" s="17"/>
      <c r="K880" s="17"/>
      <c r="L880" s="17"/>
      <c r="M880" s="17"/>
    </row>
    <row r="881">
      <c r="A881" s="17"/>
      <c r="C881" s="17"/>
      <c r="D881" s="17"/>
      <c r="E881" s="17"/>
      <c r="F881" s="17"/>
      <c r="G881" s="17"/>
      <c r="H881" s="17"/>
      <c r="I881" s="17"/>
      <c r="J881" s="17"/>
      <c r="K881" s="17"/>
      <c r="L881" s="17"/>
      <c r="M881" s="17"/>
    </row>
    <row r="882">
      <c r="A882" s="17"/>
      <c r="C882" s="17"/>
      <c r="D882" s="17"/>
      <c r="E882" s="17"/>
      <c r="F882" s="17"/>
      <c r="G882" s="17"/>
      <c r="H882" s="17"/>
      <c r="I882" s="17"/>
      <c r="J882" s="17"/>
      <c r="K882" s="17"/>
      <c r="L882" s="17"/>
      <c r="M882" s="17"/>
    </row>
    <row r="883">
      <c r="A883" s="17"/>
      <c r="C883" s="17"/>
      <c r="D883" s="17"/>
      <c r="E883" s="17"/>
      <c r="F883" s="17"/>
      <c r="G883" s="17"/>
      <c r="H883" s="17"/>
      <c r="I883" s="17"/>
      <c r="J883" s="17"/>
      <c r="K883" s="17"/>
      <c r="L883" s="17"/>
      <c r="M883" s="17"/>
    </row>
    <row r="884">
      <c r="A884" s="17"/>
      <c r="C884" s="17"/>
      <c r="D884" s="17"/>
      <c r="E884" s="17"/>
      <c r="F884" s="17"/>
      <c r="G884" s="17"/>
      <c r="H884" s="17"/>
      <c r="I884" s="17"/>
      <c r="J884" s="17"/>
      <c r="K884" s="17"/>
      <c r="L884" s="17"/>
      <c r="M884" s="17"/>
    </row>
    <row r="885">
      <c r="A885" s="17"/>
      <c r="C885" s="17"/>
      <c r="D885" s="17"/>
      <c r="E885" s="17"/>
      <c r="F885" s="17"/>
      <c r="G885" s="17"/>
      <c r="H885" s="17"/>
      <c r="I885" s="17"/>
      <c r="J885" s="17"/>
      <c r="K885" s="17"/>
      <c r="L885" s="17"/>
      <c r="M885" s="17"/>
    </row>
    <row r="886">
      <c r="A886" s="17"/>
      <c r="C886" s="17"/>
      <c r="D886" s="17"/>
      <c r="E886" s="17"/>
      <c r="F886" s="17"/>
      <c r="G886" s="17"/>
      <c r="H886" s="17"/>
      <c r="I886" s="17"/>
      <c r="J886" s="17"/>
      <c r="K886" s="17"/>
      <c r="L886" s="17"/>
      <c r="M886" s="17"/>
    </row>
    <row r="887">
      <c r="A887" s="17"/>
      <c r="C887" s="17"/>
      <c r="D887" s="17"/>
      <c r="E887" s="17"/>
      <c r="F887" s="17"/>
      <c r="G887" s="17"/>
      <c r="H887" s="17"/>
      <c r="I887" s="17"/>
      <c r="J887" s="17"/>
      <c r="K887" s="17"/>
      <c r="L887" s="17"/>
      <c r="M887" s="17"/>
    </row>
    <row r="888">
      <c r="A888" s="17"/>
      <c r="C888" s="17"/>
      <c r="D888" s="17"/>
      <c r="E888" s="17"/>
      <c r="F888" s="17"/>
      <c r="G888" s="17"/>
      <c r="H888" s="17"/>
      <c r="I888" s="17"/>
      <c r="J888" s="17"/>
      <c r="K888" s="17"/>
      <c r="L888" s="17"/>
      <c r="M888" s="17"/>
    </row>
    <row r="889">
      <c r="A889" s="17"/>
      <c r="C889" s="17"/>
      <c r="D889" s="17"/>
      <c r="E889" s="17"/>
      <c r="F889" s="17"/>
      <c r="G889" s="17"/>
      <c r="H889" s="17"/>
      <c r="I889" s="17"/>
      <c r="J889" s="17"/>
      <c r="K889" s="17"/>
      <c r="L889" s="17"/>
      <c r="M889" s="17"/>
    </row>
    <row r="890">
      <c r="A890" s="17"/>
      <c r="C890" s="17"/>
      <c r="D890" s="17"/>
      <c r="E890" s="17"/>
      <c r="F890" s="17"/>
      <c r="G890" s="17"/>
      <c r="H890" s="17"/>
      <c r="I890" s="17"/>
      <c r="J890" s="17"/>
      <c r="K890" s="17"/>
      <c r="L890" s="17"/>
      <c r="M890" s="17"/>
    </row>
    <row r="891">
      <c r="A891" s="17"/>
      <c r="C891" s="17"/>
      <c r="D891" s="17"/>
      <c r="E891" s="17"/>
      <c r="F891" s="17"/>
      <c r="G891" s="17"/>
      <c r="H891" s="17"/>
      <c r="I891" s="17"/>
      <c r="J891" s="17"/>
      <c r="K891" s="17"/>
      <c r="L891" s="17"/>
      <c r="M891" s="17"/>
    </row>
    <row r="892">
      <c r="A892" s="17"/>
      <c r="C892" s="17"/>
      <c r="D892" s="17"/>
      <c r="E892" s="17"/>
      <c r="F892" s="17"/>
      <c r="G892" s="17"/>
      <c r="H892" s="17"/>
      <c r="I892" s="17"/>
      <c r="J892" s="17"/>
      <c r="K892" s="17"/>
      <c r="L892" s="17"/>
      <c r="M892" s="17"/>
    </row>
    <row r="893">
      <c r="A893" s="17"/>
      <c r="C893" s="17"/>
      <c r="D893" s="17"/>
      <c r="E893" s="17"/>
      <c r="F893" s="17"/>
      <c r="G893" s="17"/>
      <c r="H893" s="17"/>
      <c r="I893" s="17"/>
      <c r="J893" s="17"/>
      <c r="K893" s="17"/>
      <c r="L893" s="17"/>
      <c r="M893" s="17"/>
    </row>
    <row r="894">
      <c r="A894" s="17"/>
      <c r="C894" s="17"/>
      <c r="D894" s="17"/>
      <c r="E894" s="17"/>
      <c r="F894" s="17"/>
      <c r="G894" s="17"/>
      <c r="H894" s="17"/>
      <c r="I894" s="17"/>
      <c r="J894" s="17"/>
      <c r="K894" s="17"/>
      <c r="L894" s="17"/>
      <c r="M894" s="17"/>
    </row>
    <row r="895">
      <c r="A895" s="17"/>
      <c r="C895" s="17"/>
      <c r="D895" s="17"/>
      <c r="E895" s="17"/>
      <c r="F895" s="17"/>
      <c r="G895" s="17"/>
      <c r="H895" s="17"/>
      <c r="I895" s="17"/>
      <c r="J895" s="17"/>
      <c r="K895" s="17"/>
      <c r="L895" s="17"/>
      <c r="M895" s="17"/>
    </row>
    <row r="896">
      <c r="A896" s="17"/>
      <c r="C896" s="17"/>
      <c r="D896" s="17"/>
      <c r="E896" s="17"/>
      <c r="F896" s="17"/>
      <c r="G896" s="17"/>
      <c r="H896" s="17"/>
      <c r="I896" s="17"/>
      <c r="J896" s="17"/>
      <c r="K896" s="17"/>
      <c r="L896" s="17"/>
      <c r="M896" s="17"/>
    </row>
    <row r="897">
      <c r="A897" s="17"/>
      <c r="C897" s="17"/>
      <c r="D897" s="17"/>
      <c r="E897" s="17"/>
      <c r="F897" s="17"/>
      <c r="G897" s="17"/>
      <c r="H897" s="17"/>
      <c r="I897" s="17"/>
      <c r="J897" s="17"/>
      <c r="K897" s="17"/>
      <c r="L897" s="17"/>
      <c r="M897" s="17"/>
    </row>
    <row r="898">
      <c r="A898" s="17"/>
      <c r="C898" s="17"/>
      <c r="D898" s="17"/>
      <c r="E898" s="17"/>
      <c r="F898" s="17"/>
      <c r="G898" s="17"/>
      <c r="H898" s="17"/>
      <c r="I898" s="17"/>
      <c r="J898" s="17"/>
      <c r="K898" s="17"/>
      <c r="L898" s="17"/>
      <c r="M898" s="17"/>
    </row>
    <row r="899">
      <c r="A899" s="17"/>
      <c r="C899" s="17"/>
      <c r="D899" s="17"/>
      <c r="E899" s="17"/>
      <c r="F899" s="17"/>
      <c r="G899" s="17"/>
      <c r="H899" s="17"/>
      <c r="I899" s="17"/>
      <c r="J899" s="17"/>
      <c r="K899" s="17"/>
      <c r="L899" s="17"/>
      <c r="M899" s="17"/>
    </row>
    <row r="900">
      <c r="A900" s="17"/>
      <c r="C900" s="17"/>
      <c r="D900" s="17"/>
      <c r="E900" s="17"/>
      <c r="F900" s="17"/>
      <c r="G900" s="17"/>
      <c r="H900" s="17"/>
      <c r="I900" s="17"/>
      <c r="J900" s="17"/>
      <c r="K900" s="17"/>
      <c r="L900" s="17"/>
      <c r="M900" s="17"/>
    </row>
    <row r="901">
      <c r="A901" s="17"/>
      <c r="C901" s="17"/>
      <c r="D901" s="17"/>
      <c r="E901" s="17"/>
      <c r="F901" s="17"/>
      <c r="G901" s="17"/>
      <c r="H901" s="17"/>
      <c r="I901" s="17"/>
      <c r="J901" s="17"/>
      <c r="K901" s="17"/>
      <c r="L901" s="17"/>
      <c r="M901" s="17"/>
    </row>
    <row r="902">
      <c r="A902" s="17"/>
      <c r="C902" s="17"/>
      <c r="D902" s="17"/>
      <c r="E902" s="17"/>
      <c r="F902" s="17"/>
      <c r="G902" s="17"/>
      <c r="H902" s="17"/>
      <c r="I902" s="17"/>
      <c r="J902" s="17"/>
      <c r="K902" s="17"/>
      <c r="L902" s="17"/>
      <c r="M902" s="17"/>
    </row>
    <row r="903">
      <c r="A903" s="17"/>
      <c r="C903" s="17"/>
      <c r="D903" s="17"/>
      <c r="E903" s="17"/>
      <c r="F903" s="17"/>
      <c r="G903" s="17"/>
      <c r="H903" s="17"/>
      <c r="I903" s="17"/>
      <c r="J903" s="17"/>
      <c r="K903" s="17"/>
      <c r="L903" s="17"/>
      <c r="M903" s="17"/>
    </row>
    <row r="904">
      <c r="A904" s="17"/>
      <c r="C904" s="17"/>
      <c r="D904" s="17"/>
      <c r="E904" s="17"/>
      <c r="F904" s="17"/>
      <c r="G904" s="17"/>
      <c r="H904" s="17"/>
      <c r="I904" s="17"/>
      <c r="J904" s="17"/>
      <c r="K904" s="17"/>
      <c r="L904" s="17"/>
      <c r="M904" s="17"/>
    </row>
    <row r="905">
      <c r="A905" s="17"/>
      <c r="C905" s="17"/>
      <c r="D905" s="17"/>
      <c r="E905" s="17"/>
      <c r="F905" s="17"/>
      <c r="G905" s="17"/>
      <c r="H905" s="17"/>
      <c r="I905" s="17"/>
      <c r="J905" s="17"/>
      <c r="K905" s="17"/>
      <c r="L905" s="17"/>
      <c r="M905" s="17"/>
    </row>
    <row r="906">
      <c r="A906" s="17"/>
      <c r="C906" s="17"/>
      <c r="D906" s="17"/>
      <c r="E906" s="17"/>
      <c r="F906" s="17"/>
      <c r="G906" s="17"/>
      <c r="H906" s="17"/>
      <c r="I906" s="17"/>
      <c r="J906" s="17"/>
      <c r="K906" s="17"/>
      <c r="L906" s="17"/>
      <c r="M906" s="17"/>
    </row>
    <row r="907">
      <c r="A907" s="17"/>
      <c r="C907" s="17"/>
      <c r="D907" s="17"/>
      <c r="E907" s="17"/>
      <c r="F907" s="17"/>
      <c r="G907" s="17"/>
      <c r="H907" s="17"/>
      <c r="I907" s="17"/>
      <c r="J907" s="17"/>
      <c r="K907" s="17"/>
      <c r="L907" s="17"/>
      <c r="M907" s="17"/>
    </row>
    <row r="908">
      <c r="A908" s="17"/>
      <c r="C908" s="17"/>
      <c r="D908" s="17"/>
      <c r="E908" s="17"/>
      <c r="F908" s="17"/>
      <c r="G908" s="17"/>
      <c r="H908" s="17"/>
      <c r="I908" s="17"/>
      <c r="J908" s="17"/>
      <c r="K908" s="17"/>
      <c r="L908" s="17"/>
      <c r="M908" s="17"/>
    </row>
    <row r="909">
      <c r="A909" s="17"/>
      <c r="C909" s="17"/>
      <c r="D909" s="17"/>
      <c r="E909" s="17"/>
      <c r="F909" s="17"/>
      <c r="G909" s="17"/>
      <c r="H909" s="17"/>
      <c r="I909" s="17"/>
      <c r="J909" s="17"/>
      <c r="K909" s="17"/>
      <c r="L909" s="17"/>
      <c r="M909" s="17"/>
    </row>
    <row r="910">
      <c r="A910" s="17"/>
      <c r="C910" s="17"/>
      <c r="D910" s="17"/>
      <c r="E910" s="17"/>
      <c r="F910" s="17"/>
      <c r="G910" s="17"/>
      <c r="H910" s="17"/>
      <c r="I910" s="17"/>
      <c r="J910" s="17"/>
      <c r="K910" s="17"/>
      <c r="L910" s="17"/>
      <c r="M910" s="17"/>
    </row>
    <row r="911">
      <c r="A911" s="17"/>
      <c r="C911" s="17"/>
      <c r="D911" s="17"/>
      <c r="E911" s="17"/>
      <c r="F911" s="17"/>
      <c r="G911" s="17"/>
      <c r="H911" s="17"/>
      <c r="I911" s="17"/>
      <c r="J911" s="17"/>
      <c r="K911" s="17"/>
      <c r="L911" s="17"/>
      <c r="M911" s="17"/>
    </row>
    <row r="912">
      <c r="A912" s="17"/>
      <c r="C912" s="17"/>
      <c r="D912" s="17"/>
      <c r="E912" s="17"/>
      <c r="F912" s="17"/>
      <c r="G912" s="17"/>
      <c r="H912" s="17"/>
      <c r="I912" s="17"/>
      <c r="J912" s="17"/>
      <c r="K912" s="17"/>
      <c r="L912" s="17"/>
      <c r="M912" s="17"/>
    </row>
    <row r="913">
      <c r="A913" s="17"/>
      <c r="C913" s="17"/>
      <c r="D913" s="17"/>
      <c r="E913" s="17"/>
      <c r="F913" s="17"/>
      <c r="G913" s="17"/>
      <c r="H913" s="17"/>
      <c r="I913" s="17"/>
      <c r="J913" s="17"/>
      <c r="K913" s="17"/>
      <c r="L913" s="17"/>
      <c r="M913" s="17"/>
    </row>
    <row r="914">
      <c r="A914" s="17"/>
      <c r="C914" s="17"/>
      <c r="D914" s="17"/>
      <c r="E914" s="17"/>
      <c r="F914" s="17"/>
      <c r="G914" s="17"/>
      <c r="H914" s="17"/>
      <c r="I914" s="17"/>
      <c r="J914" s="17"/>
      <c r="K914" s="17"/>
      <c r="L914" s="17"/>
      <c r="M914" s="17"/>
    </row>
    <row r="915">
      <c r="A915" s="17"/>
      <c r="C915" s="17"/>
      <c r="D915" s="17"/>
      <c r="E915" s="17"/>
      <c r="F915" s="17"/>
      <c r="G915" s="17"/>
      <c r="H915" s="17"/>
      <c r="I915" s="17"/>
      <c r="J915" s="17"/>
      <c r="K915" s="17"/>
      <c r="L915" s="17"/>
      <c r="M915" s="17"/>
    </row>
    <row r="916">
      <c r="A916" s="17"/>
      <c r="C916" s="17"/>
      <c r="D916" s="17"/>
      <c r="E916" s="17"/>
      <c r="F916" s="17"/>
      <c r="G916" s="17"/>
      <c r="H916" s="17"/>
      <c r="I916" s="17"/>
      <c r="J916" s="17"/>
      <c r="K916" s="17"/>
      <c r="L916" s="17"/>
      <c r="M916" s="17"/>
    </row>
    <row r="917">
      <c r="A917" s="17"/>
      <c r="C917" s="17"/>
      <c r="D917" s="17"/>
      <c r="E917" s="17"/>
      <c r="F917" s="17"/>
      <c r="G917" s="17"/>
      <c r="H917" s="17"/>
      <c r="I917" s="17"/>
      <c r="J917" s="17"/>
      <c r="K917" s="17"/>
      <c r="L917" s="17"/>
      <c r="M917" s="17"/>
    </row>
    <row r="918">
      <c r="A918" s="17"/>
      <c r="C918" s="17"/>
      <c r="D918" s="17"/>
      <c r="E918" s="17"/>
      <c r="F918" s="17"/>
      <c r="G918" s="17"/>
      <c r="H918" s="17"/>
      <c r="I918" s="17"/>
      <c r="J918" s="17"/>
      <c r="K918" s="17"/>
      <c r="L918" s="17"/>
      <c r="M918" s="17"/>
    </row>
    <row r="919">
      <c r="A919" s="17"/>
      <c r="C919" s="17"/>
      <c r="D919" s="17"/>
      <c r="E919" s="17"/>
      <c r="F919" s="17"/>
      <c r="G919" s="17"/>
      <c r="H919" s="17"/>
      <c r="I919" s="17"/>
      <c r="J919" s="17"/>
      <c r="K919" s="17"/>
      <c r="L919" s="17"/>
      <c r="M919" s="17"/>
    </row>
    <row r="920">
      <c r="A920" s="17"/>
      <c r="C920" s="17"/>
      <c r="D920" s="17"/>
      <c r="E920" s="17"/>
      <c r="F920" s="17"/>
      <c r="G920" s="17"/>
      <c r="H920" s="17"/>
      <c r="I920" s="17"/>
      <c r="J920" s="17"/>
      <c r="K920" s="17"/>
      <c r="L920" s="17"/>
      <c r="M920" s="17"/>
    </row>
    <row r="921">
      <c r="A921" s="17"/>
      <c r="C921" s="17"/>
      <c r="D921" s="17"/>
      <c r="E921" s="17"/>
      <c r="F921" s="17"/>
      <c r="G921" s="17"/>
      <c r="H921" s="17"/>
      <c r="I921" s="17"/>
      <c r="J921" s="17"/>
      <c r="K921" s="17"/>
      <c r="L921" s="17"/>
      <c r="M921" s="17"/>
    </row>
    <row r="922">
      <c r="A922" s="17"/>
      <c r="C922" s="17"/>
      <c r="D922" s="17"/>
      <c r="E922" s="17"/>
      <c r="F922" s="17"/>
      <c r="G922" s="17"/>
      <c r="H922" s="17"/>
      <c r="I922" s="17"/>
      <c r="J922" s="17"/>
      <c r="K922" s="17"/>
      <c r="L922" s="17"/>
      <c r="M922" s="17"/>
    </row>
    <row r="923">
      <c r="A923" s="17"/>
      <c r="C923" s="17"/>
      <c r="D923" s="17"/>
      <c r="E923" s="17"/>
      <c r="F923" s="17"/>
      <c r="G923" s="17"/>
      <c r="H923" s="17"/>
      <c r="I923" s="17"/>
      <c r="J923" s="17"/>
      <c r="K923" s="17"/>
      <c r="L923" s="17"/>
      <c r="M923" s="17"/>
    </row>
    <row r="924">
      <c r="A924" s="17"/>
      <c r="C924" s="17"/>
      <c r="D924" s="17"/>
      <c r="E924" s="17"/>
      <c r="F924" s="17"/>
      <c r="G924" s="17"/>
      <c r="H924" s="17"/>
      <c r="I924" s="17"/>
      <c r="J924" s="17"/>
      <c r="K924" s="17"/>
      <c r="L924" s="17"/>
      <c r="M924" s="17"/>
    </row>
    <row r="925">
      <c r="A925" s="17"/>
      <c r="C925" s="17"/>
      <c r="D925" s="17"/>
      <c r="E925" s="17"/>
      <c r="F925" s="17"/>
      <c r="G925" s="17"/>
      <c r="H925" s="17"/>
      <c r="I925" s="17"/>
      <c r="J925" s="17"/>
      <c r="K925" s="17"/>
      <c r="L925" s="17"/>
      <c r="M925" s="17"/>
    </row>
    <row r="926">
      <c r="A926" s="17"/>
      <c r="C926" s="17"/>
      <c r="D926" s="17"/>
      <c r="E926" s="17"/>
      <c r="F926" s="17"/>
      <c r="G926" s="17"/>
      <c r="H926" s="17"/>
      <c r="I926" s="17"/>
      <c r="J926" s="17"/>
      <c r="K926" s="17"/>
      <c r="L926" s="17"/>
      <c r="M926" s="17"/>
    </row>
    <row r="927">
      <c r="A927" s="17"/>
      <c r="C927" s="17"/>
      <c r="D927" s="17"/>
      <c r="E927" s="17"/>
      <c r="F927" s="17"/>
      <c r="G927" s="17"/>
      <c r="H927" s="17"/>
      <c r="I927" s="17"/>
      <c r="J927" s="17"/>
      <c r="K927" s="17"/>
      <c r="L927" s="17"/>
      <c r="M927" s="17"/>
    </row>
    <row r="928">
      <c r="A928" s="17"/>
      <c r="C928" s="17"/>
      <c r="D928" s="17"/>
      <c r="E928" s="17"/>
      <c r="F928" s="17"/>
      <c r="G928" s="17"/>
      <c r="H928" s="17"/>
      <c r="I928" s="17"/>
      <c r="J928" s="17"/>
      <c r="K928" s="17"/>
      <c r="L928" s="17"/>
      <c r="M928" s="17"/>
    </row>
    <row r="929">
      <c r="A929" s="17"/>
      <c r="C929" s="17"/>
      <c r="D929" s="17"/>
      <c r="E929" s="17"/>
      <c r="F929" s="17"/>
      <c r="G929" s="17"/>
      <c r="H929" s="17"/>
      <c r="I929" s="17"/>
      <c r="J929" s="17"/>
      <c r="K929" s="17"/>
      <c r="L929" s="17"/>
      <c r="M929" s="17"/>
    </row>
    <row r="930">
      <c r="A930" s="17"/>
      <c r="C930" s="17"/>
      <c r="D930" s="17"/>
      <c r="E930" s="17"/>
      <c r="F930" s="17"/>
      <c r="G930" s="17"/>
      <c r="H930" s="17"/>
      <c r="I930" s="17"/>
      <c r="J930" s="17"/>
      <c r="K930" s="17"/>
      <c r="L930" s="17"/>
      <c r="M930" s="17"/>
    </row>
    <row r="931">
      <c r="A931" s="17"/>
      <c r="C931" s="17"/>
      <c r="D931" s="17"/>
      <c r="E931" s="17"/>
      <c r="F931" s="17"/>
      <c r="G931" s="17"/>
      <c r="H931" s="17"/>
      <c r="I931" s="17"/>
      <c r="J931" s="17"/>
      <c r="K931" s="17"/>
      <c r="L931" s="17"/>
      <c r="M931" s="17"/>
    </row>
    <row r="932">
      <c r="A932" s="17"/>
      <c r="C932" s="17"/>
      <c r="D932" s="17"/>
      <c r="E932" s="17"/>
      <c r="F932" s="17"/>
      <c r="G932" s="17"/>
      <c r="H932" s="17"/>
      <c r="I932" s="17"/>
      <c r="J932" s="17"/>
      <c r="K932" s="17"/>
      <c r="L932" s="17"/>
      <c r="M932" s="17"/>
    </row>
    <row r="933">
      <c r="A933" s="17"/>
      <c r="C933" s="17"/>
      <c r="D933" s="17"/>
      <c r="E933" s="17"/>
      <c r="F933" s="17"/>
      <c r="G933" s="17"/>
      <c r="H933" s="17"/>
      <c r="I933" s="17"/>
      <c r="J933" s="17"/>
      <c r="K933" s="17"/>
      <c r="L933" s="17"/>
      <c r="M933" s="17"/>
    </row>
    <row r="934">
      <c r="A934" s="17"/>
      <c r="C934" s="17"/>
      <c r="D934" s="17"/>
      <c r="E934" s="17"/>
      <c r="F934" s="17"/>
      <c r="G934" s="17"/>
      <c r="H934" s="17"/>
      <c r="I934" s="17"/>
      <c r="J934" s="17"/>
      <c r="K934" s="17"/>
      <c r="L934" s="17"/>
      <c r="M934" s="17"/>
    </row>
    <row r="935">
      <c r="A935" s="17"/>
      <c r="C935" s="17"/>
      <c r="D935" s="17"/>
      <c r="E935" s="17"/>
      <c r="F935" s="17"/>
      <c r="G935" s="17"/>
      <c r="H935" s="17"/>
      <c r="I935" s="17"/>
      <c r="J935" s="17"/>
      <c r="K935" s="17"/>
      <c r="L935" s="17"/>
      <c r="M935" s="17"/>
    </row>
    <row r="936">
      <c r="A936" s="17"/>
      <c r="C936" s="17"/>
      <c r="D936" s="17"/>
      <c r="E936" s="17"/>
      <c r="F936" s="17"/>
      <c r="G936" s="17"/>
      <c r="H936" s="17"/>
      <c r="I936" s="17"/>
      <c r="J936" s="17"/>
      <c r="K936" s="17"/>
      <c r="L936" s="17"/>
      <c r="M936" s="17"/>
    </row>
    <row r="937">
      <c r="A937" s="17"/>
      <c r="C937" s="17"/>
      <c r="D937" s="17"/>
      <c r="E937" s="17"/>
      <c r="F937" s="17"/>
      <c r="G937" s="17"/>
      <c r="H937" s="17"/>
      <c r="I937" s="17"/>
      <c r="J937" s="17"/>
      <c r="K937" s="17"/>
      <c r="L937" s="17"/>
      <c r="M937" s="17"/>
    </row>
    <row r="938">
      <c r="A938" s="17"/>
      <c r="C938" s="17"/>
      <c r="D938" s="17"/>
      <c r="E938" s="17"/>
      <c r="F938" s="17"/>
      <c r="G938" s="17"/>
      <c r="H938" s="17"/>
      <c r="I938" s="17"/>
      <c r="J938" s="17"/>
      <c r="K938" s="17"/>
      <c r="L938" s="17"/>
      <c r="M938" s="17"/>
    </row>
    <row r="939">
      <c r="A939" s="17"/>
      <c r="C939" s="17"/>
      <c r="D939" s="17"/>
      <c r="E939" s="17"/>
      <c r="F939" s="17"/>
      <c r="G939" s="17"/>
      <c r="H939" s="17"/>
      <c r="I939" s="17"/>
      <c r="J939" s="17"/>
      <c r="K939" s="17"/>
      <c r="L939" s="17"/>
      <c r="M939" s="17"/>
    </row>
    <row r="940">
      <c r="A940" s="17"/>
      <c r="C940" s="17"/>
      <c r="D940" s="17"/>
      <c r="E940" s="17"/>
      <c r="F940" s="17"/>
      <c r="G940" s="17"/>
      <c r="H940" s="17"/>
      <c r="I940" s="17"/>
      <c r="J940" s="17"/>
      <c r="K940" s="17"/>
      <c r="L940" s="17"/>
      <c r="M940" s="17"/>
    </row>
    <row r="941">
      <c r="A941" s="17"/>
      <c r="C941" s="17"/>
      <c r="D941" s="17"/>
      <c r="E941" s="17"/>
      <c r="F941" s="17"/>
      <c r="G941" s="17"/>
      <c r="H941" s="17"/>
      <c r="I941" s="17"/>
      <c r="J941" s="17"/>
      <c r="K941" s="17"/>
      <c r="L941" s="17"/>
      <c r="M941" s="17"/>
    </row>
    <row r="942">
      <c r="A942" s="17"/>
      <c r="C942" s="17"/>
      <c r="D942" s="17"/>
      <c r="E942" s="17"/>
      <c r="F942" s="17"/>
      <c r="G942" s="17"/>
      <c r="H942" s="17"/>
      <c r="I942" s="17"/>
      <c r="J942" s="17"/>
      <c r="K942" s="17"/>
      <c r="L942" s="17"/>
      <c r="M942" s="17"/>
    </row>
    <row r="943">
      <c r="A943" s="17"/>
      <c r="C943" s="17"/>
      <c r="D943" s="17"/>
      <c r="E943" s="17"/>
      <c r="F943" s="17"/>
      <c r="G943" s="17"/>
      <c r="H943" s="17"/>
      <c r="I943" s="17"/>
      <c r="J943" s="17"/>
      <c r="K943" s="17"/>
      <c r="L943" s="17"/>
      <c r="M943" s="17"/>
    </row>
    <row r="944">
      <c r="A944" s="17"/>
      <c r="C944" s="17"/>
      <c r="D944" s="17"/>
      <c r="E944" s="17"/>
      <c r="F944" s="17"/>
      <c r="G944" s="17"/>
      <c r="H944" s="17"/>
      <c r="I944" s="17"/>
      <c r="J944" s="17"/>
      <c r="K944" s="17"/>
      <c r="L944" s="17"/>
      <c r="M944" s="17"/>
    </row>
    <row r="945">
      <c r="A945" s="17"/>
      <c r="C945" s="17"/>
      <c r="D945" s="17"/>
      <c r="E945" s="17"/>
      <c r="F945" s="17"/>
      <c r="G945" s="17"/>
      <c r="H945" s="17"/>
      <c r="I945" s="17"/>
      <c r="J945" s="17"/>
      <c r="K945" s="17"/>
      <c r="L945" s="17"/>
      <c r="M945" s="17"/>
    </row>
    <row r="946">
      <c r="A946" s="17"/>
      <c r="C946" s="17"/>
      <c r="D946" s="17"/>
      <c r="E946" s="17"/>
      <c r="F946" s="17"/>
      <c r="G946" s="17"/>
      <c r="H946" s="17"/>
      <c r="I946" s="17"/>
      <c r="J946" s="17"/>
      <c r="K946" s="17"/>
      <c r="L946" s="17"/>
      <c r="M946" s="17"/>
    </row>
    <row r="947">
      <c r="A947" s="17"/>
      <c r="C947" s="17"/>
      <c r="D947" s="17"/>
      <c r="E947" s="17"/>
      <c r="F947" s="17"/>
      <c r="G947" s="17"/>
      <c r="H947" s="17"/>
      <c r="I947" s="17"/>
      <c r="J947" s="17"/>
      <c r="K947" s="17"/>
      <c r="L947" s="17"/>
      <c r="M947" s="17"/>
    </row>
    <row r="948">
      <c r="A948" s="17"/>
      <c r="C948" s="17"/>
      <c r="D948" s="17"/>
      <c r="E948" s="17"/>
      <c r="F948" s="17"/>
      <c r="G948" s="17"/>
      <c r="H948" s="17"/>
      <c r="I948" s="17"/>
      <c r="J948" s="17"/>
      <c r="K948" s="17"/>
      <c r="L948" s="17"/>
      <c r="M948" s="17"/>
    </row>
    <row r="949">
      <c r="A949" s="17"/>
      <c r="C949" s="17"/>
      <c r="D949" s="17"/>
      <c r="E949" s="17"/>
      <c r="F949" s="17"/>
      <c r="G949" s="17"/>
      <c r="H949" s="17"/>
      <c r="I949" s="17"/>
      <c r="J949" s="17"/>
      <c r="K949" s="17"/>
      <c r="L949" s="17"/>
      <c r="M949" s="17"/>
    </row>
    <row r="950">
      <c r="A950" s="17"/>
      <c r="C950" s="17"/>
      <c r="D950" s="17"/>
      <c r="E950" s="17"/>
      <c r="F950" s="17"/>
      <c r="G950" s="17"/>
      <c r="H950" s="17"/>
      <c r="I950" s="17"/>
      <c r="J950" s="17"/>
      <c r="K950" s="17"/>
      <c r="L950" s="17"/>
      <c r="M950" s="17"/>
    </row>
    <row r="951">
      <c r="A951" s="17"/>
      <c r="C951" s="17"/>
      <c r="D951" s="17"/>
      <c r="E951" s="17"/>
      <c r="F951" s="17"/>
      <c r="G951" s="17"/>
      <c r="H951" s="17"/>
      <c r="I951" s="17"/>
      <c r="J951" s="17"/>
      <c r="K951" s="17"/>
      <c r="L951" s="17"/>
      <c r="M951" s="17"/>
    </row>
    <row r="952">
      <c r="A952" s="17"/>
      <c r="C952" s="17"/>
      <c r="D952" s="17"/>
      <c r="E952" s="17"/>
      <c r="F952" s="17"/>
      <c r="G952" s="17"/>
      <c r="H952" s="17"/>
      <c r="I952" s="17"/>
      <c r="J952" s="17"/>
      <c r="K952" s="17"/>
      <c r="L952" s="17"/>
      <c r="M952" s="17"/>
    </row>
    <row r="953">
      <c r="A953" s="17"/>
      <c r="C953" s="17"/>
      <c r="D953" s="17"/>
      <c r="E953" s="17"/>
      <c r="F953" s="17"/>
      <c r="G953" s="17"/>
      <c r="H953" s="17"/>
      <c r="I953" s="17"/>
      <c r="J953" s="17"/>
      <c r="K953" s="17"/>
      <c r="L953" s="17"/>
      <c r="M953" s="17"/>
    </row>
    <row r="954">
      <c r="A954" s="17"/>
      <c r="C954" s="17"/>
      <c r="D954" s="17"/>
      <c r="E954" s="17"/>
      <c r="F954" s="17"/>
      <c r="G954" s="17"/>
      <c r="H954" s="17"/>
      <c r="I954" s="17"/>
      <c r="J954" s="17"/>
      <c r="K954" s="17"/>
      <c r="L954" s="17"/>
      <c r="M954" s="17"/>
    </row>
    <row r="955">
      <c r="A955" s="17"/>
      <c r="C955" s="17"/>
      <c r="D955" s="17"/>
      <c r="E955" s="17"/>
      <c r="F955" s="17"/>
      <c r="G955" s="17"/>
      <c r="H955" s="17"/>
      <c r="I955" s="17"/>
      <c r="J955" s="17"/>
      <c r="K955" s="17"/>
      <c r="L955" s="17"/>
      <c r="M955" s="17"/>
    </row>
    <row r="956">
      <c r="A956" s="17"/>
      <c r="C956" s="17"/>
      <c r="D956" s="17"/>
      <c r="E956" s="17"/>
      <c r="F956" s="17"/>
      <c r="G956" s="17"/>
      <c r="H956" s="17"/>
      <c r="I956" s="17"/>
      <c r="J956" s="17"/>
      <c r="K956" s="17"/>
      <c r="L956" s="17"/>
      <c r="M956" s="17"/>
    </row>
    <row r="957">
      <c r="A957" s="17"/>
      <c r="C957" s="17"/>
      <c r="D957" s="17"/>
      <c r="E957" s="17"/>
      <c r="F957" s="17"/>
      <c r="G957" s="17"/>
      <c r="H957" s="17"/>
      <c r="I957" s="17"/>
      <c r="J957" s="17"/>
      <c r="K957" s="17"/>
      <c r="L957" s="17"/>
      <c r="M957" s="17"/>
    </row>
    <row r="958">
      <c r="A958" s="17"/>
      <c r="C958" s="17"/>
      <c r="D958" s="17"/>
      <c r="E958" s="17"/>
      <c r="F958" s="17"/>
      <c r="G958" s="17"/>
      <c r="H958" s="17"/>
      <c r="I958" s="17"/>
      <c r="J958" s="17"/>
      <c r="K958" s="17"/>
      <c r="L958" s="17"/>
      <c r="M958" s="17"/>
    </row>
    <row r="959">
      <c r="A959" s="17"/>
      <c r="C959" s="17"/>
      <c r="D959" s="17"/>
      <c r="E959" s="17"/>
      <c r="F959" s="17"/>
      <c r="G959" s="17"/>
      <c r="H959" s="17"/>
      <c r="I959" s="17"/>
      <c r="J959" s="17"/>
      <c r="K959" s="17"/>
      <c r="L959" s="17"/>
      <c r="M959" s="17"/>
    </row>
    <row r="960">
      <c r="A960" s="17"/>
      <c r="C960" s="17"/>
      <c r="D960" s="17"/>
      <c r="E960" s="17"/>
      <c r="F960" s="17"/>
      <c r="G960" s="17"/>
      <c r="H960" s="17"/>
      <c r="I960" s="17"/>
      <c r="J960" s="17"/>
      <c r="K960" s="17"/>
      <c r="L960" s="17"/>
      <c r="M960" s="17"/>
    </row>
    <row r="961">
      <c r="A961" s="17"/>
      <c r="C961" s="17"/>
      <c r="D961" s="17"/>
      <c r="E961" s="17"/>
      <c r="F961" s="17"/>
      <c r="G961" s="17"/>
      <c r="H961" s="17"/>
      <c r="I961" s="17"/>
      <c r="J961" s="17"/>
      <c r="K961" s="17"/>
      <c r="L961" s="17"/>
      <c r="M961" s="17"/>
    </row>
    <row r="962">
      <c r="A962" s="17"/>
      <c r="C962" s="17"/>
      <c r="D962" s="17"/>
      <c r="E962" s="17"/>
      <c r="F962" s="17"/>
      <c r="G962" s="17"/>
      <c r="H962" s="17"/>
      <c r="I962" s="17"/>
      <c r="J962" s="17"/>
      <c r="K962" s="17"/>
      <c r="L962" s="17"/>
      <c r="M962" s="17"/>
    </row>
    <row r="963">
      <c r="A963" s="17"/>
      <c r="C963" s="17"/>
      <c r="D963" s="17"/>
      <c r="E963" s="17"/>
      <c r="F963" s="17"/>
      <c r="G963" s="17"/>
      <c r="H963" s="17"/>
      <c r="I963" s="17"/>
      <c r="J963" s="17"/>
      <c r="K963" s="17"/>
      <c r="L963" s="17"/>
      <c r="M963" s="17"/>
    </row>
    <row r="964">
      <c r="A964" s="17"/>
      <c r="C964" s="17"/>
      <c r="D964" s="17"/>
      <c r="E964" s="17"/>
      <c r="F964" s="17"/>
      <c r="G964" s="17"/>
      <c r="H964" s="17"/>
      <c r="I964" s="17"/>
      <c r="J964" s="17"/>
      <c r="K964" s="17"/>
      <c r="L964" s="17"/>
      <c r="M964" s="17"/>
    </row>
    <row r="965">
      <c r="A965" s="17"/>
      <c r="C965" s="17"/>
      <c r="D965" s="17"/>
      <c r="E965" s="17"/>
      <c r="F965" s="17"/>
      <c r="G965" s="17"/>
      <c r="H965" s="17"/>
      <c r="I965" s="17"/>
      <c r="J965" s="17"/>
      <c r="K965" s="17"/>
      <c r="L965" s="17"/>
      <c r="M965" s="17"/>
    </row>
    <row r="966">
      <c r="A966" s="17"/>
      <c r="C966" s="17"/>
      <c r="D966" s="17"/>
      <c r="E966" s="17"/>
      <c r="F966" s="17"/>
      <c r="G966" s="17"/>
      <c r="H966" s="17"/>
      <c r="I966" s="17"/>
      <c r="J966" s="17"/>
      <c r="K966" s="17"/>
      <c r="L966" s="17"/>
      <c r="M966" s="17"/>
    </row>
    <row r="967">
      <c r="A967" s="17"/>
      <c r="C967" s="17"/>
      <c r="D967" s="17"/>
      <c r="E967" s="17"/>
      <c r="F967" s="17"/>
      <c r="G967" s="17"/>
      <c r="H967" s="17"/>
      <c r="I967" s="17"/>
      <c r="J967" s="17"/>
      <c r="K967" s="17"/>
      <c r="L967" s="17"/>
      <c r="M967" s="17"/>
    </row>
    <row r="968">
      <c r="A968" s="17"/>
      <c r="C968" s="17"/>
      <c r="D968" s="17"/>
      <c r="E968" s="17"/>
      <c r="F968" s="17"/>
      <c r="G968" s="17"/>
      <c r="H968" s="17"/>
      <c r="I968" s="17"/>
      <c r="J968" s="17"/>
      <c r="K968" s="17"/>
      <c r="L968" s="17"/>
      <c r="M968" s="17"/>
    </row>
    <row r="969">
      <c r="A969" s="17"/>
      <c r="C969" s="17"/>
      <c r="D969" s="17"/>
      <c r="E969" s="17"/>
      <c r="F969" s="17"/>
      <c r="G969" s="17"/>
      <c r="H969" s="17"/>
      <c r="I969" s="17"/>
      <c r="J969" s="17"/>
      <c r="K969" s="17"/>
      <c r="L969" s="17"/>
      <c r="M969" s="17"/>
    </row>
    <row r="970">
      <c r="A970" s="17"/>
      <c r="C970" s="17"/>
      <c r="D970" s="17"/>
      <c r="E970" s="17"/>
      <c r="F970" s="17"/>
      <c r="G970" s="17"/>
      <c r="H970" s="17"/>
      <c r="I970" s="17"/>
      <c r="J970" s="17"/>
      <c r="K970" s="17"/>
      <c r="L970" s="17"/>
      <c r="M970" s="17"/>
    </row>
    <row r="971">
      <c r="A971" s="17"/>
      <c r="C971" s="17"/>
      <c r="D971" s="17"/>
      <c r="E971" s="17"/>
      <c r="F971" s="17"/>
      <c r="G971" s="17"/>
      <c r="H971" s="17"/>
      <c r="I971" s="17"/>
      <c r="J971" s="17"/>
      <c r="K971" s="17"/>
      <c r="L971" s="17"/>
      <c r="M971" s="17"/>
    </row>
    <row r="972">
      <c r="A972" s="17"/>
      <c r="C972" s="17"/>
      <c r="D972" s="17"/>
      <c r="E972" s="17"/>
      <c r="F972" s="17"/>
      <c r="G972" s="17"/>
      <c r="H972" s="17"/>
      <c r="I972" s="17"/>
      <c r="J972" s="17"/>
      <c r="K972" s="17"/>
      <c r="L972" s="17"/>
      <c r="M972" s="17"/>
    </row>
    <row r="973">
      <c r="A973" s="17"/>
      <c r="C973" s="17"/>
      <c r="D973" s="17"/>
      <c r="E973" s="17"/>
      <c r="F973" s="17"/>
      <c r="G973" s="17"/>
      <c r="H973" s="17"/>
      <c r="I973" s="17"/>
      <c r="J973" s="17"/>
      <c r="K973" s="17"/>
      <c r="L973" s="17"/>
      <c r="M973" s="17"/>
    </row>
    <row r="974">
      <c r="A974" s="17"/>
      <c r="C974" s="17"/>
      <c r="D974" s="17"/>
      <c r="E974" s="17"/>
      <c r="F974" s="17"/>
      <c r="G974" s="17"/>
      <c r="H974" s="17"/>
      <c r="I974" s="17"/>
      <c r="J974" s="17"/>
      <c r="K974" s="17"/>
      <c r="L974" s="17"/>
      <c r="M974" s="17"/>
    </row>
    <row r="975">
      <c r="A975" s="17"/>
      <c r="C975" s="17"/>
      <c r="D975" s="17"/>
      <c r="E975" s="17"/>
      <c r="F975" s="17"/>
      <c r="G975" s="17"/>
      <c r="H975" s="17"/>
      <c r="I975" s="17"/>
      <c r="J975" s="17"/>
      <c r="K975" s="17"/>
      <c r="L975" s="17"/>
      <c r="M975" s="17"/>
    </row>
    <row r="976">
      <c r="A976" s="17"/>
      <c r="C976" s="17"/>
      <c r="D976" s="17"/>
      <c r="E976" s="17"/>
      <c r="F976" s="17"/>
      <c r="G976" s="17"/>
      <c r="H976" s="17"/>
      <c r="I976" s="17"/>
      <c r="J976" s="17"/>
      <c r="K976" s="17"/>
      <c r="L976" s="17"/>
      <c r="M976" s="17"/>
    </row>
    <row r="977">
      <c r="A977" s="17"/>
      <c r="C977" s="17"/>
      <c r="D977" s="17"/>
      <c r="E977" s="17"/>
      <c r="F977" s="17"/>
      <c r="G977" s="17"/>
      <c r="H977" s="17"/>
      <c r="I977" s="17"/>
      <c r="J977" s="17"/>
      <c r="K977" s="17"/>
      <c r="L977" s="17"/>
      <c r="M977" s="17"/>
    </row>
    <row r="978">
      <c r="A978" s="17"/>
      <c r="C978" s="17"/>
      <c r="D978" s="17"/>
      <c r="E978" s="17"/>
      <c r="F978" s="17"/>
      <c r="G978" s="17"/>
      <c r="H978" s="17"/>
      <c r="I978" s="17"/>
      <c r="J978" s="17"/>
      <c r="K978" s="17"/>
      <c r="L978" s="17"/>
      <c r="M978" s="17"/>
    </row>
    <row r="979">
      <c r="A979" s="17"/>
      <c r="C979" s="17"/>
      <c r="D979" s="17"/>
      <c r="E979" s="17"/>
      <c r="F979" s="17"/>
      <c r="G979" s="17"/>
      <c r="H979" s="17"/>
      <c r="I979" s="17"/>
      <c r="J979" s="17"/>
      <c r="K979" s="17"/>
      <c r="L979" s="17"/>
      <c r="M979" s="17"/>
    </row>
    <row r="980">
      <c r="A980" s="17"/>
      <c r="C980" s="17"/>
      <c r="D980" s="17"/>
      <c r="E980" s="17"/>
      <c r="F980" s="17"/>
      <c r="G980" s="17"/>
      <c r="H980" s="17"/>
      <c r="I980" s="17"/>
      <c r="J980" s="17"/>
      <c r="K980" s="17"/>
      <c r="L980" s="17"/>
      <c r="M980" s="17"/>
    </row>
    <row r="981">
      <c r="A981" s="17"/>
      <c r="C981" s="17"/>
      <c r="D981" s="17"/>
      <c r="E981" s="17"/>
      <c r="F981" s="17"/>
      <c r="G981" s="17"/>
      <c r="H981" s="17"/>
      <c r="I981" s="17"/>
      <c r="J981" s="17"/>
      <c r="K981" s="17"/>
      <c r="L981" s="17"/>
      <c r="M981" s="17"/>
    </row>
    <row r="982">
      <c r="A982" s="17"/>
      <c r="C982" s="17"/>
      <c r="D982" s="17"/>
      <c r="E982" s="17"/>
      <c r="F982" s="17"/>
      <c r="G982" s="17"/>
      <c r="H982" s="17"/>
      <c r="I982" s="17"/>
      <c r="J982" s="17"/>
      <c r="K982" s="17"/>
      <c r="L982" s="17"/>
      <c r="M982" s="17"/>
    </row>
    <row r="983">
      <c r="A983" s="17"/>
      <c r="C983" s="17"/>
      <c r="D983" s="17"/>
      <c r="E983" s="17"/>
      <c r="F983" s="17"/>
      <c r="G983" s="17"/>
      <c r="H983" s="17"/>
      <c r="I983" s="17"/>
      <c r="J983" s="17"/>
      <c r="K983" s="17"/>
      <c r="L983" s="17"/>
      <c r="M983" s="17"/>
    </row>
    <row r="984">
      <c r="A984" s="17"/>
      <c r="C984" s="17"/>
      <c r="D984" s="17"/>
      <c r="E984" s="17"/>
      <c r="F984" s="17"/>
      <c r="G984" s="17"/>
      <c r="H984" s="17"/>
      <c r="I984" s="17"/>
      <c r="J984" s="17"/>
      <c r="K984" s="17"/>
      <c r="L984" s="17"/>
      <c r="M984" s="17"/>
    </row>
    <row r="985">
      <c r="A985" s="17"/>
      <c r="C985" s="17"/>
      <c r="D985" s="17"/>
      <c r="E985" s="17"/>
      <c r="F985" s="17"/>
      <c r="G985" s="17"/>
      <c r="H985" s="17"/>
      <c r="I985" s="17"/>
      <c r="J985" s="17"/>
      <c r="K985" s="17"/>
      <c r="L985" s="17"/>
      <c r="M985" s="17"/>
    </row>
    <row r="986">
      <c r="A986" s="17"/>
      <c r="C986" s="17"/>
      <c r="D986" s="17"/>
      <c r="E986" s="17"/>
      <c r="F986" s="17"/>
      <c r="G986" s="17"/>
      <c r="H986" s="17"/>
      <c r="I986" s="17"/>
      <c r="J986" s="17"/>
      <c r="K986" s="17"/>
      <c r="L986" s="17"/>
      <c r="M986" s="17"/>
    </row>
    <row r="987">
      <c r="A987" s="17"/>
      <c r="C987" s="17"/>
      <c r="D987" s="17"/>
      <c r="E987" s="17"/>
      <c r="F987" s="17"/>
      <c r="G987" s="17"/>
      <c r="H987" s="17"/>
      <c r="I987" s="17"/>
      <c r="J987" s="17"/>
      <c r="K987" s="17"/>
      <c r="L987" s="17"/>
      <c r="M987" s="17"/>
    </row>
    <row r="988">
      <c r="A988" s="17"/>
      <c r="C988" s="17"/>
      <c r="D988" s="17"/>
      <c r="E988" s="17"/>
      <c r="F988" s="17"/>
      <c r="G988" s="17"/>
      <c r="H988" s="17"/>
      <c r="I988" s="17"/>
      <c r="J988" s="17"/>
      <c r="K988" s="17"/>
      <c r="L988" s="17"/>
      <c r="M988" s="17"/>
    </row>
    <row r="989">
      <c r="A989" s="17"/>
      <c r="C989" s="17"/>
      <c r="D989" s="17"/>
      <c r="E989" s="17"/>
      <c r="F989" s="17"/>
      <c r="G989" s="17"/>
      <c r="H989" s="17"/>
      <c r="I989" s="17"/>
      <c r="J989" s="17"/>
      <c r="K989" s="17"/>
      <c r="L989" s="17"/>
      <c r="M989" s="17"/>
    </row>
    <row r="990">
      <c r="A990" s="17"/>
      <c r="C990" s="17"/>
      <c r="D990" s="17"/>
      <c r="E990" s="17"/>
      <c r="F990" s="17"/>
      <c r="G990" s="17"/>
      <c r="H990" s="17"/>
      <c r="I990" s="17"/>
      <c r="J990" s="17"/>
      <c r="K990" s="17"/>
      <c r="L990" s="17"/>
      <c r="M990" s="17"/>
    </row>
    <row r="991">
      <c r="A991" s="17"/>
      <c r="C991" s="17"/>
      <c r="D991" s="17"/>
      <c r="E991" s="17"/>
      <c r="F991" s="17"/>
      <c r="G991" s="17"/>
      <c r="H991" s="17"/>
      <c r="I991" s="17"/>
      <c r="J991" s="17"/>
      <c r="K991" s="17"/>
      <c r="L991" s="17"/>
      <c r="M991" s="17"/>
    </row>
    <row r="992">
      <c r="A992" s="17"/>
      <c r="C992" s="17"/>
      <c r="D992" s="17"/>
      <c r="E992" s="17"/>
      <c r="F992" s="17"/>
      <c r="G992" s="17"/>
      <c r="H992" s="17"/>
      <c r="I992" s="17"/>
      <c r="J992" s="17"/>
      <c r="K992" s="17"/>
      <c r="L992" s="17"/>
      <c r="M992" s="17"/>
    </row>
    <row r="993">
      <c r="A993" s="17"/>
      <c r="C993" s="17"/>
      <c r="D993" s="17"/>
      <c r="E993" s="17"/>
      <c r="F993" s="17"/>
      <c r="G993" s="17"/>
      <c r="H993" s="17"/>
      <c r="I993" s="17"/>
      <c r="J993" s="17"/>
      <c r="K993" s="17"/>
      <c r="L993" s="17"/>
      <c r="M993" s="17"/>
    </row>
    <row r="994">
      <c r="A994" s="17"/>
      <c r="C994" s="17"/>
      <c r="D994" s="17"/>
      <c r="E994" s="17"/>
      <c r="F994" s="17"/>
      <c r="G994" s="17"/>
      <c r="H994" s="17"/>
      <c r="I994" s="17"/>
      <c r="J994" s="17"/>
      <c r="K994" s="17"/>
      <c r="L994" s="17"/>
      <c r="M994" s="17"/>
    </row>
    <row r="995">
      <c r="A995" s="17"/>
      <c r="C995" s="17"/>
      <c r="D995" s="17"/>
      <c r="E995" s="17"/>
      <c r="F995" s="17"/>
      <c r="G995" s="17"/>
      <c r="H995" s="17"/>
      <c r="I995" s="17"/>
      <c r="J995" s="17"/>
      <c r="K995" s="17"/>
      <c r="L995" s="17"/>
      <c r="M995" s="17"/>
    </row>
    <row r="996">
      <c r="A996" s="17"/>
      <c r="C996" s="17"/>
      <c r="D996" s="17"/>
      <c r="E996" s="17"/>
      <c r="F996" s="17"/>
      <c r="G996" s="17"/>
      <c r="H996" s="17"/>
      <c r="I996" s="17"/>
      <c r="J996" s="17"/>
      <c r="K996" s="17"/>
      <c r="L996" s="17"/>
      <c r="M996" s="17"/>
    </row>
    <row r="997">
      <c r="A997" s="17"/>
      <c r="C997" s="17"/>
      <c r="D997" s="17"/>
      <c r="E997" s="17"/>
      <c r="F997" s="17"/>
      <c r="G997" s="17"/>
      <c r="H997" s="17"/>
      <c r="I997" s="17"/>
      <c r="J997" s="17"/>
      <c r="K997" s="17"/>
      <c r="L997" s="17"/>
      <c r="M997" s="17"/>
    </row>
    <row r="998">
      <c r="A998" s="17"/>
      <c r="C998" s="17"/>
      <c r="D998" s="17"/>
      <c r="E998" s="17"/>
      <c r="F998" s="17"/>
      <c r="G998" s="17"/>
      <c r="H998" s="17"/>
      <c r="I998" s="17"/>
      <c r="J998" s="17"/>
      <c r="K998" s="17"/>
      <c r="L998" s="17"/>
      <c r="M998" s="17"/>
    </row>
    <row r="999">
      <c r="A999" s="17"/>
      <c r="C999" s="17"/>
      <c r="D999" s="17"/>
      <c r="E999" s="17"/>
      <c r="F999" s="17"/>
      <c r="G999" s="17"/>
      <c r="H999" s="17"/>
      <c r="I999" s="17"/>
      <c r="J999" s="17"/>
      <c r="K999" s="17"/>
      <c r="L999" s="17"/>
      <c r="M999" s="17"/>
    </row>
    <row r="1000">
      <c r="A1000" s="17"/>
      <c r="C1000" s="17"/>
      <c r="D1000" s="17"/>
      <c r="E1000" s="17"/>
      <c r="F1000" s="17"/>
      <c r="G1000" s="17"/>
      <c r="H1000" s="17"/>
      <c r="I1000" s="17"/>
      <c r="J1000" s="17"/>
      <c r="K1000" s="17"/>
      <c r="L1000" s="17"/>
      <c r="M1000" s="17"/>
    </row>
    <row r="1001">
      <c r="A1001" s="17"/>
      <c r="C1001" s="17"/>
      <c r="D1001" s="17"/>
      <c r="E1001" s="17"/>
      <c r="F1001" s="17"/>
      <c r="G1001" s="17"/>
      <c r="H1001" s="17"/>
      <c r="I1001" s="17"/>
      <c r="J1001" s="17"/>
      <c r="K1001" s="17"/>
      <c r="L1001" s="17"/>
      <c r="M1001" s="17"/>
    </row>
    <row r="1002">
      <c r="A1002" s="17"/>
      <c r="C1002" s="17"/>
      <c r="D1002" s="17"/>
      <c r="E1002" s="17"/>
      <c r="F1002" s="17"/>
      <c r="G1002" s="17"/>
      <c r="H1002" s="17"/>
      <c r="I1002" s="17"/>
      <c r="J1002" s="17"/>
      <c r="K1002" s="17"/>
      <c r="L1002" s="17"/>
      <c r="M1002" s="17"/>
    </row>
    <row r="1003">
      <c r="A1003" s="17"/>
      <c r="C1003" s="17"/>
      <c r="D1003" s="17"/>
      <c r="E1003" s="17"/>
      <c r="F1003" s="17"/>
      <c r="G1003" s="17"/>
      <c r="H1003" s="17"/>
      <c r="I1003" s="17"/>
      <c r="J1003" s="17"/>
      <c r="K1003" s="17"/>
      <c r="L1003" s="17"/>
      <c r="M1003" s="17"/>
    </row>
    <row r="1004">
      <c r="A1004" s="17"/>
      <c r="C1004" s="17"/>
      <c r="D1004" s="17"/>
      <c r="E1004" s="17"/>
      <c r="F1004" s="17"/>
      <c r="G1004" s="17"/>
      <c r="H1004" s="17"/>
      <c r="I1004" s="17"/>
      <c r="J1004" s="17"/>
      <c r="K1004" s="17"/>
      <c r="L1004" s="17"/>
      <c r="M1004" s="17"/>
    </row>
    <row r="1005">
      <c r="A1005" s="17"/>
      <c r="C1005" s="17"/>
      <c r="D1005" s="17"/>
      <c r="E1005" s="17"/>
      <c r="F1005" s="17"/>
      <c r="G1005" s="17"/>
      <c r="H1005" s="17"/>
      <c r="I1005" s="17"/>
      <c r="J1005" s="17"/>
      <c r="K1005" s="17"/>
      <c r="L1005" s="17"/>
      <c r="M1005" s="17"/>
    </row>
    <row r="1006">
      <c r="A1006" s="17"/>
      <c r="C1006" s="17"/>
      <c r="D1006" s="17"/>
      <c r="E1006" s="17"/>
      <c r="F1006" s="17"/>
      <c r="G1006" s="17"/>
      <c r="H1006" s="17"/>
      <c r="I1006" s="17"/>
      <c r="J1006" s="17"/>
      <c r="K1006" s="17"/>
      <c r="L1006" s="17"/>
      <c r="M1006" s="17"/>
    </row>
    <row r="1007">
      <c r="A1007" s="17"/>
      <c r="C1007" s="17"/>
      <c r="D1007" s="17"/>
      <c r="E1007" s="17"/>
      <c r="F1007" s="17"/>
      <c r="G1007" s="17"/>
      <c r="H1007" s="17"/>
      <c r="I1007" s="17"/>
      <c r="J1007" s="17"/>
      <c r="K1007" s="17"/>
      <c r="L1007" s="17"/>
      <c r="M1007" s="17"/>
    </row>
    <row r="1008">
      <c r="A1008" s="17"/>
      <c r="C1008" s="17"/>
      <c r="D1008" s="17"/>
      <c r="E1008" s="17"/>
      <c r="F1008" s="17"/>
      <c r="G1008" s="17"/>
      <c r="H1008" s="17"/>
      <c r="I1008" s="17"/>
      <c r="J1008" s="17"/>
      <c r="K1008" s="17"/>
      <c r="L1008" s="17"/>
      <c r="M1008" s="17"/>
    </row>
    <row r="1009">
      <c r="A1009" s="17"/>
      <c r="C1009" s="17"/>
      <c r="D1009" s="17"/>
      <c r="E1009" s="17"/>
      <c r="F1009" s="17"/>
      <c r="G1009" s="17"/>
      <c r="H1009" s="17"/>
      <c r="I1009" s="17"/>
      <c r="J1009" s="17"/>
      <c r="K1009" s="17"/>
      <c r="L1009" s="17"/>
      <c r="M1009" s="17"/>
    </row>
    <row r="1010">
      <c r="A1010" s="17"/>
      <c r="C1010" s="17"/>
      <c r="D1010" s="17"/>
      <c r="E1010" s="17"/>
      <c r="F1010" s="17"/>
      <c r="G1010" s="17"/>
      <c r="H1010" s="17"/>
      <c r="I1010" s="17"/>
      <c r="J1010" s="17"/>
      <c r="K1010" s="17"/>
      <c r="L1010" s="17"/>
      <c r="M1010" s="17"/>
    </row>
    <row r="1011">
      <c r="A1011" s="17"/>
      <c r="C1011" s="17"/>
      <c r="D1011" s="17"/>
      <c r="E1011" s="17"/>
      <c r="F1011" s="17"/>
      <c r="G1011" s="17"/>
      <c r="H1011" s="17"/>
      <c r="I1011" s="17"/>
      <c r="J1011" s="17"/>
      <c r="K1011" s="17"/>
      <c r="L1011" s="17"/>
      <c r="M1011" s="17"/>
    </row>
    <row r="1012">
      <c r="A1012" s="17"/>
      <c r="C1012" s="17"/>
      <c r="D1012" s="17"/>
      <c r="E1012" s="17"/>
      <c r="F1012" s="17"/>
      <c r="G1012" s="17"/>
      <c r="H1012" s="17"/>
      <c r="I1012" s="17"/>
      <c r="J1012" s="17"/>
      <c r="K1012" s="17"/>
      <c r="L1012" s="17"/>
      <c r="M1012" s="17"/>
    </row>
    <row r="1013">
      <c r="A1013" s="17"/>
      <c r="C1013" s="17"/>
      <c r="D1013" s="17"/>
      <c r="E1013" s="17"/>
      <c r="F1013" s="17"/>
      <c r="G1013" s="17"/>
      <c r="H1013" s="17"/>
      <c r="I1013" s="17"/>
      <c r="J1013" s="17"/>
      <c r="K1013" s="17"/>
      <c r="L1013" s="17"/>
      <c r="M1013" s="17"/>
    </row>
    <row r="1014">
      <c r="A1014" s="17"/>
      <c r="C1014" s="17"/>
      <c r="D1014" s="17"/>
      <c r="E1014" s="17"/>
      <c r="F1014" s="17"/>
      <c r="G1014" s="17"/>
      <c r="H1014" s="17"/>
      <c r="I1014" s="17"/>
      <c r="J1014" s="17"/>
      <c r="K1014" s="17"/>
      <c r="L1014" s="17"/>
      <c r="M1014" s="17"/>
    </row>
    <row r="1015">
      <c r="A1015" s="17"/>
      <c r="C1015" s="17"/>
      <c r="D1015" s="17"/>
      <c r="E1015" s="17"/>
      <c r="F1015" s="17"/>
      <c r="G1015" s="17"/>
      <c r="H1015" s="17"/>
      <c r="I1015" s="17"/>
      <c r="J1015" s="17"/>
      <c r="K1015" s="17"/>
      <c r="L1015" s="17"/>
      <c r="M1015" s="17"/>
    </row>
    <row r="1016">
      <c r="A1016" s="17"/>
      <c r="C1016" s="17"/>
      <c r="D1016" s="17"/>
      <c r="E1016" s="17"/>
      <c r="F1016" s="17"/>
      <c r="G1016" s="17"/>
      <c r="H1016" s="17"/>
      <c r="I1016" s="17"/>
      <c r="J1016" s="17"/>
      <c r="K1016" s="17"/>
      <c r="L1016" s="17"/>
      <c r="M1016" s="17"/>
    </row>
    <row r="1017">
      <c r="A1017" s="17"/>
      <c r="C1017" s="17"/>
      <c r="D1017" s="17"/>
      <c r="E1017" s="17"/>
      <c r="F1017" s="17"/>
      <c r="G1017" s="17"/>
      <c r="H1017" s="17"/>
      <c r="I1017" s="17"/>
      <c r="J1017" s="17"/>
      <c r="K1017" s="17"/>
      <c r="L1017" s="17"/>
      <c r="M1017" s="17"/>
    </row>
    <row r="1018">
      <c r="A1018" s="17"/>
      <c r="C1018" s="17"/>
      <c r="D1018" s="17"/>
      <c r="E1018" s="17"/>
      <c r="F1018" s="17"/>
      <c r="G1018" s="17"/>
      <c r="H1018" s="17"/>
      <c r="I1018" s="17"/>
      <c r="J1018" s="17"/>
      <c r="K1018" s="17"/>
      <c r="L1018" s="17"/>
      <c r="M1018" s="17"/>
    </row>
    <row r="1019">
      <c r="A1019" s="17"/>
      <c r="C1019" s="17"/>
      <c r="D1019" s="17"/>
      <c r="E1019" s="17"/>
      <c r="F1019" s="17"/>
      <c r="G1019" s="17"/>
      <c r="H1019" s="17"/>
      <c r="I1019" s="17"/>
      <c r="J1019" s="17"/>
      <c r="K1019" s="17"/>
      <c r="L1019" s="17"/>
      <c r="M1019" s="17"/>
    </row>
    <row r="1020">
      <c r="A1020" s="17"/>
      <c r="C1020" s="17"/>
      <c r="D1020" s="17"/>
      <c r="E1020" s="17"/>
      <c r="F1020" s="17"/>
      <c r="G1020" s="17"/>
      <c r="H1020" s="17"/>
      <c r="I1020" s="17"/>
      <c r="J1020" s="17"/>
      <c r="K1020" s="17"/>
      <c r="L1020" s="17"/>
      <c r="M1020" s="17"/>
    </row>
    <row r="1021">
      <c r="A1021" s="17"/>
      <c r="C1021" s="17"/>
      <c r="D1021" s="17"/>
      <c r="E1021" s="17"/>
      <c r="F1021" s="17"/>
      <c r="G1021" s="17"/>
      <c r="H1021" s="17"/>
      <c r="I1021" s="17"/>
      <c r="J1021" s="17"/>
      <c r="K1021" s="17"/>
      <c r="L1021" s="17"/>
      <c r="M1021" s="17"/>
    </row>
    <row r="1022">
      <c r="A1022" s="17"/>
      <c r="C1022" s="17"/>
      <c r="D1022" s="17"/>
      <c r="E1022" s="17"/>
      <c r="F1022" s="17"/>
      <c r="G1022" s="17"/>
      <c r="H1022" s="17"/>
      <c r="I1022" s="17"/>
      <c r="J1022" s="17"/>
      <c r="K1022" s="17"/>
      <c r="L1022" s="17"/>
      <c r="M1022" s="17"/>
    </row>
    <row r="1023">
      <c r="A1023" s="17"/>
      <c r="C1023" s="17"/>
      <c r="D1023" s="17"/>
      <c r="E1023" s="17"/>
      <c r="F1023" s="17"/>
      <c r="G1023" s="17"/>
      <c r="H1023" s="17"/>
      <c r="I1023" s="17"/>
      <c r="J1023" s="17"/>
      <c r="K1023" s="17"/>
      <c r="L1023" s="17"/>
      <c r="M1023" s="17"/>
    </row>
    <row r="1024">
      <c r="A1024" s="17"/>
      <c r="C1024" s="17"/>
      <c r="D1024" s="17"/>
      <c r="E1024" s="17"/>
      <c r="F1024" s="17"/>
      <c r="G1024" s="17"/>
      <c r="H1024" s="17"/>
      <c r="I1024" s="17"/>
      <c r="J1024" s="17"/>
      <c r="K1024" s="17"/>
      <c r="L1024" s="17"/>
      <c r="M1024" s="17"/>
    </row>
    <row r="1025">
      <c r="A1025" s="17"/>
      <c r="C1025" s="17"/>
      <c r="D1025" s="17"/>
      <c r="E1025" s="17"/>
      <c r="F1025" s="17"/>
      <c r="G1025" s="17"/>
      <c r="H1025" s="17"/>
      <c r="I1025" s="17"/>
      <c r="J1025" s="17"/>
      <c r="K1025" s="17"/>
      <c r="L1025" s="17"/>
      <c r="M1025" s="17"/>
    </row>
    <row r="1026">
      <c r="A1026" s="17"/>
      <c r="C1026" s="17"/>
      <c r="D1026" s="17"/>
      <c r="E1026" s="17"/>
      <c r="F1026" s="17"/>
      <c r="G1026" s="17"/>
      <c r="H1026" s="17"/>
      <c r="I1026" s="17"/>
      <c r="J1026" s="17"/>
      <c r="K1026" s="17"/>
      <c r="L1026" s="17"/>
      <c r="M1026" s="17"/>
    </row>
    <row r="1027">
      <c r="A1027" s="17"/>
      <c r="C1027" s="17"/>
      <c r="D1027" s="17"/>
      <c r="E1027" s="17"/>
      <c r="F1027" s="17"/>
      <c r="G1027" s="17"/>
      <c r="H1027" s="17"/>
      <c r="I1027" s="17"/>
      <c r="J1027" s="17"/>
      <c r="K1027" s="17"/>
      <c r="L1027" s="17"/>
      <c r="M1027" s="17"/>
    </row>
    <row r="1028">
      <c r="A1028" s="17"/>
      <c r="C1028" s="17"/>
      <c r="D1028" s="17"/>
      <c r="E1028" s="17"/>
      <c r="F1028" s="17"/>
      <c r="G1028" s="17"/>
      <c r="H1028" s="17"/>
      <c r="I1028" s="17"/>
      <c r="J1028" s="17"/>
      <c r="K1028" s="17"/>
      <c r="L1028" s="17"/>
      <c r="M1028" s="17"/>
    </row>
    <row r="1029">
      <c r="A1029" s="17"/>
      <c r="C1029" s="17"/>
      <c r="D1029" s="17"/>
      <c r="E1029" s="17"/>
      <c r="F1029" s="17"/>
      <c r="G1029" s="17"/>
      <c r="H1029" s="17"/>
      <c r="I1029" s="17"/>
      <c r="J1029" s="17"/>
      <c r="K1029" s="17"/>
      <c r="L1029" s="17"/>
      <c r="M1029" s="17"/>
    </row>
    <row r="1030">
      <c r="A1030" s="17"/>
      <c r="C1030" s="17"/>
      <c r="D1030" s="17"/>
      <c r="E1030" s="17"/>
      <c r="F1030" s="17"/>
      <c r="G1030" s="17"/>
      <c r="H1030" s="17"/>
      <c r="I1030" s="17"/>
      <c r="J1030" s="17"/>
      <c r="K1030" s="17"/>
      <c r="L1030" s="17"/>
      <c r="M1030" s="17"/>
    </row>
    <row r="1031">
      <c r="A1031" s="17"/>
      <c r="C1031" s="17"/>
      <c r="D1031" s="17"/>
      <c r="E1031" s="17"/>
      <c r="F1031" s="17"/>
      <c r="G1031" s="17"/>
      <c r="H1031" s="17"/>
      <c r="I1031" s="17"/>
      <c r="J1031" s="17"/>
      <c r="K1031" s="17"/>
      <c r="L1031" s="17"/>
      <c r="M1031" s="17"/>
    </row>
    <row r="1032">
      <c r="A1032" s="17"/>
      <c r="C1032" s="17"/>
      <c r="D1032" s="17"/>
      <c r="E1032" s="17"/>
      <c r="F1032" s="17"/>
      <c r="G1032" s="17"/>
      <c r="H1032" s="17"/>
      <c r="I1032" s="17"/>
      <c r="J1032" s="17"/>
      <c r="K1032" s="17"/>
      <c r="L1032" s="17"/>
      <c r="M1032" s="17"/>
    </row>
    <row r="1033">
      <c r="A1033" s="17"/>
      <c r="C1033" s="17"/>
      <c r="D1033" s="17"/>
      <c r="E1033" s="17"/>
      <c r="F1033" s="17"/>
      <c r="G1033" s="17"/>
      <c r="H1033" s="17"/>
      <c r="I1033" s="17"/>
      <c r="J1033" s="17"/>
      <c r="K1033" s="17"/>
      <c r="L1033" s="17"/>
      <c r="M1033" s="17"/>
    </row>
    <row r="1034">
      <c r="A1034" s="17"/>
      <c r="C1034" s="17"/>
      <c r="D1034" s="17"/>
      <c r="E1034" s="17"/>
      <c r="F1034" s="17"/>
      <c r="G1034" s="17"/>
      <c r="H1034" s="17"/>
      <c r="I1034" s="17"/>
      <c r="J1034" s="17"/>
      <c r="K1034" s="17"/>
      <c r="L1034" s="17"/>
      <c r="M1034" s="17"/>
    </row>
  </sheetData>
  <mergeCells count="31">
    <mergeCell ref="A1:A3"/>
    <mergeCell ref="B1:B3"/>
    <mergeCell ref="C1:M1"/>
    <mergeCell ref="C2:D2"/>
    <mergeCell ref="E2:F2"/>
    <mergeCell ref="G2:I2"/>
    <mergeCell ref="J2:M2"/>
    <mergeCell ref="L3:M3"/>
    <mergeCell ref="H3:I3"/>
    <mergeCell ref="J3:K3"/>
    <mergeCell ref="A5:A7"/>
    <mergeCell ref="B5:B7"/>
    <mergeCell ref="A8:A13"/>
    <mergeCell ref="B8:B13"/>
    <mergeCell ref="B14:B17"/>
    <mergeCell ref="A14:A17"/>
    <mergeCell ref="A18:A19"/>
    <mergeCell ref="B18:B19"/>
    <mergeCell ref="A20:A23"/>
    <mergeCell ref="B20:B23"/>
    <mergeCell ref="A24:A26"/>
    <mergeCell ref="B24:B26"/>
    <mergeCell ref="A42:A48"/>
    <mergeCell ref="B42:B48"/>
    <mergeCell ref="A27:A31"/>
    <mergeCell ref="B27:B31"/>
    <mergeCell ref="B32:B33"/>
    <mergeCell ref="A34:A36"/>
    <mergeCell ref="B34:B36"/>
    <mergeCell ref="A37:A41"/>
    <mergeCell ref="B37:B4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4.13"/>
    <col customWidth="1" min="2" max="2" width="33.88"/>
    <col customWidth="1" min="4" max="4" width="17.25"/>
    <col customWidth="1" min="5" max="5" width="12.88"/>
    <col customWidth="1" min="11" max="11" width="13.63"/>
  </cols>
  <sheetData>
    <row r="1">
      <c r="A1" s="182" t="s">
        <v>0</v>
      </c>
      <c r="B1" s="182" t="s">
        <v>270</v>
      </c>
      <c r="C1" s="182" t="s">
        <v>271</v>
      </c>
      <c r="D1" s="182" t="s">
        <v>272</v>
      </c>
      <c r="E1" s="182" t="s">
        <v>273</v>
      </c>
      <c r="F1" s="183" t="s">
        <v>274</v>
      </c>
      <c r="G1" s="54"/>
      <c r="H1" s="55"/>
      <c r="I1" s="183" t="s">
        <v>275</v>
      </c>
      <c r="J1" s="54"/>
      <c r="K1" s="55"/>
      <c r="L1" s="184"/>
      <c r="M1" s="184"/>
      <c r="N1" s="184"/>
      <c r="O1" s="184"/>
      <c r="P1" s="184"/>
      <c r="Q1" s="184"/>
      <c r="R1" s="184"/>
      <c r="S1" s="184"/>
      <c r="T1" s="184"/>
      <c r="U1" s="184"/>
      <c r="V1" s="184"/>
      <c r="W1" s="184"/>
      <c r="X1" s="184"/>
      <c r="Y1" s="184"/>
      <c r="Z1" s="184"/>
      <c r="AA1" s="184"/>
    </row>
    <row r="2">
      <c r="A2" s="56"/>
      <c r="B2" s="56"/>
      <c r="C2" s="56"/>
      <c r="D2" s="56"/>
      <c r="E2" s="56"/>
      <c r="F2" s="185" t="s">
        <v>276</v>
      </c>
      <c r="G2" s="185" t="s">
        <v>277</v>
      </c>
      <c r="H2" s="185" t="s">
        <v>278</v>
      </c>
      <c r="I2" s="185" t="s">
        <v>279</v>
      </c>
      <c r="J2" s="185" t="s">
        <v>280</v>
      </c>
      <c r="K2" s="185" t="s">
        <v>281</v>
      </c>
      <c r="L2" s="184"/>
      <c r="M2" s="184"/>
      <c r="N2" s="184"/>
      <c r="O2" s="184"/>
      <c r="P2" s="184"/>
      <c r="Q2" s="184"/>
      <c r="R2" s="184"/>
      <c r="S2" s="184"/>
      <c r="T2" s="184"/>
      <c r="U2" s="184"/>
      <c r="V2" s="184"/>
      <c r="W2" s="184"/>
      <c r="X2" s="184"/>
      <c r="Y2" s="184"/>
      <c r="Z2" s="184"/>
      <c r="AA2" s="184"/>
    </row>
    <row r="3">
      <c r="A3" s="144">
        <v>1.0</v>
      </c>
      <c r="B3" s="186" t="s">
        <v>282</v>
      </c>
      <c r="C3" s="144" t="s">
        <v>283</v>
      </c>
      <c r="D3" s="144" t="s">
        <v>284</v>
      </c>
      <c r="E3" s="144" t="s">
        <v>285</v>
      </c>
      <c r="F3" s="187"/>
      <c r="G3" s="188">
        <v>7.0</v>
      </c>
      <c r="H3" s="189">
        <f t="shared" ref="H3:H26" si="1">G3</f>
        <v>7</v>
      </c>
      <c r="I3" s="190" t="s">
        <v>286</v>
      </c>
      <c r="J3" s="190" t="s">
        <v>286</v>
      </c>
      <c r="K3" s="190" t="s">
        <v>287</v>
      </c>
      <c r="L3" s="184"/>
      <c r="M3" s="184"/>
      <c r="N3" s="184"/>
      <c r="O3" s="184"/>
      <c r="P3" s="184"/>
      <c r="Q3" s="184"/>
      <c r="R3" s="184"/>
      <c r="S3" s="184"/>
      <c r="T3" s="184"/>
      <c r="U3" s="184"/>
      <c r="V3" s="184"/>
      <c r="W3" s="184"/>
      <c r="X3" s="184"/>
      <c r="Y3" s="184"/>
      <c r="Z3" s="184"/>
      <c r="AA3" s="184"/>
    </row>
    <row r="4">
      <c r="A4" s="144">
        <v>2.0</v>
      </c>
      <c r="B4" s="186" t="s">
        <v>288</v>
      </c>
      <c r="C4" s="144" t="s">
        <v>283</v>
      </c>
      <c r="D4" s="144" t="s">
        <v>289</v>
      </c>
      <c r="E4" s="144" t="s">
        <v>290</v>
      </c>
      <c r="F4" s="187"/>
      <c r="G4" s="188">
        <v>1.0</v>
      </c>
      <c r="H4" s="189">
        <f t="shared" si="1"/>
        <v>1</v>
      </c>
      <c r="I4" s="190" t="s">
        <v>286</v>
      </c>
      <c r="J4" s="190" t="s">
        <v>286</v>
      </c>
      <c r="K4" s="190" t="s">
        <v>286</v>
      </c>
      <c r="L4" s="184"/>
      <c r="M4" s="184"/>
      <c r="N4" s="184"/>
      <c r="O4" s="184"/>
      <c r="P4" s="184"/>
      <c r="Q4" s="184"/>
      <c r="R4" s="184"/>
      <c r="S4" s="184"/>
      <c r="T4" s="184"/>
      <c r="U4" s="184"/>
      <c r="V4" s="184"/>
      <c r="W4" s="184"/>
      <c r="X4" s="184"/>
      <c r="Y4" s="184"/>
      <c r="Z4" s="184"/>
      <c r="AA4" s="184"/>
    </row>
    <row r="5">
      <c r="A5" s="144">
        <v>3.0</v>
      </c>
      <c r="B5" s="186" t="s">
        <v>291</v>
      </c>
      <c r="C5" s="144" t="s">
        <v>283</v>
      </c>
      <c r="D5" s="144" t="s">
        <v>284</v>
      </c>
      <c r="E5" s="144" t="s">
        <v>285</v>
      </c>
      <c r="F5" s="187"/>
      <c r="G5" s="188">
        <v>7.0</v>
      </c>
      <c r="H5" s="189">
        <f t="shared" si="1"/>
        <v>7</v>
      </c>
      <c r="I5" s="190" t="s">
        <v>63</v>
      </c>
      <c r="J5" s="190" t="s">
        <v>286</v>
      </c>
      <c r="K5" s="190" t="s">
        <v>286</v>
      </c>
      <c r="L5" s="184"/>
      <c r="M5" s="184"/>
      <c r="N5" s="184"/>
      <c r="O5" s="184"/>
      <c r="P5" s="184"/>
      <c r="Q5" s="184"/>
      <c r="R5" s="184"/>
      <c r="S5" s="184"/>
      <c r="T5" s="184"/>
      <c r="U5" s="184"/>
      <c r="V5" s="184"/>
      <c r="W5" s="184"/>
      <c r="X5" s="184"/>
      <c r="Y5" s="184"/>
      <c r="Z5" s="184"/>
      <c r="AA5" s="184"/>
    </row>
    <row r="6">
      <c r="A6" s="144">
        <v>4.0</v>
      </c>
      <c r="B6" s="186" t="s">
        <v>292</v>
      </c>
      <c r="C6" s="144" t="s">
        <v>283</v>
      </c>
      <c r="D6" s="144" t="s">
        <v>284</v>
      </c>
      <c r="E6" s="144" t="s">
        <v>285</v>
      </c>
      <c r="F6" s="187"/>
      <c r="G6" s="188">
        <v>21.0</v>
      </c>
      <c r="H6" s="189">
        <f t="shared" si="1"/>
        <v>21</v>
      </c>
      <c r="I6" s="190" t="s">
        <v>286</v>
      </c>
      <c r="J6" s="190" t="s">
        <v>286</v>
      </c>
      <c r="K6" s="190" t="s">
        <v>286</v>
      </c>
      <c r="L6" s="184"/>
      <c r="M6" s="184"/>
      <c r="N6" s="184"/>
      <c r="O6" s="184"/>
      <c r="P6" s="184"/>
      <c r="Q6" s="184"/>
      <c r="R6" s="184"/>
      <c r="S6" s="184"/>
      <c r="T6" s="184"/>
      <c r="U6" s="184"/>
      <c r="V6" s="184"/>
      <c r="W6" s="184"/>
      <c r="X6" s="184"/>
      <c r="Y6" s="184"/>
      <c r="Z6" s="184"/>
      <c r="AA6" s="184"/>
    </row>
    <row r="7">
      <c r="A7" s="144">
        <v>5.0</v>
      </c>
      <c r="B7" s="186" t="s">
        <v>293</v>
      </c>
      <c r="C7" s="144" t="s">
        <v>283</v>
      </c>
      <c r="D7" s="144" t="s">
        <v>290</v>
      </c>
      <c r="E7" s="144" t="s">
        <v>290</v>
      </c>
      <c r="F7" s="187"/>
      <c r="G7" s="188" t="s">
        <v>290</v>
      </c>
      <c r="H7" s="189" t="str">
        <f t="shared" si="1"/>
        <v>-</v>
      </c>
      <c r="I7" s="189" t="str">
        <f t="shared" ref="I7:K7" si="2">H7</f>
        <v>-</v>
      </c>
      <c r="J7" s="189" t="str">
        <f t="shared" si="2"/>
        <v>-</v>
      </c>
      <c r="K7" s="189" t="str">
        <f t="shared" si="2"/>
        <v>-</v>
      </c>
      <c r="L7" s="184"/>
      <c r="M7" s="184"/>
      <c r="N7" s="184"/>
      <c r="O7" s="184"/>
      <c r="P7" s="184"/>
      <c r="Q7" s="184"/>
      <c r="R7" s="184"/>
      <c r="S7" s="184"/>
      <c r="T7" s="184"/>
      <c r="U7" s="184"/>
      <c r="V7" s="184"/>
      <c r="W7" s="184"/>
      <c r="X7" s="184"/>
      <c r="Y7" s="184"/>
      <c r="Z7" s="184"/>
      <c r="AA7" s="184"/>
    </row>
    <row r="8">
      <c r="A8" s="144">
        <v>6.0</v>
      </c>
      <c r="B8" s="186" t="s">
        <v>294</v>
      </c>
      <c r="C8" s="144" t="s">
        <v>283</v>
      </c>
      <c r="D8" s="144" t="s">
        <v>284</v>
      </c>
      <c r="E8" s="144" t="s">
        <v>285</v>
      </c>
      <c r="F8" s="187"/>
      <c r="G8" s="188">
        <v>7.0</v>
      </c>
      <c r="H8" s="189">
        <f t="shared" si="1"/>
        <v>7</v>
      </c>
      <c r="I8" s="190" t="s">
        <v>287</v>
      </c>
      <c r="J8" s="190" t="s">
        <v>286</v>
      </c>
      <c r="K8" s="190" t="s">
        <v>287</v>
      </c>
      <c r="L8" s="184"/>
      <c r="M8" s="184"/>
      <c r="N8" s="184"/>
      <c r="O8" s="184"/>
      <c r="P8" s="184"/>
      <c r="Q8" s="184"/>
      <c r="R8" s="184"/>
      <c r="S8" s="184"/>
      <c r="T8" s="184"/>
      <c r="U8" s="184"/>
      <c r="V8" s="184"/>
      <c r="W8" s="184"/>
      <c r="X8" s="184"/>
      <c r="Y8" s="184"/>
      <c r="Z8" s="184"/>
      <c r="AA8" s="184"/>
    </row>
    <row r="9">
      <c r="A9" s="144">
        <v>7.0</v>
      </c>
      <c r="B9" s="186" t="s">
        <v>295</v>
      </c>
      <c r="C9" s="144" t="s">
        <v>283</v>
      </c>
      <c r="D9" s="144" t="s">
        <v>284</v>
      </c>
      <c r="E9" s="144" t="s">
        <v>290</v>
      </c>
      <c r="F9" s="187"/>
      <c r="G9" s="188">
        <v>7.0</v>
      </c>
      <c r="H9" s="189">
        <f t="shared" si="1"/>
        <v>7</v>
      </c>
      <c r="I9" s="190" t="s">
        <v>286</v>
      </c>
      <c r="J9" s="190" t="s">
        <v>286</v>
      </c>
      <c r="K9" s="190" t="s">
        <v>286</v>
      </c>
      <c r="L9" s="184"/>
      <c r="M9" s="184"/>
      <c r="N9" s="184"/>
      <c r="O9" s="184"/>
      <c r="P9" s="184"/>
      <c r="Q9" s="184"/>
      <c r="R9" s="184"/>
      <c r="S9" s="184"/>
      <c r="T9" s="184"/>
      <c r="U9" s="184"/>
      <c r="V9" s="184"/>
      <c r="W9" s="184"/>
      <c r="X9" s="184"/>
      <c r="Y9" s="184"/>
      <c r="Z9" s="184"/>
      <c r="AA9" s="184"/>
    </row>
    <row r="10">
      <c r="A10" s="144">
        <v>8.0</v>
      </c>
      <c r="B10" s="186" t="s">
        <v>296</v>
      </c>
      <c r="C10" s="144" t="s">
        <v>283</v>
      </c>
      <c r="D10" s="144" t="s">
        <v>284</v>
      </c>
      <c r="E10" s="144" t="s">
        <v>285</v>
      </c>
      <c r="F10" s="187"/>
      <c r="G10" s="188">
        <v>7.0</v>
      </c>
      <c r="H10" s="189">
        <f t="shared" si="1"/>
        <v>7</v>
      </c>
      <c r="I10" s="190" t="s">
        <v>286</v>
      </c>
      <c r="J10" s="190" t="s">
        <v>286</v>
      </c>
      <c r="K10" s="190" t="s">
        <v>286</v>
      </c>
      <c r="L10" s="184"/>
      <c r="M10" s="184"/>
      <c r="N10" s="184"/>
      <c r="O10" s="184"/>
      <c r="P10" s="184"/>
      <c r="Q10" s="184"/>
      <c r="R10" s="184"/>
      <c r="S10" s="184"/>
      <c r="T10" s="184"/>
      <c r="U10" s="184"/>
      <c r="V10" s="184"/>
      <c r="W10" s="184"/>
      <c r="X10" s="184"/>
      <c r="Y10" s="184"/>
      <c r="Z10" s="184"/>
      <c r="AA10" s="184"/>
    </row>
    <row r="11">
      <c r="A11" s="144">
        <v>9.0</v>
      </c>
      <c r="B11" s="186" t="s">
        <v>297</v>
      </c>
      <c r="C11" s="144" t="s">
        <v>283</v>
      </c>
      <c r="D11" s="144" t="s">
        <v>284</v>
      </c>
      <c r="E11" s="144" t="s">
        <v>285</v>
      </c>
      <c r="F11" s="187"/>
      <c r="G11" s="188">
        <v>21.0</v>
      </c>
      <c r="H11" s="189">
        <f t="shared" si="1"/>
        <v>21</v>
      </c>
      <c r="I11" s="190" t="s">
        <v>286</v>
      </c>
      <c r="J11" s="190" t="s">
        <v>286</v>
      </c>
      <c r="K11" s="190" t="s">
        <v>286</v>
      </c>
      <c r="L11" s="184"/>
      <c r="M11" s="184"/>
      <c r="N11" s="184"/>
      <c r="O11" s="184"/>
      <c r="P11" s="184"/>
      <c r="Q11" s="184"/>
      <c r="R11" s="184"/>
      <c r="S11" s="184"/>
      <c r="T11" s="184"/>
      <c r="U11" s="184"/>
      <c r="V11" s="184"/>
      <c r="W11" s="184"/>
      <c r="X11" s="184"/>
      <c r="Y11" s="184"/>
      <c r="Z11" s="184"/>
      <c r="AA11" s="184"/>
    </row>
    <row r="12">
      <c r="A12" s="144">
        <v>10.0</v>
      </c>
      <c r="B12" s="186" t="s">
        <v>298</v>
      </c>
      <c r="C12" s="144" t="s">
        <v>283</v>
      </c>
      <c r="D12" s="144" t="s">
        <v>284</v>
      </c>
      <c r="E12" s="144" t="s">
        <v>285</v>
      </c>
      <c r="F12" s="187"/>
      <c r="G12" s="188">
        <v>7.0</v>
      </c>
      <c r="H12" s="189">
        <f t="shared" si="1"/>
        <v>7</v>
      </c>
      <c r="I12" s="191"/>
      <c r="J12" s="191"/>
      <c r="K12" s="191"/>
      <c r="L12" s="184"/>
      <c r="M12" s="184"/>
      <c r="N12" s="184"/>
      <c r="O12" s="184"/>
      <c r="P12" s="184"/>
      <c r="Q12" s="184"/>
      <c r="R12" s="184"/>
      <c r="S12" s="184"/>
      <c r="T12" s="184"/>
      <c r="U12" s="184"/>
      <c r="V12" s="184"/>
      <c r="W12" s="184"/>
      <c r="X12" s="184"/>
      <c r="Y12" s="184"/>
      <c r="Z12" s="184"/>
      <c r="AA12" s="184"/>
    </row>
    <row r="13">
      <c r="A13" s="144">
        <v>11.0</v>
      </c>
      <c r="B13" s="186" t="s">
        <v>299</v>
      </c>
      <c r="C13" s="144" t="s">
        <v>283</v>
      </c>
      <c r="D13" s="144" t="s">
        <v>284</v>
      </c>
      <c r="E13" s="144" t="s">
        <v>285</v>
      </c>
      <c r="F13" s="187"/>
      <c r="G13" s="188">
        <v>17.0</v>
      </c>
      <c r="H13" s="189">
        <f t="shared" si="1"/>
        <v>17</v>
      </c>
      <c r="I13" s="190" t="s">
        <v>286</v>
      </c>
      <c r="J13" s="190" t="s">
        <v>286</v>
      </c>
      <c r="K13" s="190" t="s">
        <v>63</v>
      </c>
      <c r="L13" s="184"/>
      <c r="M13" s="184"/>
      <c r="N13" s="184"/>
      <c r="O13" s="184"/>
      <c r="P13" s="184"/>
      <c r="Q13" s="184"/>
      <c r="R13" s="184"/>
      <c r="S13" s="184"/>
      <c r="T13" s="184"/>
      <c r="U13" s="184"/>
      <c r="V13" s="184"/>
      <c r="W13" s="184"/>
      <c r="X13" s="184"/>
      <c r="Y13" s="184"/>
      <c r="Z13" s="184"/>
      <c r="AA13" s="184"/>
    </row>
    <row r="14">
      <c r="A14" s="144">
        <v>12.0</v>
      </c>
      <c r="B14" s="186" t="s">
        <v>300</v>
      </c>
      <c r="C14" s="144" t="s">
        <v>283</v>
      </c>
      <c r="D14" s="144" t="s">
        <v>289</v>
      </c>
      <c r="E14" s="144" t="s">
        <v>290</v>
      </c>
      <c r="F14" s="187"/>
      <c r="G14" s="188">
        <v>4.0</v>
      </c>
      <c r="H14" s="189">
        <f t="shared" si="1"/>
        <v>4</v>
      </c>
      <c r="I14" s="190" t="s">
        <v>286</v>
      </c>
      <c r="J14" s="190" t="s">
        <v>286</v>
      </c>
      <c r="K14" s="190" t="s">
        <v>286</v>
      </c>
      <c r="L14" s="184"/>
      <c r="M14" s="184"/>
      <c r="N14" s="184"/>
      <c r="O14" s="184"/>
      <c r="P14" s="184"/>
      <c r="Q14" s="184"/>
      <c r="R14" s="184"/>
      <c r="S14" s="184"/>
      <c r="T14" s="184"/>
      <c r="U14" s="184"/>
      <c r="V14" s="184"/>
      <c r="W14" s="184"/>
      <c r="X14" s="184"/>
      <c r="Y14" s="184"/>
      <c r="Z14" s="184"/>
      <c r="AA14" s="184"/>
    </row>
    <row r="15">
      <c r="A15" s="144">
        <v>13.0</v>
      </c>
      <c r="B15" s="186" t="s">
        <v>301</v>
      </c>
      <c r="C15" s="144" t="s">
        <v>283</v>
      </c>
      <c r="D15" s="144" t="s">
        <v>284</v>
      </c>
      <c r="E15" s="144" t="s">
        <v>285</v>
      </c>
      <c r="F15" s="187"/>
      <c r="G15" s="188">
        <v>21.0</v>
      </c>
      <c r="H15" s="189">
        <f t="shared" si="1"/>
        <v>21</v>
      </c>
      <c r="I15" s="190" t="s">
        <v>286</v>
      </c>
      <c r="J15" s="190" t="s">
        <v>286</v>
      </c>
      <c r="K15" s="190" t="s">
        <v>286</v>
      </c>
      <c r="L15" s="184"/>
      <c r="M15" s="184"/>
      <c r="N15" s="184"/>
      <c r="O15" s="184"/>
      <c r="P15" s="184"/>
      <c r="Q15" s="184"/>
      <c r="R15" s="184"/>
      <c r="S15" s="184"/>
      <c r="T15" s="184"/>
      <c r="U15" s="184"/>
      <c r="V15" s="184"/>
      <c r="W15" s="184"/>
      <c r="X15" s="184"/>
      <c r="Y15" s="184"/>
      <c r="Z15" s="184"/>
      <c r="AA15" s="184"/>
    </row>
    <row r="16">
      <c r="A16" s="144">
        <v>14.0</v>
      </c>
      <c r="B16" s="186" t="s">
        <v>302</v>
      </c>
      <c r="C16" s="144" t="s">
        <v>283</v>
      </c>
      <c r="D16" s="144" t="s">
        <v>289</v>
      </c>
      <c r="E16" s="144" t="s">
        <v>290</v>
      </c>
      <c r="F16" s="187"/>
      <c r="G16" s="188">
        <v>7.0</v>
      </c>
      <c r="H16" s="189">
        <f t="shared" si="1"/>
        <v>7</v>
      </c>
      <c r="I16" s="190" t="s">
        <v>286</v>
      </c>
      <c r="J16" s="190" t="s">
        <v>286</v>
      </c>
      <c r="K16" s="190" t="s">
        <v>286</v>
      </c>
      <c r="L16" s="184"/>
      <c r="M16" s="184"/>
      <c r="N16" s="184"/>
      <c r="O16" s="184"/>
      <c r="P16" s="184"/>
      <c r="Q16" s="184"/>
      <c r="R16" s="184"/>
      <c r="S16" s="184"/>
      <c r="T16" s="184"/>
      <c r="U16" s="184"/>
      <c r="V16" s="184"/>
      <c r="W16" s="184"/>
      <c r="X16" s="184"/>
      <c r="Y16" s="184"/>
      <c r="Z16" s="184"/>
      <c r="AA16" s="184"/>
    </row>
    <row r="17">
      <c r="A17" s="144">
        <v>15.0</v>
      </c>
      <c r="B17" s="186" t="s">
        <v>303</v>
      </c>
      <c r="C17" s="144" t="s">
        <v>304</v>
      </c>
      <c r="D17" s="144" t="s">
        <v>305</v>
      </c>
      <c r="E17" s="144" t="s">
        <v>285</v>
      </c>
      <c r="F17" s="187"/>
      <c r="G17" s="188">
        <v>15.0</v>
      </c>
      <c r="H17" s="189">
        <f t="shared" si="1"/>
        <v>15</v>
      </c>
      <c r="I17" s="190" t="s">
        <v>286</v>
      </c>
      <c r="J17" s="190" t="s">
        <v>286</v>
      </c>
      <c r="K17" s="190" t="s">
        <v>286</v>
      </c>
      <c r="L17" s="184"/>
      <c r="M17" s="184"/>
      <c r="N17" s="184"/>
      <c r="O17" s="184"/>
      <c r="P17" s="184"/>
      <c r="Q17" s="184"/>
      <c r="R17" s="184"/>
      <c r="S17" s="184"/>
      <c r="T17" s="184"/>
      <c r="U17" s="184"/>
      <c r="V17" s="184"/>
      <c r="W17" s="184"/>
      <c r="X17" s="184"/>
      <c r="Y17" s="184"/>
      <c r="Z17" s="184"/>
      <c r="AA17" s="184"/>
    </row>
    <row r="18">
      <c r="A18" s="144">
        <v>16.0</v>
      </c>
      <c r="B18" s="186" t="s">
        <v>306</v>
      </c>
      <c r="C18" s="144" t="s">
        <v>283</v>
      </c>
      <c r="D18" s="144" t="s">
        <v>305</v>
      </c>
      <c r="E18" s="144" t="s">
        <v>285</v>
      </c>
      <c r="F18" s="187"/>
      <c r="G18" s="188">
        <v>36.0</v>
      </c>
      <c r="H18" s="189">
        <f t="shared" si="1"/>
        <v>36</v>
      </c>
      <c r="I18" s="190" t="s">
        <v>286</v>
      </c>
      <c r="J18" s="190" t="s">
        <v>286</v>
      </c>
      <c r="K18" s="190" t="s">
        <v>287</v>
      </c>
      <c r="L18" s="184"/>
      <c r="M18" s="184"/>
      <c r="N18" s="184"/>
      <c r="O18" s="184"/>
      <c r="P18" s="184"/>
      <c r="Q18" s="184"/>
      <c r="R18" s="184"/>
      <c r="S18" s="184"/>
      <c r="T18" s="184"/>
      <c r="U18" s="184"/>
      <c r="V18" s="184"/>
      <c r="W18" s="184"/>
      <c r="X18" s="184"/>
      <c r="Y18" s="184"/>
      <c r="Z18" s="184"/>
      <c r="AA18" s="184"/>
    </row>
    <row r="19">
      <c r="A19" s="144">
        <v>17.0</v>
      </c>
      <c r="B19" s="186" t="s">
        <v>307</v>
      </c>
      <c r="C19" s="144" t="s">
        <v>304</v>
      </c>
      <c r="D19" s="144" t="s">
        <v>308</v>
      </c>
      <c r="E19" s="144" t="s">
        <v>285</v>
      </c>
      <c r="F19" s="187"/>
      <c r="G19" s="188">
        <v>21.0</v>
      </c>
      <c r="H19" s="189">
        <f t="shared" si="1"/>
        <v>21</v>
      </c>
      <c r="I19" s="190" t="s">
        <v>63</v>
      </c>
      <c r="J19" s="190" t="s">
        <v>286</v>
      </c>
      <c r="K19" s="190" t="s">
        <v>287</v>
      </c>
      <c r="L19" s="184"/>
      <c r="M19" s="184"/>
      <c r="N19" s="184"/>
      <c r="O19" s="184"/>
      <c r="P19" s="184"/>
      <c r="Q19" s="184"/>
      <c r="R19" s="184"/>
      <c r="S19" s="184"/>
      <c r="T19" s="184"/>
      <c r="U19" s="184"/>
      <c r="V19" s="184"/>
      <c r="W19" s="184"/>
      <c r="X19" s="184"/>
      <c r="Y19" s="184"/>
      <c r="Z19" s="184"/>
      <c r="AA19" s="184"/>
    </row>
    <row r="20">
      <c r="A20" s="144">
        <v>18.0</v>
      </c>
      <c r="B20" s="186" t="s">
        <v>309</v>
      </c>
      <c r="C20" s="144" t="s">
        <v>283</v>
      </c>
      <c r="D20" s="144" t="s">
        <v>284</v>
      </c>
      <c r="E20" s="144" t="s">
        <v>285</v>
      </c>
      <c r="F20" s="187"/>
      <c r="G20" s="188">
        <v>7.0</v>
      </c>
      <c r="H20" s="189">
        <f t="shared" si="1"/>
        <v>7</v>
      </c>
      <c r="I20" s="190" t="s">
        <v>286</v>
      </c>
      <c r="J20" s="190" t="s">
        <v>286</v>
      </c>
      <c r="K20" s="190" t="s">
        <v>286</v>
      </c>
      <c r="L20" s="184"/>
      <c r="M20" s="184"/>
      <c r="N20" s="184"/>
      <c r="O20" s="184"/>
      <c r="P20" s="184"/>
      <c r="Q20" s="184"/>
      <c r="R20" s="184"/>
      <c r="S20" s="184"/>
      <c r="T20" s="184"/>
      <c r="U20" s="184"/>
      <c r="V20" s="184"/>
      <c r="W20" s="184"/>
      <c r="X20" s="184"/>
      <c r="Y20" s="184"/>
      <c r="Z20" s="184"/>
      <c r="AA20" s="184"/>
    </row>
    <row r="21">
      <c r="A21" s="144">
        <v>19.0</v>
      </c>
      <c r="B21" s="186" t="s">
        <v>310</v>
      </c>
      <c r="C21" s="144" t="s">
        <v>283</v>
      </c>
      <c r="D21" s="144" t="s">
        <v>289</v>
      </c>
      <c r="E21" s="144" t="s">
        <v>290</v>
      </c>
      <c r="F21" s="187"/>
      <c r="G21" s="188">
        <v>3.0</v>
      </c>
      <c r="H21" s="189">
        <f t="shared" si="1"/>
        <v>3</v>
      </c>
      <c r="I21" s="190" t="s">
        <v>286</v>
      </c>
      <c r="J21" s="190" t="s">
        <v>286</v>
      </c>
      <c r="K21" s="190" t="s">
        <v>286</v>
      </c>
      <c r="L21" s="184"/>
      <c r="M21" s="184"/>
      <c r="N21" s="184"/>
      <c r="O21" s="184"/>
      <c r="P21" s="184"/>
      <c r="Q21" s="184"/>
      <c r="R21" s="184"/>
      <c r="S21" s="184"/>
      <c r="T21" s="184"/>
      <c r="U21" s="184"/>
      <c r="V21" s="184"/>
      <c r="W21" s="184"/>
      <c r="X21" s="184"/>
      <c r="Y21" s="184"/>
      <c r="Z21" s="184"/>
      <c r="AA21" s="184"/>
    </row>
    <row r="22">
      <c r="A22" s="144">
        <v>20.0</v>
      </c>
      <c r="B22" s="186" t="s">
        <v>311</v>
      </c>
      <c r="C22" s="144" t="s">
        <v>283</v>
      </c>
      <c r="D22" s="144" t="s">
        <v>305</v>
      </c>
      <c r="E22" s="144" t="s">
        <v>285</v>
      </c>
      <c r="F22" s="187"/>
      <c r="G22" s="188">
        <v>37.0</v>
      </c>
      <c r="H22" s="189">
        <f t="shared" si="1"/>
        <v>37</v>
      </c>
      <c r="I22" s="190" t="s">
        <v>63</v>
      </c>
      <c r="J22" s="190" t="s">
        <v>286</v>
      </c>
      <c r="K22" s="190" t="s">
        <v>286</v>
      </c>
      <c r="L22" s="184"/>
      <c r="M22" s="184"/>
      <c r="N22" s="184"/>
      <c r="O22" s="184"/>
      <c r="P22" s="184"/>
      <c r="Q22" s="184"/>
      <c r="R22" s="184"/>
      <c r="S22" s="184"/>
      <c r="T22" s="184"/>
      <c r="U22" s="184"/>
      <c r="V22" s="184"/>
      <c r="W22" s="184"/>
      <c r="X22" s="184"/>
      <c r="Y22" s="184"/>
      <c r="Z22" s="184"/>
      <c r="AA22" s="184"/>
    </row>
    <row r="23">
      <c r="A23" s="144">
        <v>21.0</v>
      </c>
      <c r="B23" s="186" t="s">
        <v>312</v>
      </c>
      <c r="C23" s="144" t="s">
        <v>283</v>
      </c>
      <c r="D23" s="144" t="s">
        <v>284</v>
      </c>
      <c r="E23" s="144" t="s">
        <v>285</v>
      </c>
      <c r="F23" s="187"/>
      <c r="G23" s="188">
        <v>12.0</v>
      </c>
      <c r="H23" s="189">
        <f t="shared" si="1"/>
        <v>12</v>
      </c>
      <c r="I23" s="190" t="s">
        <v>286</v>
      </c>
      <c r="J23" s="190" t="s">
        <v>286</v>
      </c>
      <c r="K23" s="190" t="s">
        <v>286</v>
      </c>
      <c r="L23" s="184"/>
      <c r="M23" s="184"/>
      <c r="N23" s="184"/>
      <c r="O23" s="184"/>
      <c r="P23" s="184"/>
      <c r="Q23" s="184"/>
      <c r="R23" s="184"/>
      <c r="S23" s="184"/>
      <c r="T23" s="184"/>
      <c r="U23" s="184"/>
      <c r="V23" s="184"/>
      <c r="W23" s="184"/>
      <c r="X23" s="184"/>
      <c r="Y23" s="184"/>
      <c r="Z23" s="184"/>
      <c r="AA23" s="184"/>
    </row>
    <row r="24">
      <c r="A24" s="144">
        <v>22.0</v>
      </c>
      <c r="B24" s="186" t="s">
        <v>313</v>
      </c>
      <c r="C24" s="144" t="s">
        <v>283</v>
      </c>
      <c r="D24" s="144" t="s">
        <v>289</v>
      </c>
      <c r="E24" s="144" t="s">
        <v>290</v>
      </c>
      <c r="F24" s="190"/>
      <c r="G24" s="188">
        <v>7.0</v>
      </c>
      <c r="H24" s="189">
        <f t="shared" si="1"/>
        <v>7</v>
      </c>
      <c r="I24" s="190" t="s">
        <v>63</v>
      </c>
      <c r="J24" s="190" t="s">
        <v>287</v>
      </c>
      <c r="K24" s="190" t="s">
        <v>286</v>
      </c>
      <c r="L24" s="184"/>
      <c r="M24" s="184"/>
      <c r="N24" s="184"/>
      <c r="O24" s="184"/>
      <c r="P24" s="184"/>
      <c r="Q24" s="184"/>
      <c r="R24" s="184"/>
      <c r="S24" s="184"/>
      <c r="T24" s="184"/>
      <c r="U24" s="184"/>
      <c r="V24" s="184"/>
      <c r="W24" s="184"/>
      <c r="X24" s="184"/>
      <c r="Y24" s="184"/>
      <c r="Z24" s="184"/>
      <c r="AA24" s="184"/>
    </row>
    <row r="25">
      <c r="A25" s="144">
        <v>23.0</v>
      </c>
      <c r="B25" s="186" t="s">
        <v>314</v>
      </c>
      <c r="C25" s="144" t="s">
        <v>283</v>
      </c>
      <c r="D25" s="144" t="s">
        <v>290</v>
      </c>
      <c r="E25" s="144" t="s">
        <v>290</v>
      </c>
      <c r="F25" s="187"/>
      <c r="G25" s="188" t="s">
        <v>290</v>
      </c>
      <c r="H25" s="189" t="str">
        <f t="shared" si="1"/>
        <v>-</v>
      </c>
      <c r="I25" s="189" t="str">
        <f t="shared" ref="I25:K25" si="3">H25</f>
        <v>-</v>
      </c>
      <c r="J25" s="189" t="str">
        <f t="shared" si="3"/>
        <v>-</v>
      </c>
      <c r="K25" s="189" t="str">
        <f t="shared" si="3"/>
        <v>-</v>
      </c>
      <c r="L25" s="184"/>
      <c r="M25" s="184"/>
      <c r="N25" s="184"/>
      <c r="O25" s="184"/>
      <c r="P25" s="184"/>
      <c r="Q25" s="184"/>
      <c r="R25" s="184"/>
      <c r="S25" s="184"/>
      <c r="T25" s="184"/>
      <c r="U25" s="184"/>
      <c r="V25" s="184"/>
      <c r="W25" s="184"/>
      <c r="X25" s="184"/>
      <c r="Y25" s="184"/>
      <c r="Z25" s="184"/>
      <c r="AA25" s="184"/>
    </row>
    <row r="26">
      <c r="A26" s="144">
        <v>24.0</v>
      </c>
      <c r="B26" s="186" t="s">
        <v>315</v>
      </c>
      <c r="C26" s="144" t="s">
        <v>283</v>
      </c>
      <c r="D26" s="144" t="s">
        <v>289</v>
      </c>
      <c r="E26" s="144" t="s">
        <v>290</v>
      </c>
      <c r="F26" s="187"/>
      <c r="G26" s="188">
        <v>7.0</v>
      </c>
      <c r="H26" s="189">
        <f t="shared" si="1"/>
        <v>7</v>
      </c>
      <c r="I26" s="190" t="s">
        <v>63</v>
      </c>
      <c r="J26" s="190" t="s">
        <v>286</v>
      </c>
      <c r="K26" s="190" t="s">
        <v>63</v>
      </c>
      <c r="L26" s="184"/>
      <c r="M26" s="184"/>
      <c r="N26" s="184"/>
      <c r="O26" s="184"/>
      <c r="P26" s="184"/>
      <c r="Q26" s="184"/>
      <c r="R26" s="184"/>
      <c r="S26" s="184"/>
      <c r="T26" s="184"/>
      <c r="U26" s="184"/>
      <c r="V26" s="184"/>
      <c r="W26" s="184"/>
      <c r="X26" s="184"/>
      <c r="Y26" s="184"/>
      <c r="Z26" s="184"/>
      <c r="AA26" s="184"/>
    </row>
    <row r="27">
      <c r="A27" s="144">
        <v>25.0</v>
      </c>
      <c r="B27" s="186" t="s">
        <v>316</v>
      </c>
      <c r="C27" s="144" t="s">
        <v>283</v>
      </c>
      <c r="D27" s="144" t="s">
        <v>284</v>
      </c>
      <c r="E27" s="144" t="s">
        <v>285</v>
      </c>
      <c r="F27" s="187"/>
      <c r="G27" s="188">
        <v>11.0</v>
      </c>
      <c r="H27" s="188">
        <v>6.0</v>
      </c>
      <c r="I27" s="190" t="s">
        <v>63</v>
      </c>
      <c r="J27" s="190" t="s">
        <v>286</v>
      </c>
      <c r="K27" s="190" t="s">
        <v>286</v>
      </c>
      <c r="L27" s="184"/>
      <c r="M27" s="184"/>
      <c r="N27" s="184"/>
      <c r="O27" s="184"/>
      <c r="P27" s="184"/>
      <c r="Q27" s="184"/>
      <c r="R27" s="184"/>
      <c r="S27" s="184"/>
      <c r="T27" s="184"/>
      <c r="U27" s="184"/>
      <c r="V27" s="184"/>
      <c r="W27" s="184"/>
      <c r="X27" s="184"/>
      <c r="Y27" s="184"/>
      <c r="Z27" s="184"/>
      <c r="AA27" s="184"/>
    </row>
    <row r="28">
      <c r="A28" s="144">
        <v>26.0</v>
      </c>
      <c r="B28" s="186" t="s">
        <v>317</v>
      </c>
      <c r="C28" s="144" t="s">
        <v>283</v>
      </c>
      <c r="D28" s="144" t="s">
        <v>290</v>
      </c>
      <c r="E28" s="144" t="s">
        <v>290</v>
      </c>
      <c r="F28" s="187"/>
      <c r="G28" s="188" t="s">
        <v>290</v>
      </c>
      <c r="H28" s="189" t="str">
        <f t="shared" ref="H28:H87" si="4">G28</f>
        <v>-</v>
      </c>
      <c r="I28" s="190"/>
      <c r="J28" s="190"/>
      <c r="K28" s="190"/>
      <c r="L28" s="184"/>
      <c r="M28" s="184"/>
      <c r="N28" s="184"/>
      <c r="O28" s="184"/>
      <c r="P28" s="184"/>
      <c r="Q28" s="184"/>
      <c r="R28" s="184"/>
      <c r="S28" s="184"/>
      <c r="T28" s="184"/>
      <c r="U28" s="184"/>
      <c r="V28" s="184"/>
      <c r="W28" s="184"/>
      <c r="X28" s="184"/>
      <c r="Y28" s="184"/>
      <c r="Z28" s="184"/>
      <c r="AA28" s="184"/>
    </row>
    <row r="29">
      <c r="A29" s="144">
        <v>27.0</v>
      </c>
      <c r="B29" s="186" t="s">
        <v>318</v>
      </c>
      <c r="C29" s="144" t="s">
        <v>283</v>
      </c>
      <c r="D29" s="144" t="s">
        <v>305</v>
      </c>
      <c r="E29" s="144" t="s">
        <v>285</v>
      </c>
      <c r="F29" s="187"/>
      <c r="G29" s="188">
        <v>11.0</v>
      </c>
      <c r="H29" s="189">
        <f t="shared" si="4"/>
        <v>11</v>
      </c>
      <c r="I29" s="190" t="s">
        <v>63</v>
      </c>
      <c r="J29" s="190" t="s">
        <v>286</v>
      </c>
      <c r="K29" s="190" t="s">
        <v>287</v>
      </c>
      <c r="L29" s="184"/>
      <c r="M29" s="184"/>
      <c r="N29" s="184"/>
      <c r="O29" s="184"/>
      <c r="P29" s="184"/>
      <c r="Q29" s="184"/>
      <c r="R29" s="184"/>
      <c r="S29" s="184"/>
      <c r="T29" s="184"/>
      <c r="U29" s="184"/>
      <c r="V29" s="184"/>
      <c r="W29" s="184"/>
      <c r="X29" s="184"/>
      <c r="Y29" s="184"/>
      <c r="Z29" s="184"/>
      <c r="AA29" s="184"/>
    </row>
    <row r="30">
      <c r="A30" s="144">
        <v>28.0</v>
      </c>
      <c r="B30" s="186" t="s">
        <v>319</v>
      </c>
      <c r="C30" s="144" t="s">
        <v>283</v>
      </c>
      <c r="D30" s="144" t="s">
        <v>284</v>
      </c>
      <c r="E30" s="144" t="s">
        <v>285</v>
      </c>
      <c r="F30" s="187"/>
      <c r="G30" s="188">
        <v>7.0</v>
      </c>
      <c r="H30" s="189">
        <f t="shared" si="4"/>
        <v>7</v>
      </c>
      <c r="I30" s="190" t="s">
        <v>63</v>
      </c>
      <c r="J30" s="190" t="s">
        <v>286</v>
      </c>
      <c r="K30" s="190" t="s">
        <v>287</v>
      </c>
      <c r="L30" s="184"/>
      <c r="M30" s="184"/>
      <c r="N30" s="184"/>
      <c r="O30" s="184"/>
      <c r="P30" s="184"/>
      <c r="Q30" s="184"/>
      <c r="R30" s="184"/>
      <c r="S30" s="184"/>
      <c r="T30" s="184"/>
      <c r="U30" s="184"/>
      <c r="V30" s="184"/>
      <c r="W30" s="184"/>
      <c r="X30" s="184"/>
      <c r="Y30" s="184"/>
      <c r="Z30" s="184"/>
      <c r="AA30" s="184"/>
    </row>
    <row r="31">
      <c r="A31" s="144">
        <v>29.0</v>
      </c>
      <c r="B31" s="186" t="s">
        <v>320</v>
      </c>
      <c r="C31" s="144" t="s">
        <v>304</v>
      </c>
      <c r="D31" s="144" t="s">
        <v>284</v>
      </c>
      <c r="E31" s="144" t="s">
        <v>285</v>
      </c>
      <c r="F31" s="187"/>
      <c r="G31" s="188">
        <v>16.0</v>
      </c>
      <c r="H31" s="189">
        <f t="shared" si="4"/>
        <v>16</v>
      </c>
      <c r="I31" s="190" t="s">
        <v>63</v>
      </c>
      <c r="J31" s="190" t="s">
        <v>286</v>
      </c>
      <c r="K31" s="190" t="s">
        <v>286</v>
      </c>
      <c r="L31" s="184"/>
      <c r="M31" s="184"/>
      <c r="N31" s="184"/>
      <c r="O31" s="184"/>
      <c r="P31" s="184"/>
      <c r="Q31" s="184"/>
      <c r="R31" s="184"/>
      <c r="S31" s="184"/>
      <c r="T31" s="184"/>
      <c r="U31" s="184"/>
      <c r="V31" s="184"/>
      <c r="W31" s="184"/>
      <c r="X31" s="184"/>
      <c r="Y31" s="184"/>
      <c r="Z31" s="184"/>
      <c r="AA31" s="184"/>
    </row>
    <row r="32">
      <c r="A32" s="144">
        <v>30.0</v>
      </c>
      <c r="B32" s="186" t="s">
        <v>321</v>
      </c>
      <c r="C32" s="144" t="s">
        <v>283</v>
      </c>
      <c r="D32" s="144" t="s">
        <v>289</v>
      </c>
      <c r="E32" s="144" t="s">
        <v>290</v>
      </c>
      <c r="F32" s="187"/>
      <c r="G32" s="188">
        <v>4.0</v>
      </c>
      <c r="H32" s="189">
        <f t="shared" si="4"/>
        <v>4</v>
      </c>
      <c r="I32" s="190" t="s">
        <v>287</v>
      </c>
      <c r="J32" s="190" t="s">
        <v>286</v>
      </c>
      <c r="K32" s="190" t="s">
        <v>287</v>
      </c>
      <c r="L32" s="184"/>
      <c r="M32" s="184"/>
      <c r="N32" s="184"/>
      <c r="O32" s="184"/>
      <c r="P32" s="184"/>
      <c r="Q32" s="184"/>
      <c r="R32" s="184"/>
      <c r="S32" s="184"/>
      <c r="T32" s="184"/>
      <c r="U32" s="184"/>
      <c r="V32" s="184"/>
      <c r="W32" s="184"/>
      <c r="X32" s="184"/>
      <c r="Y32" s="184"/>
      <c r="Z32" s="184"/>
      <c r="AA32" s="184"/>
    </row>
    <row r="33">
      <c r="A33" s="144">
        <v>31.0</v>
      </c>
      <c r="B33" s="186" t="s">
        <v>322</v>
      </c>
      <c r="C33" s="144" t="s">
        <v>304</v>
      </c>
      <c r="D33" s="144" t="s">
        <v>284</v>
      </c>
      <c r="E33" s="144" t="s">
        <v>285</v>
      </c>
      <c r="F33" s="187"/>
      <c r="G33" s="188">
        <v>18.0</v>
      </c>
      <c r="H33" s="189">
        <f t="shared" si="4"/>
        <v>18</v>
      </c>
      <c r="I33" s="190" t="s">
        <v>287</v>
      </c>
      <c r="J33" s="190" t="s">
        <v>286</v>
      </c>
      <c r="K33" s="190" t="s">
        <v>287</v>
      </c>
      <c r="L33" s="184"/>
      <c r="M33" s="184"/>
      <c r="N33" s="184"/>
      <c r="O33" s="184"/>
      <c r="P33" s="184"/>
      <c r="Q33" s="184"/>
      <c r="R33" s="184"/>
      <c r="S33" s="184"/>
      <c r="T33" s="184"/>
      <c r="U33" s="184"/>
      <c r="V33" s="184"/>
      <c r="W33" s="184"/>
      <c r="X33" s="184"/>
      <c r="Y33" s="184"/>
      <c r="Z33" s="184"/>
      <c r="AA33" s="184"/>
    </row>
    <row r="34">
      <c r="A34" s="144">
        <v>32.0</v>
      </c>
      <c r="B34" s="186" t="s">
        <v>323</v>
      </c>
      <c r="C34" s="144" t="s">
        <v>283</v>
      </c>
      <c r="D34" s="144" t="s">
        <v>284</v>
      </c>
      <c r="E34" s="144" t="s">
        <v>285</v>
      </c>
      <c r="F34" s="187"/>
      <c r="G34" s="188">
        <v>7.0</v>
      </c>
      <c r="H34" s="189">
        <f t="shared" si="4"/>
        <v>7</v>
      </c>
      <c r="I34" s="190" t="s">
        <v>286</v>
      </c>
      <c r="J34" s="190" t="s">
        <v>286</v>
      </c>
      <c r="K34" s="190" t="s">
        <v>286</v>
      </c>
      <c r="L34" s="184"/>
      <c r="M34" s="184"/>
      <c r="N34" s="184"/>
      <c r="O34" s="184"/>
      <c r="P34" s="184"/>
      <c r="Q34" s="184"/>
      <c r="R34" s="184"/>
      <c r="S34" s="184"/>
      <c r="T34" s="184"/>
      <c r="U34" s="184"/>
      <c r="V34" s="184"/>
      <c r="W34" s="184"/>
      <c r="X34" s="184"/>
      <c r="Y34" s="184"/>
      <c r="Z34" s="184"/>
      <c r="AA34" s="184"/>
    </row>
    <row r="35">
      <c r="A35" s="144">
        <v>33.0</v>
      </c>
      <c r="B35" s="186" t="s">
        <v>324</v>
      </c>
      <c r="C35" s="144" t="s">
        <v>283</v>
      </c>
      <c r="D35" s="144" t="s">
        <v>289</v>
      </c>
      <c r="E35" s="144" t="s">
        <v>290</v>
      </c>
      <c r="F35" s="190"/>
      <c r="G35" s="188">
        <v>5.0</v>
      </c>
      <c r="H35" s="189">
        <f t="shared" si="4"/>
        <v>5</v>
      </c>
      <c r="I35" s="190" t="s">
        <v>286</v>
      </c>
      <c r="J35" s="190" t="s">
        <v>287</v>
      </c>
      <c r="K35" s="190" t="s">
        <v>287</v>
      </c>
      <c r="L35" s="184"/>
      <c r="M35" s="184"/>
      <c r="N35" s="184"/>
      <c r="O35" s="184"/>
      <c r="P35" s="184"/>
      <c r="Q35" s="184"/>
      <c r="R35" s="184"/>
      <c r="S35" s="184"/>
      <c r="T35" s="184"/>
      <c r="U35" s="184"/>
      <c r="V35" s="184"/>
      <c r="W35" s="184"/>
      <c r="X35" s="184"/>
      <c r="Y35" s="184"/>
      <c r="Z35" s="184"/>
      <c r="AA35" s="184"/>
    </row>
    <row r="36">
      <c r="A36" s="144">
        <v>34.0</v>
      </c>
      <c r="B36" s="186" t="s">
        <v>325</v>
      </c>
      <c r="C36" s="144" t="s">
        <v>283</v>
      </c>
      <c r="D36" s="144" t="s">
        <v>289</v>
      </c>
      <c r="E36" s="144" t="s">
        <v>290</v>
      </c>
      <c r="F36" s="187"/>
      <c r="G36" s="188">
        <v>3.0</v>
      </c>
      <c r="H36" s="189">
        <f t="shared" si="4"/>
        <v>3</v>
      </c>
      <c r="I36" s="190" t="s">
        <v>286</v>
      </c>
      <c r="J36" s="190" t="s">
        <v>286</v>
      </c>
      <c r="K36" s="190" t="s">
        <v>286</v>
      </c>
      <c r="L36" s="184"/>
      <c r="M36" s="184"/>
      <c r="N36" s="184"/>
      <c r="O36" s="184"/>
      <c r="P36" s="184"/>
      <c r="Q36" s="184"/>
      <c r="R36" s="184"/>
      <c r="S36" s="184"/>
      <c r="T36" s="184"/>
      <c r="U36" s="184"/>
      <c r="V36" s="184"/>
      <c r="W36" s="184"/>
      <c r="X36" s="184"/>
      <c r="Y36" s="184"/>
      <c r="Z36" s="184"/>
      <c r="AA36" s="184"/>
    </row>
    <row r="37">
      <c r="A37" s="144">
        <v>35.0</v>
      </c>
      <c r="B37" s="186" t="s">
        <v>326</v>
      </c>
      <c r="C37" s="144" t="s">
        <v>304</v>
      </c>
      <c r="D37" s="144" t="s">
        <v>284</v>
      </c>
      <c r="E37" s="144" t="s">
        <v>285</v>
      </c>
      <c r="F37" s="187"/>
      <c r="G37" s="188">
        <v>17.0</v>
      </c>
      <c r="H37" s="189">
        <f t="shared" si="4"/>
        <v>17</v>
      </c>
      <c r="I37" s="190" t="s">
        <v>286</v>
      </c>
      <c r="J37" s="190" t="s">
        <v>286</v>
      </c>
      <c r="K37" s="190" t="s">
        <v>286</v>
      </c>
      <c r="L37" s="184"/>
      <c r="M37" s="184"/>
      <c r="N37" s="184"/>
      <c r="O37" s="184"/>
      <c r="P37" s="184"/>
      <c r="Q37" s="184"/>
      <c r="R37" s="184"/>
      <c r="S37" s="184"/>
      <c r="T37" s="184"/>
      <c r="U37" s="184"/>
      <c r="V37" s="184"/>
      <c r="W37" s="184"/>
      <c r="X37" s="184"/>
      <c r="Y37" s="184"/>
      <c r="Z37" s="184"/>
      <c r="AA37" s="184"/>
    </row>
    <row r="38">
      <c r="A38" s="144">
        <v>36.0</v>
      </c>
      <c r="B38" s="186" t="s">
        <v>327</v>
      </c>
      <c r="C38" s="144" t="s">
        <v>283</v>
      </c>
      <c r="D38" s="144" t="s">
        <v>284</v>
      </c>
      <c r="E38" s="144" t="s">
        <v>285</v>
      </c>
      <c r="F38" s="187"/>
      <c r="G38" s="188">
        <v>7.0</v>
      </c>
      <c r="H38" s="189">
        <f t="shared" si="4"/>
        <v>7</v>
      </c>
      <c r="I38" s="190" t="s">
        <v>63</v>
      </c>
      <c r="J38" s="190" t="s">
        <v>286</v>
      </c>
      <c r="K38" s="190" t="s">
        <v>286</v>
      </c>
      <c r="L38" s="184"/>
      <c r="M38" s="184"/>
      <c r="N38" s="184"/>
      <c r="O38" s="184"/>
      <c r="P38" s="184"/>
      <c r="Q38" s="184"/>
      <c r="R38" s="184"/>
      <c r="S38" s="184"/>
      <c r="T38" s="184"/>
      <c r="U38" s="184"/>
      <c r="V38" s="184"/>
      <c r="W38" s="184"/>
      <c r="X38" s="184"/>
      <c r="Y38" s="184"/>
      <c r="Z38" s="184"/>
      <c r="AA38" s="184"/>
    </row>
    <row r="39">
      <c r="A39" s="144">
        <v>37.0</v>
      </c>
      <c r="B39" s="186" t="s">
        <v>328</v>
      </c>
      <c r="C39" s="144" t="s">
        <v>283</v>
      </c>
      <c r="D39" s="144" t="s">
        <v>284</v>
      </c>
      <c r="E39" s="144" t="s">
        <v>285</v>
      </c>
      <c r="F39" s="187"/>
      <c r="G39" s="188">
        <v>20.0</v>
      </c>
      <c r="H39" s="189">
        <f t="shared" si="4"/>
        <v>20</v>
      </c>
      <c r="I39" s="190" t="s">
        <v>286</v>
      </c>
      <c r="J39" s="190" t="s">
        <v>286</v>
      </c>
      <c r="K39" s="190" t="s">
        <v>63</v>
      </c>
      <c r="L39" s="184"/>
      <c r="M39" s="184"/>
      <c r="N39" s="184"/>
      <c r="O39" s="184"/>
      <c r="P39" s="184"/>
      <c r="Q39" s="184"/>
      <c r="R39" s="184"/>
      <c r="S39" s="184"/>
      <c r="T39" s="184"/>
      <c r="U39" s="184"/>
      <c r="V39" s="184"/>
      <c r="W39" s="184"/>
      <c r="X39" s="184"/>
      <c r="Y39" s="184"/>
      <c r="Z39" s="184"/>
      <c r="AA39" s="184"/>
    </row>
    <row r="40">
      <c r="A40" s="144">
        <v>38.0</v>
      </c>
      <c r="B40" s="186" t="s">
        <v>329</v>
      </c>
      <c r="C40" s="144" t="s">
        <v>283</v>
      </c>
      <c r="D40" s="144" t="s">
        <v>289</v>
      </c>
      <c r="E40" s="144" t="s">
        <v>290</v>
      </c>
      <c r="F40" s="190"/>
      <c r="G40" s="188">
        <v>7.0</v>
      </c>
      <c r="H40" s="189">
        <f t="shared" si="4"/>
        <v>7</v>
      </c>
      <c r="I40" s="190"/>
      <c r="J40" s="190"/>
      <c r="K40" s="190"/>
      <c r="L40" s="184"/>
      <c r="M40" s="184"/>
      <c r="N40" s="184"/>
      <c r="O40" s="184"/>
      <c r="P40" s="184"/>
      <c r="Q40" s="184"/>
      <c r="R40" s="184"/>
      <c r="S40" s="184"/>
      <c r="T40" s="184"/>
      <c r="U40" s="184"/>
      <c r="V40" s="184"/>
      <c r="W40" s="184"/>
      <c r="X40" s="184"/>
      <c r="Y40" s="184"/>
      <c r="Z40" s="184"/>
      <c r="AA40" s="184"/>
    </row>
    <row r="41">
      <c r="A41" s="144">
        <v>39.0</v>
      </c>
      <c r="B41" s="186" t="s">
        <v>330</v>
      </c>
      <c r="C41" s="144" t="s">
        <v>283</v>
      </c>
      <c r="D41" s="144" t="s">
        <v>305</v>
      </c>
      <c r="E41" s="144" t="s">
        <v>285</v>
      </c>
      <c r="F41" s="190"/>
      <c r="G41" s="188">
        <v>17.0</v>
      </c>
      <c r="H41" s="189">
        <f t="shared" si="4"/>
        <v>17</v>
      </c>
      <c r="I41" s="190" t="s">
        <v>63</v>
      </c>
      <c r="J41" s="190" t="s">
        <v>63</v>
      </c>
      <c r="K41" s="190" t="s">
        <v>287</v>
      </c>
      <c r="L41" s="184"/>
      <c r="M41" s="184"/>
      <c r="N41" s="184"/>
      <c r="O41" s="184"/>
      <c r="P41" s="184"/>
      <c r="Q41" s="184"/>
      <c r="R41" s="184"/>
      <c r="S41" s="184"/>
      <c r="T41" s="184"/>
      <c r="U41" s="184"/>
      <c r="V41" s="184"/>
      <c r="W41" s="184"/>
      <c r="X41" s="184"/>
      <c r="Y41" s="184"/>
      <c r="Z41" s="184"/>
      <c r="AA41" s="184"/>
    </row>
    <row r="42">
      <c r="A42" s="144">
        <v>40.0</v>
      </c>
      <c r="B42" s="186" t="s">
        <v>331</v>
      </c>
      <c r="C42" s="144" t="s">
        <v>304</v>
      </c>
      <c r="D42" s="144" t="s">
        <v>284</v>
      </c>
      <c r="E42" s="144" t="s">
        <v>285</v>
      </c>
      <c r="F42" s="187"/>
      <c r="G42" s="188">
        <v>18.0</v>
      </c>
      <c r="H42" s="189">
        <f t="shared" si="4"/>
        <v>18</v>
      </c>
      <c r="I42" s="191"/>
      <c r="J42" s="191"/>
      <c r="K42" s="191"/>
      <c r="L42" s="184"/>
      <c r="M42" s="184"/>
      <c r="N42" s="184"/>
      <c r="O42" s="184"/>
      <c r="P42" s="184"/>
      <c r="Q42" s="184"/>
      <c r="R42" s="184"/>
      <c r="S42" s="184"/>
      <c r="T42" s="184"/>
      <c r="U42" s="184"/>
      <c r="V42" s="184"/>
      <c r="W42" s="184"/>
      <c r="X42" s="184"/>
      <c r="Y42" s="184"/>
      <c r="Z42" s="184"/>
      <c r="AA42" s="184"/>
    </row>
    <row r="43">
      <c r="A43" s="144">
        <v>41.0</v>
      </c>
      <c r="B43" s="186" t="s">
        <v>332</v>
      </c>
      <c r="C43" s="144" t="s">
        <v>283</v>
      </c>
      <c r="D43" s="144" t="s">
        <v>284</v>
      </c>
      <c r="E43" s="144" t="s">
        <v>285</v>
      </c>
      <c r="F43" s="187"/>
      <c r="G43" s="188">
        <v>7.0</v>
      </c>
      <c r="H43" s="189">
        <f t="shared" si="4"/>
        <v>7</v>
      </c>
      <c r="I43" s="190" t="s">
        <v>286</v>
      </c>
      <c r="J43" s="190" t="s">
        <v>286</v>
      </c>
      <c r="K43" s="190" t="s">
        <v>63</v>
      </c>
      <c r="L43" s="184"/>
      <c r="M43" s="184"/>
      <c r="N43" s="184"/>
      <c r="O43" s="184"/>
      <c r="P43" s="184"/>
      <c r="Q43" s="184"/>
      <c r="R43" s="184"/>
      <c r="S43" s="184"/>
      <c r="T43" s="184"/>
      <c r="U43" s="184"/>
      <c r="V43" s="184"/>
      <c r="W43" s="184"/>
      <c r="X43" s="184"/>
      <c r="Y43" s="184"/>
      <c r="Z43" s="184"/>
      <c r="AA43" s="184"/>
    </row>
    <row r="44">
      <c r="A44" s="144">
        <v>42.0</v>
      </c>
      <c r="B44" s="186" t="s">
        <v>333</v>
      </c>
      <c r="C44" s="144" t="s">
        <v>283</v>
      </c>
      <c r="D44" s="144" t="s">
        <v>284</v>
      </c>
      <c r="E44" s="144" t="s">
        <v>285</v>
      </c>
      <c r="F44" s="187"/>
      <c r="G44" s="188">
        <v>7.0</v>
      </c>
      <c r="H44" s="189">
        <f t="shared" si="4"/>
        <v>7</v>
      </c>
      <c r="I44" s="190" t="s">
        <v>63</v>
      </c>
      <c r="J44" s="190" t="s">
        <v>286</v>
      </c>
      <c r="K44" s="190" t="s">
        <v>63</v>
      </c>
      <c r="L44" s="184"/>
      <c r="M44" s="184"/>
      <c r="N44" s="184"/>
      <c r="O44" s="184"/>
      <c r="P44" s="184"/>
      <c r="Q44" s="184"/>
      <c r="R44" s="184"/>
      <c r="S44" s="184"/>
      <c r="T44" s="184"/>
      <c r="U44" s="184"/>
      <c r="V44" s="184"/>
      <c r="W44" s="184"/>
      <c r="X44" s="184"/>
      <c r="Y44" s="184"/>
      <c r="Z44" s="184"/>
      <c r="AA44" s="184"/>
    </row>
    <row r="45">
      <c r="A45" s="144">
        <v>43.0</v>
      </c>
      <c r="B45" s="186" t="s">
        <v>334</v>
      </c>
      <c r="C45" s="144" t="s">
        <v>283</v>
      </c>
      <c r="D45" s="144" t="s">
        <v>290</v>
      </c>
      <c r="E45" s="144" t="s">
        <v>290</v>
      </c>
      <c r="F45" s="187"/>
      <c r="G45" s="188" t="s">
        <v>290</v>
      </c>
      <c r="H45" s="189" t="str">
        <f t="shared" si="4"/>
        <v>-</v>
      </c>
      <c r="I45" s="189" t="str">
        <f t="shared" ref="I45:K45" si="5">H45</f>
        <v>-</v>
      </c>
      <c r="J45" s="189" t="str">
        <f t="shared" si="5"/>
        <v>-</v>
      </c>
      <c r="K45" s="189" t="str">
        <f t="shared" si="5"/>
        <v>-</v>
      </c>
      <c r="L45" s="184"/>
      <c r="M45" s="184"/>
      <c r="N45" s="184"/>
      <c r="O45" s="184"/>
      <c r="P45" s="184"/>
      <c r="Q45" s="184"/>
      <c r="R45" s="184"/>
      <c r="S45" s="184"/>
      <c r="T45" s="184"/>
      <c r="U45" s="184"/>
      <c r="V45" s="184"/>
      <c r="W45" s="184"/>
      <c r="X45" s="184"/>
      <c r="Y45" s="184"/>
      <c r="Z45" s="184"/>
      <c r="AA45" s="184"/>
    </row>
    <row r="46">
      <c r="A46" s="144">
        <v>44.0</v>
      </c>
      <c r="B46" s="186" t="s">
        <v>335</v>
      </c>
      <c r="C46" s="144" t="s">
        <v>283</v>
      </c>
      <c r="D46" s="144" t="s">
        <v>284</v>
      </c>
      <c r="E46" s="144" t="s">
        <v>285</v>
      </c>
      <c r="F46" s="190"/>
      <c r="G46" s="188">
        <v>12.0</v>
      </c>
      <c r="H46" s="189">
        <f t="shared" si="4"/>
        <v>12</v>
      </c>
      <c r="I46" s="191"/>
      <c r="J46" s="191"/>
      <c r="K46" s="191"/>
      <c r="L46" s="184"/>
      <c r="M46" s="184"/>
      <c r="N46" s="184"/>
      <c r="O46" s="184"/>
      <c r="P46" s="184"/>
      <c r="Q46" s="184"/>
      <c r="R46" s="184"/>
      <c r="S46" s="184"/>
      <c r="T46" s="184"/>
      <c r="U46" s="184"/>
      <c r="V46" s="184"/>
      <c r="W46" s="184"/>
      <c r="X46" s="184"/>
      <c r="Y46" s="184"/>
      <c r="Z46" s="184"/>
      <c r="AA46" s="184"/>
    </row>
    <row r="47">
      <c r="A47" s="144">
        <v>45.0</v>
      </c>
      <c r="B47" s="186" t="s">
        <v>336</v>
      </c>
      <c r="C47" s="144" t="s">
        <v>283</v>
      </c>
      <c r="D47" s="144" t="s">
        <v>284</v>
      </c>
      <c r="E47" s="144" t="s">
        <v>285</v>
      </c>
      <c r="F47" s="187"/>
      <c r="G47" s="188">
        <v>7.0</v>
      </c>
      <c r="H47" s="189">
        <f t="shared" si="4"/>
        <v>7</v>
      </c>
      <c r="I47" s="190" t="s">
        <v>286</v>
      </c>
      <c r="J47" s="190" t="s">
        <v>286</v>
      </c>
      <c r="K47" s="190" t="s">
        <v>63</v>
      </c>
      <c r="L47" s="184"/>
      <c r="M47" s="184"/>
      <c r="N47" s="184"/>
      <c r="O47" s="184"/>
      <c r="P47" s="184"/>
      <c r="Q47" s="184"/>
      <c r="R47" s="184"/>
      <c r="S47" s="184"/>
      <c r="T47" s="184"/>
      <c r="U47" s="184"/>
      <c r="V47" s="184"/>
      <c r="W47" s="184"/>
      <c r="X47" s="184"/>
      <c r="Y47" s="184"/>
      <c r="Z47" s="184"/>
      <c r="AA47" s="184"/>
    </row>
    <row r="48">
      <c r="A48" s="144">
        <v>46.0</v>
      </c>
      <c r="B48" s="186" t="s">
        <v>337</v>
      </c>
      <c r="C48" s="144" t="s">
        <v>283</v>
      </c>
      <c r="D48" s="144" t="s">
        <v>290</v>
      </c>
      <c r="E48" s="144" t="s">
        <v>290</v>
      </c>
      <c r="F48" s="187"/>
      <c r="G48" s="188" t="s">
        <v>290</v>
      </c>
      <c r="H48" s="189" t="str">
        <f t="shared" si="4"/>
        <v>-</v>
      </c>
      <c r="I48" s="191"/>
      <c r="J48" s="191"/>
      <c r="K48" s="191"/>
      <c r="L48" s="184"/>
      <c r="M48" s="184"/>
      <c r="N48" s="184"/>
      <c r="O48" s="184"/>
      <c r="P48" s="184"/>
      <c r="Q48" s="184"/>
      <c r="R48" s="184"/>
      <c r="S48" s="184"/>
      <c r="T48" s="184"/>
      <c r="U48" s="184"/>
      <c r="V48" s="184"/>
      <c r="W48" s="184"/>
      <c r="X48" s="184"/>
      <c r="Y48" s="184"/>
      <c r="Z48" s="184"/>
      <c r="AA48" s="184"/>
    </row>
    <row r="49">
      <c r="A49" s="144">
        <v>47.0</v>
      </c>
      <c r="B49" s="186" t="s">
        <v>338</v>
      </c>
      <c r="C49" s="144" t="s">
        <v>283</v>
      </c>
      <c r="D49" s="144" t="s">
        <v>284</v>
      </c>
      <c r="E49" s="144" t="s">
        <v>285</v>
      </c>
      <c r="F49" s="187"/>
      <c r="G49" s="188">
        <v>7.0</v>
      </c>
      <c r="H49" s="189">
        <f t="shared" si="4"/>
        <v>7</v>
      </c>
      <c r="I49" s="190" t="s">
        <v>286</v>
      </c>
      <c r="J49" s="190" t="s">
        <v>286</v>
      </c>
      <c r="K49" s="190" t="s">
        <v>287</v>
      </c>
      <c r="L49" s="184"/>
      <c r="M49" s="184"/>
      <c r="N49" s="184"/>
      <c r="O49" s="184"/>
      <c r="P49" s="184"/>
      <c r="Q49" s="184"/>
      <c r="R49" s="184"/>
      <c r="S49" s="184"/>
      <c r="T49" s="184"/>
      <c r="U49" s="184"/>
      <c r="V49" s="184"/>
      <c r="W49" s="184"/>
      <c r="X49" s="184"/>
      <c r="Y49" s="184"/>
      <c r="Z49" s="184"/>
      <c r="AA49" s="184"/>
    </row>
    <row r="50">
      <c r="A50" s="144">
        <v>48.0</v>
      </c>
      <c r="B50" s="186" t="s">
        <v>339</v>
      </c>
      <c r="C50" s="144" t="s">
        <v>283</v>
      </c>
      <c r="D50" s="144" t="s">
        <v>284</v>
      </c>
      <c r="E50" s="144" t="s">
        <v>285</v>
      </c>
      <c r="F50" s="187"/>
      <c r="G50" s="188">
        <v>7.0</v>
      </c>
      <c r="H50" s="189">
        <f t="shared" si="4"/>
        <v>7</v>
      </c>
      <c r="I50" s="191"/>
      <c r="J50" s="191"/>
      <c r="K50" s="191"/>
      <c r="L50" s="184"/>
      <c r="M50" s="184"/>
      <c r="N50" s="184"/>
      <c r="O50" s="184"/>
      <c r="P50" s="184"/>
      <c r="Q50" s="184"/>
      <c r="R50" s="184"/>
      <c r="S50" s="184"/>
      <c r="T50" s="184"/>
      <c r="U50" s="184"/>
      <c r="V50" s="184"/>
      <c r="W50" s="184"/>
      <c r="X50" s="184"/>
      <c r="Y50" s="184"/>
      <c r="Z50" s="184"/>
      <c r="AA50" s="184"/>
    </row>
    <row r="51">
      <c r="A51" s="144">
        <v>49.0</v>
      </c>
      <c r="B51" s="186" t="s">
        <v>340</v>
      </c>
      <c r="C51" s="144" t="s">
        <v>283</v>
      </c>
      <c r="D51" s="144" t="s">
        <v>284</v>
      </c>
      <c r="E51" s="144" t="s">
        <v>285</v>
      </c>
      <c r="F51" s="187"/>
      <c r="G51" s="188">
        <v>7.0</v>
      </c>
      <c r="H51" s="189">
        <f t="shared" si="4"/>
        <v>7</v>
      </c>
      <c r="I51" s="191"/>
      <c r="J51" s="191"/>
      <c r="K51" s="191"/>
      <c r="L51" s="184"/>
      <c r="M51" s="184"/>
      <c r="N51" s="184"/>
      <c r="O51" s="184"/>
      <c r="P51" s="184"/>
      <c r="Q51" s="184"/>
      <c r="R51" s="184"/>
      <c r="S51" s="184"/>
      <c r="T51" s="184"/>
      <c r="U51" s="184"/>
      <c r="V51" s="184"/>
      <c r="W51" s="184"/>
      <c r="X51" s="184"/>
      <c r="Y51" s="184"/>
      <c r="Z51" s="184"/>
      <c r="AA51" s="184"/>
    </row>
    <row r="52">
      <c r="A52" s="144">
        <v>50.0</v>
      </c>
      <c r="B52" s="186" t="s">
        <v>341</v>
      </c>
      <c r="C52" s="144" t="s">
        <v>283</v>
      </c>
      <c r="D52" s="144" t="s">
        <v>284</v>
      </c>
      <c r="E52" s="144" t="s">
        <v>285</v>
      </c>
      <c r="F52" s="187"/>
      <c r="G52" s="188">
        <v>7.0</v>
      </c>
      <c r="H52" s="189">
        <f t="shared" si="4"/>
        <v>7</v>
      </c>
      <c r="I52" s="190" t="s">
        <v>286</v>
      </c>
      <c r="J52" s="190" t="s">
        <v>63</v>
      </c>
      <c r="K52" s="190" t="s">
        <v>286</v>
      </c>
      <c r="L52" s="184"/>
      <c r="M52" s="184"/>
      <c r="N52" s="184"/>
      <c r="O52" s="184"/>
      <c r="P52" s="184"/>
      <c r="Q52" s="184"/>
      <c r="R52" s="184"/>
      <c r="S52" s="184"/>
      <c r="T52" s="184"/>
      <c r="U52" s="184"/>
      <c r="V52" s="184"/>
      <c r="W52" s="184"/>
      <c r="X52" s="184"/>
      <c r="Y52" s="184"/>
      <c r="Z52" s="184"/>
      <c r="AA52" s="184"/>
    </row>
    <row r="53">
      <c r="A53" s="144">
        <v>51.0</v>
      </c>
      <c r="B53" s="186" t="s">
        <v>342</v>
      </c>
      <c r="C53" s="144" t="s">
        <v>283</v>
      </c>
      <c r="D53" s="144" t="s">
        <v>284</v>
      </c>
      <c r="E53" s="144" t="s">
        <v>285</v>
      </c>
      <c r="F53" s="190"/>
      <c r="G53" s="188">
        <v>7.0</v>
      </c>
      <c r="H53" s="189">
        <f t="shared" si="4"/>
        <v>7</v>
      </c>
      <c r="I53" s="190" t="s">
        <v>63</v>
      </c>
      <c r="J53" s="190" t="s">
        <v>286</v>
      </c>
      <c r="K53" s="190" t="s">
        <v>286</v>
      </c>
      <c r="L53" s="184"/>
      <c r="M53" s="184"/>
      <c r="N53" s="184"/>
      <c r="O53" s="184"/>
      <c r="P53" s="184"/>
      <c r="Q53" s="184"/>
      <c r="R53" s="184"/>
      <c r="S53" s="184"/>
      <c r="T53" s="184"/>
      <c r="U53" s="184"/>
      <c r="V53" s="184"/>
      <c r="W53" s="184"/>
      <c r="X53" s="184"/>
      <c r="Y53" s="184"/>
      <c r="Z53" s="184"/>
      <c r="AA53" s="184"/>
    </row>
    <row r="54">
      <c r="A54" s="144">
        <v>52.0</v>
      </c>
      <c r="B54" s="186" t="s">
        <v>343</v>
      </c>
      <c r="C54" s="144" t="s">
        <v>283</v>
      </c>
      <c r="D54" s="144" t="s">
        <v>289</v>
      </c>
      <c r="E54" s="144" t="s">
        <v>290</v>
      </c>
      <c r="F54" s="187"/>
      <c r="G54" s="188">
        <v>1.0</v>
      </c>
      <c r="H54" s="189">
        <f t="shared" si="4"/>
        <v>1</v>
      </c>
      <c r="I54" s="190" t="s">
        <v>63</v>
      </c>
      <c r="J54" s="190" t="s">
        <v>286</v>
      </c>
      <c r="K54" s="190" t="s">
        <v>286</v>
      </c>
      <c r="L54" s="184"/>
      <c r="M54" s="184"/>
      <c r="N54" s="184"/>
      <c r="O54" s="184"/>
      <c r="P54" s="184"/>
      <c r="Q54" s="184"/>
      <c r="R54" s="184"/>
      <c r="S54" s="184"/>
      <c r="T54" s="184"/>
      <c r="U54" s="184"/>
      <c r="V54" s="184"/>
      <c r="W54" s="184"/>
      <c r="X54" s="184"/>
      <c r="Y54" s="184"/>
      <c r="Z54" s="184"/>
      <c r="AA54" s="184"/>
    </row>
    <row r="55">
      <c r="A55" s="144">
        <v>53.0</v>
      </c>
      <c r="B55" s="186" t="s">
        <v>344</v>
      </c>
      <c r="C55" s="144" t="s">
        <v>283</v>
      </c>
      <c r="D55" s="144" t="s">
        <v>284</v>
      </c>
      <c r="E55" s="144" t="s">
        <v>285</v>
      </c>
      <c r="F55" s="187"/>
      <c r="G55" s="188">
        <v>21.0</v>
      </c>
      <c r="H55" s="189">
        <f t="shared" si="4"/>
        <v>21</v>
      </c>
      <c r="I55" s="190" t="s">
        <v>286</v>
      </c>
      <c r="J55" s="190" t="s">
        <v>286</v>
      </c>
      <c r="K55" s="190" t="s">
        <v>286</v>
      </c>
      <c r="L55" s="184"/>
      <c r="M55" s="184"/>
      <c r="N55" s="184"/>
      <c r="O55" s="184"/>
      <c r="P55" s="184"/>
      <c r="Q55" s="184"/>
      <c r="R55" s="184"/>
      <c r="S55" s="184"/>
      <c r="T55" s="184"/>
      <c r="U55" s="184"/>
      <c r="V55" s="184"/>
      <c r="W55" s="184"/>
      <c r="X55" s="184"/>
      <c r="Y55" s="184"/>
      <c r="Z55" s="184"/>
      <c r="AA55" s="184"/>
    </row>
    <row r="56">
      <c r="A56" s="144">
        <v>54.0</v>
      </c>
      <c r="B56" s="186" t="s">
        <v>345</v>
      </c>
      <c r="C56" s="144" t="s">
        <v>283</v>
      </c>
      <c r="D56" s="144" t="s">
        <v>284</v>
      </c>
      <c r="E56" s="144" t="s">
        <v>285</v>
      </c>
      <c r="F56" s="187"/>
      <c r="G56" s="188">
        <v>7.0</v>
      </c>
      <c r="H56" s="189">
        <f t="shared" si="4"/>
        <v>7</v>
      </c>
      <c r="I56" s="190" t="s">
        <v>63</v>
      </c>
      <c r="J56" s="190" t="s">
        <v>286</v>
      </c>
      <c r="K56" s="190" t="s">
        <v>287</v>
      </c>
      <c r="L56" s="184"/>
      <c r="M56" s="184"/>
      <c r="N56" s="184"/>
      <c r="O56" s="184"/>
      <c r="P56" s="184"/>
      <c r="Q56" s="184"/>
      <c r="R56" s="184"/>
      <c r="S56" s="184"/>
      <c r="T56" s="184"/>
      <c r="U56" s="184"/>
      <c r="V56" s="184"/>
      <c r="W56" s="184"/>
      <c r="X56" s="184"/>
      <c r="Y56" s="184"/>
      <c r="Z56" s="184"/>
      <c r="AA56" s="184"/>
    </row>
    <row r="57">
      <c r="A57" s="144">
        <v>55.0</v>
      </c>
      <c r="B57" s="186" t="s">
        <v>346</v>
      </c>
      <c r="C57" s="144" t="s">
        <v>283</v>
      </c>
      <c r="D57" s="144" t="s">
        <v>284</v>
      </c>
      <c r="E57" s="144" t="s">
        <v>285</v>
      </c>
      <c r="F57" s="187"/>
      <c r="G57" s="188">
        <v>7.0</v>
      </c>
      <c r="H57" s="189">
        <f t="shared" si="4"/>
        <v>7</v>
      </c>
      <c r="I57" s="191"/>
      <c r="J57" s="191"/>
      <c r="K57" s="191"/>
      <c r="L57" s="184"/>
      <c r="M57" s="184"/>
      <c r="N57" s="184"/>
      <c r="O57" s="184"/>
      <c r="P57" s="184"/>
      <c r="Q57" s="184"/>
      <c r="R57" s="184"/>
      <c r="S57" s="184"/>
      <c r="T57" s="184"/>
      <c r="U57" s="184"/>
      <c r="V57" s="184"/>
      <c r="W57" s="184"/>
      <c r="X57" s="184"/>
      <c r="Y57" s="184"/>
      <c r="Z57" s="184"/>
      <c r="AA57" s="184"/>
    </row>
    <row r="58">
      <c r="A58" s="144">
        <v>56.0</v>
      </c>
      <c r="B58" s="186" t="s">
        <v>347</v>
      </c>
      <c r="C58" s="144" t="s">
        <v>283</v>
      </c>
      <c r="D58" s="144" t="s">
        <v>290</v>
      </c>
      <c r="E58" s="144" t="s">
        <v>290</v>
      </c>
      <c r="F58" s="187"/>
      <c r="G58" s="188" t="s">
        <v>290</v>
      </c>
      <c r="H58" s="189" t="str">
        <f t="shared" si="4"/>
        <v>-</v>
      </c>
      <c r="I58" s="190" t="s">
        <v>63</v>
      </c>
      <c r="J58" s="190" t="s">
        <v>286</v>
      </c>
      <c r="K58" s="190" t="s">
        <v>287</v>
      </c>
      <c r="L58" s="184"/>
      <c r="M58" s="184"/>
      <c r="N58" s="184"/>
      <c r="O58" s="184"/>
      <c r="P58" s="184"/>
      <c r="Q58" s="184"/>
      <c r="R58" s="184"/>
      <c r="S58" s="184"/>
      <c r="T58" s="184"/>
      <c r="U58" s="184"/>
      <c r="V58" s="184"/>
      <c r="W58" s="184"/>
      <c r="X58" s="184"/>
      <c r="Y58" s="184"/>
      <c r="Z58" s="184"/>
      <c r="AA58" s="184"/>
    </row>
    <row r="59">
      <c r="A59" s="144">
        <v>57.0</v>
      </c>
      <c r="B59" s="186" t="s">
        <v>348</v>
      </c>
      <c r="C59" s="144" t="s">
        <v>283</v>
      </c>
      <c r="D59" s="144" t="s">
        <v>284</v>
      </c>
      <c r="E59" s="144" t="s">
        <v>285</v>
      </c>
      <c r="F59" s="187"/>
      <c r="G59" s="188">
        <v>11.0</v>
      </c>
      <c r="H59" s="189">
        <f t="shared" si="4"/>
        <v>11</v>
      </c>
      <c r="I59" s="191"/>
      <c r="J59" s="191"/>
      <c r="K59" s="191"/>
      <c r="L59" s="184"/>
      <c r="M59" s="184"/>
      <c r="N59" s="184"/>
      <c r="O59" s="184"/>
      <c r="P59" s="184"/>
      <c r="Q59" s="184"/>
      <c r="R59" s="184"/>
      <c r="S59" s="184"/>
      <c r="T59" s="184"/>
      <c r="U59" s="184"/>
      <c r="V59" s="184"/>
      <c r="W59" s="184"/>
      <c r="X59" s="184"/>
      <c r="Y59" s="184"/>
      <c r="Z59" s="184"/>
      <c r="AA59" s="184"/>
    </row>
    <row r="60">
      <c r="A60" s="144">
        <v>58.0</v>
      </c>
      <c r="B60" s="186" t="s">
        <v>349</v>
      </c>
      <c r="C60" s="144" t="s">
        <v>283</v>
      </c>
      <c r="D60" s="144" t="s">
        <v>290</v>
      </c>
      <c r="E60" s="144" t="s">
        <v>290</v>
      </c>
      <c r="F60" s="187"/>
      <c r="G60" s="188" t="s">
        <v>290</v>
      </c>
      <c r="H60" s="189" t="str">
        <f t="shared" si="4"/>
        <v>-</v>
      </c>
      <c r="I60" s="190" t="s">
        <v>63</v>
      </c>
      <c r="J60" s="190" t="s">
        <v>286</v>
      </c>
      <c r="K60" s="190" t="s">
        <v>286</v>
      </c>
      <c r="L60" s="184"/>
      <c r="M60" s="184"/>
      <c r="N60" s="184"/>
      <c r="O60" s="184"/>
      <c r="P60" s="184"/>
      <c r="Q60" s="184"/>
      <c r="R60" s="184"/>
      <c r="S60" s="184"/>
      <c r="T60" s="184"/>
      <c r="U60" s="184"/>
      <c r="V60" s="184"/>
      <c r="W60" s="184"/>
      <c r="X60" s="184"/>
      <c r="Y60" s="184"/>
      <c r="Z60" s="184"/>
      <c r="AA60" s="184"/>
    </row>
    <row r="61">
      <c r="A61" s="144">
        <v>59.0</v>
      </c>
      <c r="B61" s="186" t="s">
        <v>350</v>
      </c>
      <c r="C61" s="144" t="s">
        <v>283</v>
      </c>
      <c r="D61" s="144" t="s">
        <v>284</v>
      </c>
      <c r="E61" s="144" t="s">
        <v>285</v>
      </c>
      <c r="F61" s="187"/>
      <c r="G61" s="188">
        <v>12.0</v>
      </c>
      <c r="H61" s="189">
        <f t="shared" si="4"/>
        <v>12</v>
      </c>
      <c r="I61" s="191"/>
      <c r="J61" s="191"/>
      <c r="K61" s="191"/>
      <c r="L61" s="184"/>
      <c r="M61" s="184"/>
      <c r="N61" s="184"/>
      <c r="O61" s="184"/>
      <c r="P61" s="184"/>
      <c r="Q61" s="184"/>
      <c r="R61" s="184"/>
      <c r="S61" s="184"/>
      <c r="T61" s="184"/>
      <c r="U61" s="184"/>
      <c r="V61" s="184"/>
      <c r="W61" s="184"/>
      <c r="X61" s="184"/>
      <c r="Y61" s="184"/>
      <c r="Z61" s="184"/>
      <c r="AA61" s="184"/>
    </row>
    <row r="62">
      <c r="A62" s="144">
        <v>60.0</v>
      </c>
      <c r="B62" s="186" t="s">
        <v>351</v>
      </c>
      <c r="C62" s="144" t="s">
        <v>304</v>
      </c>
      <c r="D62" s="144" t="s">
        <v>284</v>
      </c>
      <c r="E62" s="144" t="s">
        <v>285</v>
      </c>
      <c r="F62" s="187"/>
      <c r="G62" s="188">
        <v>7.0</v>
      </c>
      <c r="H62" s="189">
        <f t="shared" si="4"/>
        <v>7</v>
      </c>
      <c r="I62" s="190" t="s">
        <v>287</v>
      </c>
      <c r="J62" s="190" t="s">
        <v>63</v>
      </c>
      <c r="K62" s="190" t="s">
        <v>286</v>
      </c>
      <c r="L62" s="184"/>
      <c r="M62" s="184"/>
      <c r="N62" s="184"/>
      <c r="O62" s="184"/>
      <c r="P62" s="184"/>
      <c r="Q62" s="184"/>
      <c r="R62" s="184"/>
      <c r="S62" s="184"/>
      <c r="T62" s="184"/>
      <c r="U62" s="184"/>
      <c r="V62" s="184"/>
      <c r="W62" s="184"/>
      <c r="X62" s="184"/>
      <c r="Y62" s="184"/>
      <c r="Z62" s="184"/>
      <c r="AA62" s="184"/>
    </row>
    <row r="63">
      <c r="A63" s="144">
        <v>61.0</v>
      </c>
      <c r="B63" s="186" t="s">
        <v>352</v>
      </c>
      <c r="C63" s="144" t="s">
        <v>283</v>
      </c>
      <c r="D63" s="144" t="s">
        <v>290</v>
      </c>
      <c r="E63" s="144" t="s">
        <v>290</v>
      </c>
      <c r="F63" s="187"/>
      <c r="G63" s="188" t="s">
        <v>290</v>
      </c>
      <c r="H63" s="189" t="str">
        <f t="shared" si="4"/>
        <v>-</v>
      </c>
      <c r="I63" s="190" t="s">
        <v>286</v>
      </c>
      <c r="J63" s="190" t="s">
        <v>286</v>
      </c>
      <c r="K63" s="190" t="s">
        <v>287</v>
      </c>
      <c r="L63" s="184"/>
      <c r="M63" s="184"/>
      <c r="N63" s="184"/>
      <c r="O63" s="184"/>
      <c r="P63" s="184"/>
      <c r="Q63" s="184"/>
      <c r="R63" s="184"/>
      <c r="S63" s="184"/>
      <c r="T63" s="184"/>
      <c r="U63" s="184"/>
      <c r="V63" s="184"/>
      <c r="W63" s="184"/>
      <c r="X63" s="184"/>
      <c r="Y63" s="184"/>
      <c r="Z63" s="184"/>
      <c r="AA63" s="184"/>
    </row>
    <row r="64">
      <c r="A64" s="144">
        <v>62.0</v>
      </c>
      <c r="B64" s="186" t="s">
        <v>353</v>
      </c>
      <c r="C64" s="144" t="s">
        <v>283</v>
      </c>
      <c r="D64" s="144" t="s">
        <v>289</v>
      </c>
      <c r="E64" s="144" t="s">
        <v>290</v>
      </c>
      <c r="F64" s="187"/>
      <c r="G64" s="188">
        <v>7.0</v>
      </c>
      <c r="H64" s="189">
        <f t="shared" si="4"/>
        <v>7</v>
      </c>
      <c r="I64" s="191"/>
      <c r="J64" s="191"/>
      <c r="K64" s="191"/>
      <c r="L64" s="184"/>
      <c r="M64" s="184"/>
      <c r="N64" s="184"/>
      <c r="O64" s="184"/>
      <c r="P64" s="184"/>
      <c r="Q64" s="184"/>
      <c r="R64" s="184"/>
      <c r="S64" s="184"/>
      <c r="T64" s="184"/>
      <c r="U64" s="184"/>
      <c r="V64" s="184"/>
      <c r="W64" s="184"/>
      <c r="X64" s="184"/>
      <c r="Y64" s="184"/>
      <c r="Z64" s="184"/>
      <c r="AA64" s="184"/>
    </row>
    <row r="65">
      <c r="A65" s="144">
        <v>63.0</v>
      </c>
      <c r="B65" s="186" t="s">
        <v>354</v>
      </c>
      <c r="C65" s="144" t="s">
        <v>304</v>
      </c>
      <c r="D65" s="144" t="s">
        <v>284</v>
      </c>
      <c r="E65" s="144" t="s">
        <v>285</v>
      </c>
      <c r="F65" s="187"/>
      <c r="G65" s="188">
        <v>13.0</v>
      </c>
      <c r="H65" s="189">
        <f t="shared" si="4"/>
        <v>13</v>
      </c>
      <c r="I65" s="190" t="s">
        <v>286</v>
      </c>
      <c r="J65" s="190" t="s">
        <v>286</v>
      </c>
      <c r="K65" s="190" t="s">
        <v>286</v>
      </c>
      <c r="L65" s="184"/>
      <c r="M65" s="184"/>
      <c r="N65" s="184"/>
      <c r="O65" s="184"/>
      <c r="P65" s="184"/>
      <c r="Q65" s="184"/>
      <c r="R65" s="184"/>
      <c r="S65" s="184"/>
      <c r="T65" s="184"/>
      <c r="U65" s="184"/>
      <c r="V65" s="184"/>
      <c r="W65" s="184"/>
      <c r="X65" s="184"/>
      <c r="Y65" s="184"/>
      <c r="Z65" s="184"/>
      <c r="AA65" s="184"/>
    </row>
    <row r="66">
      <c r="A66" s="144">
        <v>64.0</v>
      </c>
      <c r="B66" s="186" t="s">
        <v>355</v>
      </c>
      <c r="C66" s="144" t="s">
        <v>283</v>
      </c>
      <c r="D66" s="144" t="s">
        <v>290</v>
      </c>
      <c r="E66" s="144" t="s">
        <v>290</v>
      </c>
      <c r="F66" s="187"/>
      <c r="G66" s="188" t="s">
        <v>290</v>
      </c>
      <c r="H66" s="189" t="str">
        <f t="shared" si="4"/>
        <v>-</v>
      </c>
      <c r="I66" s="190"/>
      <c r="J66" s="190"/>
      <c r="K66" s="190"/>
      <c r="L66" s="184"/>
      <c r="M66" s="184"/>
      <c r="N66" s="184"/>
      <c r="O66" s="184"/>
      <c r="P66" s="184"/>
      <c r="Q66" s="184"/>
      <c r="R66" s="184"/>
      <c r="S66" s="184"/>
      <c r="T66" s="184"/>
      <c r="U66" s="184"/>
      <c r="V66" s="184"/>
      <c r="W66" s="184"/>
      <c r="X66" s="184"/>
      <c r="Y66" s="184"/>
      <c r="Z66" s="184"/>
      <c r="AA66" s="184"/>
    </row>
    <row r="67">
      <c r="A67" s="144">
        <v>65.0</v>
      </c>
      <c r="B67" s="186" t="s">
        <v>356</v>
      </c>
      <c r="C67" s="144" t="s">
        <v>283</v>
      </c>
      <c r="D67" s="144" t="s">
        <v>289</v>
      </c>
      <c r="E67" s="144" t="s">
        <v>290</v>
      </c>
      <c r="F67" s="187"/>
      <c r="G67" s="188" t="s">
        <v>290</v>
      </c>
      <c r="H67" s="189" t="str">
        <f t="shared" si="4"/>
        <v>-</v>
      </c>
      <c r="I67" s="190"/>
      <c r="J67" s="190"/>
      <c r="K67" s="190"/>
      <c r="L67" s="184"/>
      <c r="M67" s="184"/>
      <c r="N67" s="184"/>
      <c r="O67" s="184"/>
      <c r="P67" s="184"/>
      <c r="Q67" s="184"/>
      <c r="R67" s="184"/>
      <c r="S67" s="184"/>
      <c r="T67" s="184"/>
      <c r="U67" s="184"/>
      <c r="V67" s="184"/>
      <c r="W67" s="184"/>
      <c r="X67" s="184"/>
      <c r="Y67" s="184"/>
      <c r="Z67" s="184"/>
      <c r="AA67" s="184"/>
    </row>
    <row r="68">
      <c r="A68" s="144">
        <v>66.0</v>
      </c>
      <c r="B68" s="186" t="s">
        <v>357</v>
      </c>
      <c r="C68" s="144" t="s">
        <v>283</v>
      </c>
      <c r="D68" s="144" t="s">
        <v>284</v>
      </c>
      <c r="E68" s="144" t="s">
        <v>285</v>
      </c>
      <c r="F68" s="187"/>
      <c r="G68" s="188">
        <v>7.0</v>
      </c>
      <c r="H68" s="189">
        <f t="shared" si="4"/>
        <v>7</v>
      </c>
      <c r="I68" s="190" t="s">
        <v>286</v>
      </c>
      <c r="J68" s="190" t="s">
        <v>286</v>
      </c>
      <c r="K68" s="190" t="s">
        <v>286</v>
      </c>
      <c r="L68" s="184"/>
      <c r="M68" s="184"/>
      <c r="N68" s="184"/>
      <c r="O68" s="184"/>
      <c r="P68" s="184"/>
      <c r="Q68" s="184"/>
      <c r="R68" s="184"/>
      <c r="S68" s="184"/>
      <c r="T68" s="184"/>
      <c r="U68" s="184"/>
      <c r="V68" s="184"/>
      <c r="W68" s="184"/>
      <c r="X68" s="184"/>
      <c r="Y68" s="184"/>
      <c r="Z68" s="184"/>
      <c r="AA68" s="184"/>
    </row>
    <row r="69">
      <c r="A69" s="144">
        <v>67.0</v>
      </c>
      <c r="B69" s="186" t="s">
        <v>358</v>
      </c>
      <c r="C69" s="144" t="s">
        <v>304</v>
      </c>
      <c r="D69" s="144" t="s">
        <v>308</v>
      </c>
      <c r="E69" s="144" t="s">
        <v>285</v>
      </c>
      <c r="F69" s="187"/>
      <c r="G69" s="188">
        <v>21.0</v>
      </c>
      <c r="H69" s="189">
        <f t="shared" si="4"/>
        <v>21</v>
      </c>
      <c r="I69" s="190" t="s">
        <v>63</v>
      </c>
      <c r="J69" s="190" t="s">
        <v>286</v>
      </c>
      <c r="K69" s="190" t="s">
        <v>287</v>
      </c>
      <c r="L69" s="184"/>
      <c r="M69" s="184"/>
      <c r="N69" s="184"/>
      <c r="O69" s="184"/>
      <c r="P69" s="184"/>
      <c r="Q69" s="184"/>
      <c r="R69" s="184"/>
      <c r="S69" s="184"/>
      <c r="T69" s="184"/>
      <c r="U69" s="184"/>
      <c r="V69" s="184"/>
      <c r="W69" s="184"/>
      <c r="X69" s="184"/>
      <c r="Y69" s="184"/>
      <c r="Z69" s="184"/>
      <c r="AA69" s="184"/>
    </row>
    <row r="70">
      <c r="A70" s="144">
        <v>68.0</v>
      </c>
      <c r="B70" s="186" t="s">
        <v>359</v>
      </c>
      <c r="C70" s="144" t="s">
        <v>283</v>
      </c>
      <c r="D70" s="144" t="s">
        <v>305</v>
      </c>
      <c r="E70" s="144" t="s">
        <v>285</v>
      </c>
      <c r="F70" s="187"/>
      <c r="G70" s="188">
        <v>27.0</v>
      </c>
      <c r="H70" s="189">
        <f t="shared" si="4"/>
        <v>27</v>
      </c>
      <c r="I70" s="190" t="s">
        <v>287</v>
      </c>
      <c r="J70" s="190" t="s">
        <v>286</v>
      </c>
      <c r="K70" s="190" t="s">
        <v>286</v>
      </c>
      <c r="L70" s="184"/>
      <c r="M70" s="184"/>
      <c r="N70" s="184"/>
      <c r="O70" s="184"/>
      <c r="P70" s="184"/>
      <c r="Q70" s="184"/>
      <c r="R70" s="184"/>
      <c r="S70" s="184"/>
      <c r="T70" s="184"/>
      <c r="U70" s="184"/>
      <c r="V70" s="184"/>
      <c r="W70" s="184"/>
      <c r="X70" s="184"/>
      <c r="Y70" s="184"/>
      <c r="Z70" s="184"/>
      <c r="AA70" s="184"/>
    </row>
    <row r="71">
      <c r="A71" s="144">
        <v>69.0</v>
      </c>
      <c r="B71" s="186" t="s">
        <v>360</v>
      </c>
      <c r="C71" s="144" t="s">
        <v>283</v>
      </c>
      <c r="D71" s="144" t="s">
        <v>289</v>
      </c>
      <c r="E71" s="144" t="s">
        <v>290</v>
      </c>
      <c r="F71" s="190"/>
      <c r="G71" s="188">
        <v>3.0</v>
      </c>
      <c r="H71" s="189">
        <f t="shared" si="4"/>
        <v>3</v>
      </c>
      <c r="I71" s="190" t="s">
        <v>63</v>
      </c>
      <c r="J71" s="190" t="s">
        <v>286</v>
      </c>
      <c r="K71" s="190" t="s">
        <v>287</v>
      </c>
      <c r="L71" s="184"/>
      <c r="M71" s="184"/>
      <c r="N71" s="184"/>
      <c r="O71" s="184"/>
      <c r="P71" s="184"/>
      <c r="Q71" s="184"/>
      <c r="R71" s="184"/>
      <c r="S71" s="184"/>
      <c r="T71" s="184"/>
      <c r="U71" s="184"/>
      <c r="V71" s="184"/>
      <c r="W71" s="184"/>
      <c r="X71" s="184"/>
      <c r="Y71" s="184"/>
      <c r="Z71" s="184"/>
      <c r="AA71" s="184"/>
    </row>
    <row r="72">
      <c r="A72" s="144">
        <v>70.0</v>
      </c>
      <c r="B72" s="186" t="s">
        <v>361</v>
      </c>
      <c r="C72" s="144" t="s">
        <v>283</v>
      </c>
      <c r="D72" s="144" t="s">
        <v>284</v>
      </c>
      <c r="E72" s="144" t="s">
        <v>285</v>
      </c>
      <c r="F72" s="187"/>
      <c r="G72" s="188">
        <v>7.0</v>
      </c>
      <c r="H72" s="189">
        <f t="shared" si="4"/>
        <v>7</v>
      </c>
      <c r="I72" s="190" t="s">
        <v>286</v>
      </c>
      <c r="J72" s="190" t="s">
        <v>286</v>
      </c>
      <c r="K72" s="190" t="s">
        <v>287</v>
      </c>
      <c r="L72" s="184"/>
      <c r="M72" s="184"/>
      <c r="N72" s="184"/>
      <c r="O72" s="184"/>
      <c r="P72" s="184"/>
      <c r="Q72" s="184"/>
      <c r="R72" s="184"/>
      <c r="S72" s="184"/>
      <c r="T72" s="184"/>
      <c r="U72" s="184"/>
      <c r="V72" s="184"/>
      <c r="W72" s="184"/>
      <c r="X72" s="184"/>
      <c r="Y72" s="184"/>
      <c r="Z72" s="184"/>
      <c r="AA72" s="184"/>
    </row>
    <row r="73">
      <c r="A73" s="144">
        <v>71.0</v>
      </c>
      <c r="B73" s="186" t="s">
        <v>362</v>
      </c>
      <c r="C73" s="144" t="s">
        <v>283</v>
      </c>
      <c r="D73" s="144" t="s">
        <v>284</v>
      </c>
      <c r="E73" s="144" t="s">
        <v>285</v>
      </c>
      <c r="F73" s="187"/>
      <c r="G73" s="188">
        <v>7.0</v>
      </c>
      <c r="H73" s="189">
        <f t="shared" si="4"/>
        <v>7</v>
      </c>
      <c r="I73" s="190" t="s">
        <v>287</v>
      </c>
      <c r="J73" s="190" t="s">
        <v>286</v>
      </c>
      <c r="K73" s="190" t="s">
        <v>287</v>
      </c>
      <c r="L73" s="184"/>
      <c r="M73" s="184"/>
      <c r="N73" s="184"/>
      <c r="O73" s="184"/>
      <c r="P73" s="184"/>
      <c r="Q73" s="184"/>
      <c r="R73" s="184"/>
      <c r="S73" s="184"/>
      <c r="T73" s="184"/>
      <c r="U73" s="184"/>
      <c r="V73" s="184"/>
      <c r="W73" s="184"/>
      <c r="X73" s="184"/>
      <c r="Y73" s="184"/>
      <c r="Z73" s="184"/>
      <c r="AA73" s="184"/>
    </row>
    <row r="74">
      <c r="A74" s="144">
        <v>72.0</v>
      </c>
      <c r="B74" s="186" t="s">
        <v>363</v>
      </c>
      <c r="C74" s="144" t="s">
        <v>283</v>
      </c>
      <c r="D74" s="144" t="s">
        <v>364</v>
      </c>
      <c r="E74" s="192"/>
      <c r="F74" s="161"/>
      <c r="G74" s="193">
        <v>1.0</v>
      </c>
      <c r="H74" s="189">
        <f t="shared" si="4"/>
        <v>1</v>
      </c>
      <c r="I74" s="190" t="s">
        <v>63</v>
      </c>
      <c r="J74" s="190" t="s">
        <v>286</v>
      </c>
      <c r="K74" s="190" t="s">
        <v>63</v>
      </c>
      <c r="L74" s="184"/>
      <c r="M74" s="184"/>
      <c r="N74" s="184"/>
      <c r="O74" s="184"/>
      <c r="P74" s="184"/>
      <c r="Q74" s="184"/>
      <c r="R74" s="184"/>
      <c r="S74" s="184"/>
      <c r="T74" s="184"/>
      <c r="U74" s="184"/>
      <c r="V74" s="184"/>
      <c r="W74" s="184"/>
      <c r="X74" s="184"/>
      <c r="Y74" s="184"/>
      <c r="Z74" s="184"/>
      <c r="AA74" s="184"/>
    </row>
    <row r="75">
      <c r="A75" s="144">
        <v>73.0</v>
      </c>
      <c r="B75" s="186" t="s">
        <v>365</v>
      </c>
      <c r="C75" s="144" t="s">
        <v>283</v>
      </c>
      <c r="D75" s="144" t="s">
        <v>284</v>
      </c>
      <c r="E75" s="144" t="s">
        <v>285</v>
      </c>
      <c r="F75" s="161"/>
      <c r="G75" s="193">
        <v>21.0</v>
      </c>
      <c r="H75" s="189">
        <f t="shared" si="4"/>
        <v>21</v>
      </c>
      <c r="I75" s="191"/>
      <c r="J75" s="191"/>
      <c r="K75" s="191"/>
      <c r="L75" s="184"/>
      <c r="M75" s="184"/>
      <c r="N75" s="184"/>
      <c r="O75" s="184"/>
      <c r="P75" s="184"/>
      <c r="Q75" s="184"/>
      <c r="R75" s="184"/>
      <c r="S75" s="184"/>
      <c r="T75" s="184"/>
      <c r="U75" s="184"/>
      <c r="V75" s="184"/>
      <c r="W75" s="184"/>
      <c r="X75" s="184"/>
      <c r="Y75" s="184"/>
      <c r="Z75" s="184"/>
      <c r="AA75" s="184"/>
    </row>
    <row r="76">
      <c r="A76" s="144">
        <v>74.0</v>
      </c>
      <c r="B76" s="186" t="s">
        <v>366</v>
      </c>
      <c r="C76" s="144" t="s">
        <v>304</v>
      </c>
      <c r="D76" s="144" t="s">
        <v>305</v>
      </c>
      <c r="E76" s="144" t="s">
        <v>285</v>
      </c>
      <c r="F76" s="161"/>
      <c r="G76" s="193">
        <v>22.0</v>
      </c>
      <c r="H76" s="189">
        <f t="shared" si="4"/>
        <v>22</v>
      </c>
      <c r="I76" s="190" t="s">
        <v>286</v>
      </c>
      <c r="J76" s="190" t="s">
        <v>286</v>
      </c>
      <c r="K76" s="190" t="s">
        <v>286</v>
      </c>
      <c r="L76" s="184"/>
      <c r="M76" s="184"/>
      <c r="N76" s="184"/>
      <c r="O76" s="184"/>
      <c r="P76" s="184"/>
      <c r="Q76" s="184"/>
      <c r="R76" s="184"/>
      <c r="S76" s="184"/>
      <c r="T76" s="184"/>
      <c r="U76" s="184"/>
      <c r="V76" s="184"/>
      <c r="W76" s="184"/>
      <c r="X76" s="184"/>
      <c r="Y76" s="184"/>
      <c r="Z76" s="184"/>
      <c r="AA76" s="184"/>
    </row>
    <row r="77">
      <c r="A77" s="144">
        <v>75.0</v>
      </c>
      <c r="B77" s="186" t="s">
        <v>367</v>
      </c>
      <c r="C77" s="144" t="s">
        <v>283</v>
      </c>
      <c r="D77" s="144" t="s">
        <v>284</v>
      </c>
      <c r="E77" s="144" t="s">
        <v>285</v>
      </c>
      <c r="F77" s="161"/>
      <c r="G77" s="193">
        <v>11.0</v>
      </c>
      <c r="H77" s="189">
        <f t="shared" si="4"/>
        <v>11</v>
      </c>
      <c r="I77" s="190" t="s">
        <v>63</v>
      </c>
      <c r="J77" s="190" t="s">
        <v>286</v>
      </c>
      <c r="K77" s="190" t="s">
        <v>287</v>
      </c>
      <c r="L77" s="184"/>
      <c r="M77" s="184"/>
      <c r="N77" s="184"/>
      <c r="O77" s="184"/>
      <c r="P77" s="184"/>
      <c r="Q77" s="184"/>
      <c r="R77" s="184"/>
      <c r="S77" s="184"/>
      <c r="T77" s="184"/>
      <c r="U77" s="184"/>
      <c r="V77" s="184"/>
      <c r="W77" s="184"/>
      <c r="X77" s="184"/>
      <c r="Y77" s="184"/>
      <c r="Z77" s="184"/>
      <c r="AA77" s="184"/>
    </row>
    <row r="78">
      <c r="A78" s="144">
        <v>76.0</v>
      </c>
      <c r="B78" s="186" t="s">
        <v>368</v>
      </c>
      <c r="C78" s="144" t="s">
        <v>283</v>
      </c>
      <c r="D78" s="144" t="s">
        <v>284</v>
      </c>
      <c r="E78" s="144" t="s">
        <v>285</v>
      </c>
      <c r="F78" s="161"/>
      <c r="G78" s="193">
        <v>7.0</v>
      </c>
      <c r="H78" s="189">
        <f t="shared" si="4"/>
        <v>7</v>
      </c>
      <c r="I78" s="190" t="s">
        <v>287</v>
      </c>
      <c r="J78" s="190" t="s">
        <v>286</v>
      </c>
      <c r="K78" s="190" t="s">
        <v>287</v>
      </c>
      <c r="L78" s="184"/>
      <c r="M78" s="184"/>
      <c r="N78" s="184"/>
      <c r="O78" s="184"/>
      <c r="P78" s="184"/>
      <c r="Q78" s="184"/>
      <c r="R78" s="184"/>
      <c r="S78" s="184"/>
      <c r="T78" s="184"/>
      <c r="U78" s="184"/>
      <c r="V78" s="184"/>
      <c r="W78" s="184"/>
      <c r="X78" s="184"/>
      <c r="Y78" s="184"/>
      <c r="Z78" s="184"/>
      <c r="AA78" s="184"/>
    </row>
    <row r="79">
      <c r="A79" s="144">
        <v>77.0</v>
      </c>
      <c r="B79" s="186" t="s">
        <v>369</v>
      </c>
      <c r="C79" s="144" t="s">
        <v>283</v>
      </c>
      <c r="D79" s="144" t="s">
        <v>289</v>
      </c>
      <c r="E79" s="144" t="s">
        <v>290</v>
      </c>
      <c r="F79" s="161"/>
      <c r="G79" s="193">
        <v>5.0</v>
      </c>
      <c r="H79" s="189">
        <f t="shared" si="4"/>
        <v>5</v>
      </c>
      <c r="I79" s="190" t="s">
        <v>63</v>
      </c>
      <c r="J79" s="190" t="s">
        <v>286</v>
      </c>
      <c r="K79" s="190" t="s">
        <v>286</v>
      </c>
      <c r="L79" s="184"/>
      <c r="M79" s="184"/>
      <c r="N79" s="184"/>
      <c r="O79" s="184"/>
      <c r="P79" s="184"/>
      <c r="Q79" s="184"/>
      <c r="R79" s="184"/>
      <c r="S79" s="184"/>
      <c r="T79" s="184"/>
      <c r="U79" s="184"/>
      <c r="V79" s="184"/>
      <c r="W79" s="184"/>
      <c r="X79" s="184"/>
      <c r="Y79" s="184"/>
      <c r="Z79" s="184"/>
      <c r="AA79" s="184"/>
    </row>
    <row r="80">
      <c r="A80" s="144">
        <v>78.0</v>
      </c>
      <c r="B80" s="186" t="s">
        <v>370</v>
      </c>
      <c r="C80" s="144" t="s">
        <v>283</v>
      </c>
      <c r="D80" s="144" t="s">
        <v>284</v>
      </c>
      <c r="E80" s="144" t="s">
        <v>285</v>
      </c>
      <c r="F80" s="161"/>
      <c r="G80" s="193">
        <v>7.0</v>
      </c>
      <c r="H80" s="189">
        <f t="shared" si="4"/>
        <v>7</v>
      </c>
      <c r="I80" s="191"/>
      <c r="J80" s="191"/>
      <c r="K80" s="191"/>
      <c r="L80" s="184"/>
      <c r="M80" s="184"/>
      <c r="N80" s="184"/>
      <c r="O80" s="184"/>
      <c r="P80" s="184"/>
      <c r="Q80" s="184"/>
      <c r="R80" s="184"/>
      <c r="S80" s="184"/>
      <c r="T80" s="184"/>
      <c r="U80" s="184"/>
      <c r="V80" s="184"/>
      <c r="W80" s="184"/>
      <c r="X80" s="184"/>
      <c r="Y80" s="184"/>
      <c r="Z80" s="184"/>
      <c r="AA80" s="184"/>
    </row>
    <row r="81">
      <c r="A81" s="144">
        <v>79.0</v>
      </c>
      <c r="B81" s="186" t="s">
        <v>371</v>
      </c>
      <c r="C81" s="144" t="s">
        <v>283</v>
      </c>
      <c r="D81" s="144" t="s">
        <v>284</v>
      </c>
      <c r="E81" s="144" t="s">
        <v>285</v>
      </c>
      <c r="F81" s="161"/>
      <c r="G81" s="193">
        <v>7.0</v>
      </c>
      <c r="H81" s="189">
        <f t="shared" si="4"/>
        <v>7</v>
      </c>
      <c r="I81" s="190" t="s">
        <v>63</v>
      </c>
      <c r="J81" s="190" t="s">
        <v>286</v>
      </c>
      <c r="K81" s="190" t="s">
        <v>287</v>
      </c>
      <c r="L81" s="184"/>
      <c r="M81" s="184"/>
      <c r="N81" s="184"/>
      <c r="O81" s="184"/>
      <c r="P81" s="184"/>
      <c r="Q81" s="184"/>
      <c r="R81" s="184"/>
      <c r="S81" s="184"/>
      <c r="T81" s="184"/>
      <c r="U81" s="184"/>
      <c r="V81" s="184"/>
      <c r="W81" s="184"/>
      <c r="X81" s="184"/>
      <c r="Y81" s="184"/>
      <c r="Z81" s="184"/>
      <c r="AA81" s="184"/>
    </row>
    <row r="82">
      <c r="A82" s="144">
        <v>80.0</v>
      </c>
      <c r="B82" s="186" t="s">
        <v>372</v>
      </c>
      <c r="C82" s="144" t="s">
        <v>304</v>
      </c>
      <c r="D82" s="144" t="s">
        <v>305</v>
      </c>
      <c r="E82" s="144" t="s">
        <v>285</v>
      </c>
      <c r="F82" s="161"/>
      <c r="G82" s="193">
        <v>15.0</v>
      </c>
      <c r="H82" s="189">
        <f t="shared" si="4"/>
        <v>15</v>
      </c>
      <c r="I82" s="191"/>
      <c r="J82" s="191"/>
      <c r="K82" s="191"/>
      <c r="L82" s="184"/>
      <c r="M82" s="184"/>
      <c r="N82" s="184"/>
      <c r="O82" s="184"/>
      <c r="P82" s="184"/>
      <c r="Q82" s="184"/>
      <c r="R82" s="184"/>
      <c r="S82" s="184"/>
      <c r="T82" s="184"/>
      <c r="U82" s="184"/>
      <c r="V82" s="184"/>
      <c r="W82" s="184"/>
      <c r="X82" s="184"/>
      <c r="Y82" s="184"/>
      <c r="Z82" s="184"/>
      <c r="AA82" s="184"/>
    </row>
    <row r="83">
      <c r="A83" s="144">
        <v>81.0</v>
      </c>
      <c r="B83" s="186" t="s">
        <v>373</v>
      </c>
      <c r="C83" s="144" t="s">
        <v>283</v>
      </c>
      <c r="D83" s="144" t="s">
        <v>284</v>
      </c>
      <c r="E83" s="144" t="s">
        <v>285</v>
      </c>
      <c r="F83" s="161"/>
      <c r="G83" s="193">
        <v>7.0</v>
      </c>
      <c r="H83" s="189">
        <f t="shared" si="4"/>
        <v>7</v>
      </c>
      <c r="I83" s="190" t="s">
        <v>286</v>
      </c>
      <c r="J83" s="190" t="s">
        <v>286</v>
      </c>
      <c r="K83" s="190" t="s">
        <v>286</v>
      </c>
      <c r="L83" s="184"/>
      <c r="M83" s="184"/>
      <c r="N83" s="184"/>
      <c r="O83" s="184"/>
      <c r="P83" s="184"/>
      <c r="Q83" s="184"/>
      <c r="R83" s="184"/>
      <c r="S83" s="184"/>
      <c r="T83" s="184"/>
      <c r="U83" s="184"/>
      <c r="V83" s="184"/>
      <c r="W83" s="184"/>
      <c r="X83" s="184"/>
      <c r="Y83" s="184"/>
      <c r="Z83" s="184"/>
      <c r="AA83" s="184"/>
    </row>
    <row r="84">
      <c r="A84" s="144">
        <v>82.0</v>
      </c>
      <c r="B84" s="186" t="s">
        <v>374</v>
      </c>
      <c r="C84" s="144" t="s">
        <v>304</v>
      </c>
      <c r="D84" s="144" t="s">
        <v>308</v>
      </c>
      <c r="E84" s="144" t="s">
        <v>285</v>
      </c>
      <c r="F84" s="161"/>
      <c r="G84" s="193">
        <v>21.0</v>
      </c>
      <c r="H84" s="189">
        <f t="shared" si="4"/>
        <v>21</v>
      </c>
      <c r="I84" s="190" t="s">
        <v>63</v>
      </c>
      <c r="J84" s="190" t="s">
        <v>286</v>
      </c>
      <c r="K84" s="190" t="s">
        <v>63</v>
      </c>
      <c r="L84" s="184"/>
      <c r="M84" s="184"/>
      <c r="N84" s="184"/>
      <c r="O84" s="184"/>
      <c r="P84" s="184"/>
      <c r="Q84" s="184"/>
      <c r="R84" s="184"/>
      <c r="S84" s="184"/>
      <c r="T84" s="184"/>
      <c r="U84" s="184"/>
      <c r="V84" s="184"/>
      <c r="W84" s="184"/>
      <c r="X84" s="184"/>
      <c r="Y84" s="184"/>
      <c r="Z84" s="184"/>
      <c r="AA84" s="184"/>
    </row>
    <row r="85">
      <c r="A85" s="144">
        <v>83.0</v>
      </c>
      <c r="B85" s="186" t="s">
        <v>375</v>
      </c>
      <c r="C85" s="144" t="s">
        <v>283</v>
      </c>
      <c r="D85" s="144" t="s">
        <v>284</v>
      </c>
      <c r="E85" s="144" t="s">
        <v>285</v>
      </c>
      <c r="F85" s="161"/>
      <c r="G85" s="193">
        <v>7.0</v>
      </c>
      <c r="H85" s="189">
        <f t="shared" si="4"/>
        <v>7</v>
      </c>
      <c r="I85" s="190" t="s">
        <v>287</v>
      </c>
      <c r="J85" s="190" t="s">
        <v>287</v>
      </c>
      <c r="K85" s="190" t="s">
        <v>287</v>
      </c>
      <c r="L85" s="184"/>
      <c r="M85" s="184"/>
      <c r="N85" s="184"/>
      <c r="O85" s="184"/>
      <c r="P85" s="184"/>
      <c r="Q85" s="184"/>
      <c r="R85" s="184"/>
      <c r="S85" s="184"/>
      <c r="T85" s="184"/>
      <c r="U85" s="184"/>
      <c r="V85" s="184"/>
      <c r="W85" s="184"/>
      <c r="X85" s="184"/>
      <c r="Y85" s="184"/>
      <c r="Z85" s="184"/>
      <c r="AA85" s="184"/>
    </row>
    <row r="86">
      <c r="A86" s="144">
        <v>84.0</v>
      </c>
      <c r="B86" s="186" t="s">
        <v>376</v>
      </c>
      <c r="C86" s="144" t="s">
        <v>304</v>
      </c>
      <c r="D86" s="144" t="s">
        <v>305</v>
      </c>
      <c r="E86" s="144" t="s">
        <v>285</v>
      </c>
      <c r="F86" s="161"/>
      <c r="G86" s="193">
        <v>15.0</v>
      </c>
      <c r="H86" s="189">
        <f t="shared" si="4"/>
        <v>15</v>
      </c>
      <c r="I86" s="190" t="s">
        <v>63</v>
      </c>
      <c r="J86" s="190" t="s">
        <v>286</v>
      </c>
      <c r="K86" s="190" t="s">
        <v>287</v>
      </c>
      <c r="L86" s="184"/>
      <c r="M86" s="184"/>
      <c r="N86" s="184"/>
      <c r="O86" s="184"/>
      <c r="P86" s="184"/>
      <c r="Q86" s="184"/>
      <c r="R86" s="184"/>
      <c r="S86" s="184"/>
      <c r="T86" s="184"/>
      <c r="U86" s="184"/>
      <c r="V86" s="184"/>
      <c r="W86" s="184"/>
      <c r="X86" s="184"/>
      <c r="Y86" s="184"/>
      <c r="Z86" s="184"/>
      <c r="AA86" s="184"/>
    </row>
    <row r="87">
      <c r="A87" s="144">
        <v>85.0</v>
      </c>
      <c r="B87" s="186" t="s">
        <v>377</v>
      </c>
      <c r="C87" s="144" t="s">
        <v>283</v>
      </c>
      <c r="D87" s="144" t="s">
        <v>290</v>
      </c>
      <c r="E87" s="144" t="s">
        <v>285</v>
      </c>
      <c r="F87" s="161"/>
      <c r="G87" s="193" t="s">
        <v>290</v>
      </c>
      <c r="H87" s="189" t="str">
        <f t="shared" si="4"/>
        <v>-</v>
      </c>
      <c r="I87" s="190" t="s">
        <v>63</v>
      </c>
      <c r="J87" s="190" t="s">
        <v>286</v>
      </c>
      <c r="K87" s="190" t="s">
        <v>287</v>
      </c>
      <c r="L87" s="184"/>
      <c r="M87" s="184"/>
      <c r="N87" s="184"/>
      <c r="O87" s="184"/>
      <c r="P87" s="184"/>
      <c r="Q87" s="184"/>
      <c r="R87" s="184"/>
      <c r="S87" s="184"/>
      <c r="T87" s="184"/>
      <c r="U87" s="184"/>
      <c r="V87" s="184"/>
      <c r="W87" s="184"/>
      <c r="X87" s="184"/>
      <c r="Y87" s="184"/>
      <c r="Z87" s="184"/>
      <c r="AA87" s="184"/>
    </row>
    <row r="88">
      <c r="A88" s="184"/>
      <c r="B88" s="184"/>
      <c r="C88" s="194"/>
      <c r="D88" s="194"/>
      <c r="E88" s="194"/>
      <c r="F88" s="194"/>
      <c r="G88" s="195"/>
      <c r="H88" s="184"/>
      <c r="I88" s="194"/>
      <c r="J88" s="194"/>
      <c r="K88" s="194"/>
      <c r="L88" s="184"/>
      <c r="M88" s="184"/>
      <c r="N88" s="184"/>
      <c r="O88" s="184"/>
      <c r="P88" s="184"/>
      <c r="Q88" s="184"/>
      <c r="R88" s="184"/>
      <c r="S88" s="184"/>
      <c r="T88" s="184"/>
      <c r="U88" s="184"/>
      <c r="V88" s="184"/>
      <c r="W88" s="184"/>
      <c r="X88" s="184"/>
      <c r="Y88" s="184"/>
      <c r="Z88" s="184"/>
      <c r="AA88" s="184"/>
    </row>
    <row r="89">
      <c r="A89" s="184"/>
      <c r="B89" s="184"/>
      <c r="C89" s="194"/>
      <c r="D89" s="194"/>
      <c r="E89" s="194"/>
      <c r="F89" s="194"/>
      <c r="G89" s="194"/>
      <c r="H89" s="184"/>
      <c r="I89" s="194"/>
      <c r="J89" s="194"/>
      <c r="K89" s="194"/>
      <c r="L89" s="184"/>
      <c r="M89" s="184"/>
      <c r="N89" s="184"/>
      <c r="O89" s="184"/>
      <c r="P89" s="184"/>
      <c r="Q89" s="184"/>
      <c r="R89" s="184"/>
      <c r="S89" s="184"/>
      <c r="T89" s="184"/>
      <c r="U89" s="184"/>
      <c r="V89" s="184"/>
      <c r="W89" s="184"/>
      <c r="X89" s="184"/>
      <c r="Y89" s="184"/>
      <c r="Z89" s="184"/>
      <c r="AA89" s="184"/>
    </row>
    <row r="90">
      <c r="A90" s="184"/>
      <c r="B90" s="184"/>
      <c r="C90" s="194"/>
      <c r="D90" s="194"/>
      <c r="E90" s="194"/>
      <c r="F90" s="194"/>
      <c r="G90" s="194"/>
      <c r="H90" s="184"/>
      <c r="I90" s="194"/>
      <c r="J90" s="194"/>
      <c r="K90" s="194"/>
      <c r="L90" s="184"/>
      <c r="M90" s="184"/>
      <c r="N90" s="184"/>
      <c r="O90" s="184"/>
      <c r="P90" s="184"/>
      <c r="Q90" s="184"/>
      <c r="R90" s="184"/>
      <c r="S90" s="184"/>
      <c r="T90" s="184"/>
      <c r="U90" s="184"/>
      <c r="V90" s="184"/>
      <c r="W90" s="184"/>
      <c r="X90" s="184"/>
      <c r="Y90" s="184"/>
      <c r="Z90" s="184"/>
      <c r="AA90" s="184"/>
    </row>
    <row r="91">
      <c r="A91" s="184"/>
      <c r="B91" s="184"/>
      <c r="C91" s="194"/>
      <c r="D91" s="194"/>
      <c r="E91" s="194"/>
      <c r="F91" s="194"/>
      <c r="G91" s="194"/>
      <c r="H91" s="184"/>
      <c r="I91" s="194"/>
      <c r="J91" s="194"/>
      <c r="K91" s="194"/>
      <c r="L91" s="184"/>
      <c r="M91" s="184"/>
      <c r="N91" s="184"/>
      <c r="O91" s="184"/>
      <c r="P91" s="184"/>
      <c r="Q91" s="184"/>
      <c r="R91" s="184"/>
      <c r="S91" s="184"/>
      <c r="T91" s="184"/>
      <c r="U91" s="184"/>
      <c r="V91" s="184"/>
      <c r="W91" s="184"/>
      <c r="X91" s="184"/>
      <c r="Y91" s="184"/>
      <c r="Z91" s="184"/>
      <c r="AA91" s="184"/>
    </row>
    <row r="92">
      <c r="A92" s="184"/>
      <c r="B92" s="184"/>
      <c r="C92" s="194"/>
      <c r="D92" s="194"/>
      <c r="E92" s="194"/>
      <c r="F92" s="194"/>
      <c r="G92" s="194"/>
      <c r="H92" s="184"/>
      <c r="I92" s="194"/>
      <c r="J92" s="194"/>
      <c r="K92" s="194"/>
      <c r="L92" s="184"/>
      <c r="M92" s="184"/>
      <c r="N92" s="184"/>
      <c r="O92" s="184"/>
      <c r="P92" s="184"/>
      <c r="Q92" s="184"/>
      <c r="R92" s="184"/>
      <c r="S92" s="184"/>
      <c r="T92" s="184"/>
      <c r="U92" s="184"/>
      <c r="V92" s="184"/>
      <c r="W92" s="184"/>
      <c r="X92" s="184"/>
      <c r="Y92" s="184"/>
      <c r="Z92" s="184"/>
      <c r="AA92" s="184"/>
    </row>
    <row r="93">
      <c r="A93" s="184"/>
      <c r="B93" s="184"/>
      <c r="C93" s="194"/>
      <c r="D93" s="194"/>
      <c r="E93" s="194"/>
      <c r="F93" s="194"/>
      <c r="G93" s="194"/>
      <c r="H93" s="184"/>
      <c r="I93" s="194"/>
      <c r="J93" s="194"/>
      <c r="K93" s="194"/>
      <c r="L93" s="184"/>
      <c r="M93" s="184"/>
      <c r="N93" s="184"/>
      <c r="O93" s="184"/>
      <c r="P93" s="184"/>
      <c r="Q93" s="184"/>
      <c r="R93" s="184"/>
      <c r="S93" s="184"/>
      <c r="T93" s="184"/>
      <c r="U93" s="184"/>
      <c r="V93" s="184"/>
      <c r="W93" s="184"/>
      <c r="X93" s="184"/>
      <c r="Y93" s="184"/>
      <c r="Z93" s="184"/>
      <c r="AA93" s="184"/>
    </row>
    <row r="94">
      <c r="A94" s="184"/>
      <c r="B94" s="184"/>
      <c r="C94" s="194"/>
      <c r="D94" s="194"/>
      <c r="E94" s="194"/>
      <c r="F94" s="194"/>
      <c r="G94" s="194"/>
      <c r="H94" s="184"/>
      <c r="I94" s="194"/>
      <c r="J94" s="194"/>
      <c r="K94" s="194"/>
      <c r="L94" s="184"/>
      <c r="M94" s="184"/>
      <c r="N94" s="184"/>
      <c r="O94" s="184"/>
      <c r="P94" s="184"/>
      <c r="Q94" s="184"/>
      <c r="R94" s="184"/>
      <c r="S94" s="184"/>
      <c r="T94" s="184"/>
      <c r="U94" s="184"/>
      <c r="V94" s="184"/>
      <c r="W94" s="184"/>
      <c r="X94" s="184"/>
      <c r="Y94" s="184"/>
      <c r="Z94" s="184"/>
      <c r="AA94" s="184"/>
    </row>
    <row r="95">
      <c r="A95" s="184"/>
      <c r="B95" s="184"/>
      <c r="C95" s="194"/>
      <c r="D95" s="194"/>
      <c r="E95" s="194"/>
      <c r="F95" s="194"/>
      <c r="G95" s="194"/>
      <c r="H95" s="184"/>
      <c r="I95" s="194"/>
      <c r="J95" s="194"/>
      <c r="K95" s="194"/>
      <c r="L95" s="184"/>
      <c r="M95" s="184"/>
      <c r="N95" s="184"/>
      <c r="O95" s="184"/>
      <c r="P95" s="184"/>
      <c r="Q95" s="184"/>
      <c r="R95" s="184"/>
      <c r="S95" s="184"/>
      <c r="T95" s="184"/>
      <c r="U95" s="184"/>
      <c r="V95" s="184"/>
      <c r="W95" s="184"/>
      <c r="X95" s="184"/>
      <c r="Y95" s="184"/>
      <c r="Z95" s="184"/>
      <c r="AA95" s="184"/>
    </row>
    <row r="96">
      <c r="A96" s="184"/>
      <c r="B96" s="184"/>
      <c r="C96" s="194"/>
      <c r="D96" s="194"/>
      <c r="E96" s="194"/>
      <c r="F96" s="194"/>
      <c r="G96" s="194"/>
      <c r="H96" s="184"/>
      <c r="I96" s="194"/>
      <c r="J96" s="194"/>
      <c r="K96" s="194"/>
      <c r="L96" s="184"/>
      <c r="M96" s="184"/>
      <c r="N96" s="184"/>
      <c r="O96" s="184"/>
      <c r="P96" s="184"/>
      <c r="Q96" s="184"/>
      <c r="R96" s="184"/>
      <c r="S96" s="184"/>
      <c r="T96" s="184"/>
      <c r="U96" s="184"/>
      <c r="V96" s="184"/>
      <c r="W96" s="184"/>
      <c r="X96" s="184"/>
      <c r="Y96" s="184"/>
      <c r="Z96" s="184"/>
      <c r="AA96" s="184"/>
    </row>
    <row r="97">
      <c r="A97" s="184"/>
      <c r="B97" s="184"/>
      <c r="C97" s="194"/>
      <c r="D97" s="194"/>
      <c r="E97" s="194"/>
      <c r="F97" s="194"/>
      <c r="G97" s="194"/>
      <c r="H97" s="184"/>
      <c r="I97" s="194"/>
      <c r="J97" s="194"/>
      <c r="K97" s="194"/>
      <c r="L97" s="184"/>
      <c r="M97" s="184"/>
      <c r="N97" s="184"/>
      <c r="O97" s="184"/>
      <c r="P97" s="184"/>
      <c r="Q97" s="184"/>
      <c r="R97" s="184"/>
      <c r="S97" s="184"/>
      <c r="T97" s="184"/>
      <c r="U97" s="184"/>
      <c r="V97" s="184"/>
      <c r="W97" s="184"/>
      <c r="X97" s="184"/>
      <c r="Y97" s="184"/>
      <c r="Z97" s="184"/>
      <c r="AA97" s="184"/>
    </row>
    <row r="98">
      <c r="A98" s="184"/>
      <c r="B98" s="184"/>
      <c r="C98" s="194"/>
      <c r="D98" s="194"/>
      <c r="E98" s="194"/>
      <c r="F98" s="194"/>
      <c r="G98" s="194"/>
      <c r="H98" s="184"/>
      <c r="I98" s="194"/>
      <c r="J98" s="194"/>
      <c r="K98" s="194"/>
      <c r="L98" s="184"/>
      <c r="M98" s="184"/>
      <c r="N98" s="184"/>
      <c r="O98" s="184"/>
      <c r="P98" s="184"/>
      <c r="Q98" s="184"/>
      <c r="R98" s="184"/>
      <c r="S98" s="184"/>
      <c r="T98" s="184"/>
      <c r="U98" s="184"/>
      <c r="V98" s="184"/>
      <c r="W98" s="184"/>
      <c r="X98" s="184"/>
      <c r="Y98" s="184"/>
      <c r="Z98" s="184"/>
      <c r="AA98" s="184"/>
    </row>
    <row r="99">
      <c r="A99" s="184"/>
      <c r="B99" s="184"/>
      <c r="C99" s="194"/>
      <c r="D99" s="194"/>
      <c r="E99" s="194"/>
      <c r="F99" s="194"/>
      <c r="G99" s="194"/>
      <c r="H99" s="184"/>
      <c r="I99" s="194"/>
      <c r="J99" s="194"/>
      <c r="K99" s="194"/>
      <c r="L99" s="184"/>
      <c r="M99" s="184"/>
      <c r="N99" s="184"/>
      <c r="O99" s="184"/>
      <c r="P99" s="184"/>
      <c r="Q99" s="184"/>
      <c r="R99" s="184"/>
      <c r="S99" s="184"/>
      <c r="T99" s="184"/>
      <c r="U99" s="184"/>
      <c r="V99" s="184"/>
      <c r="W99" s="184"/>
      <c r="X99" s="184"/>
      <c r="Y99" s="184"/>
      <c r="Z99" s="184"/>
      <c r="AA99" s="184"/>
    </row>
    <row r="100">
      <c r="A100" s="184"/>
      <c r="B100" s="184"/>
      <c r="C100" s="194"/>
      <c r="D100" s="194"/>
      <c r="E100" s="194"/>
      <c r="F100" s="194"/>
      <c r="G100" s="194"/>
      <c r="H100" s="184"/>
      <c r="I100" s="194"/>
      <c r="J100" s="194"/>
      <c r="K100" s="194"/>
      <c r="L100" s="184"/>
      <c r="M100" s="184"/>
      <c r="N100" s="184"/>
      <c r="O100" s="184"/>
      <c r="P100" s="184"/>
      <c r="Q100" s="184"/>
      <c r="R100" s="184"/>
      <c r="S100" s="184"/>
      <c r="T100" s="184"/>
      <c r="U100" s="184"/>
      <c r="V100" s="184"/>
      <c r="W100" s="184"/>
      <c r="X100" s="184"/>
      <c r="Y100" s="184"/>
      <c r="Z100" s="184"/>
      <c r="AA100" s="184"/>
    </row>
    <row r="101">
      <c r="A101" s="184"/>
      <c r="B101" s="184"/>
      <c r="C101" s="194"/>
      <c r="D101" s="194"/>
      <c r="E101" s="194"/>
      <c r="F101" s="194"/>
      <c r="G101" s="194"/>
      <c r="H101" s="184"/>
      <c r="I101" s="194"/>
      <c r="J101" s="194"/>
      <c r="K101" s="194"/>
      <c r="L101" s="184"/>
      <c r="M101" s="184"/>
      <c r="N101" s="184"/>
      <c r="O101" s="184"/>
      <c r="P101" s="184"/>
      <c r="Q101" s="184"/>
      <c r="R101" s="184"/>
      <c r="S101" s="184"/>
      <c r="T101" s="184"/>
      <c r="U101" s="184"/>
      <c r="V101" s="184"/>
      <c r="W101" s="184"/>
      <c r="X101" s="184"/>
      <c r="Y101" s="184"/>
      <c r="Z101" s="184"/>
      <c r="AA101" s="184"/>
    </row>
    <row r="102">
      <c r="A102" s="184"/>
      <c r="B102" s="184"/>
      <c r="C102" s="194"/>
      <c r="D102" s="194"/>
      <c r="E102" s="194"/>
      <c r="F102" s="194"/>
      <c r="G102" s="194"/>
      <c r="H102" s="184"/>
      <c r="I102" s="194"/>
      <c r="J102" s="194"/>
      <c r="K102" s="194"/>
      <c r="L102" s="184"/>
      <c r="M102" s="184"/>
      <c r="N102" s="184"/>
      <c r="O102" s="184"/>
      <c r="P102" s="184"/>
      <c r="Q102" s="184"/>
      <c r="R102" s="184"/>
      <c r="S102" s="184"/>
      <c r="T102" s="184"/>
      <c r="U102" s="184"/>
      <c r="V102" s="184"/>
      <c r="W102" s="184"/>
      <c r="X102" s="184"/>
      <c r="Y102" s="184"/>
      <c r="Z102" s="184"/>
      <c r="AA102" s="184"/>
    </row>
    <row r="103">
      <c r="A103" s="184"/>
      <c r="B103" s="184"/>
      <c r="C103" s="194"/>
      <c r="D103" s="194"/>
      <c r="E103" s="194"/>
      <c r="F103" s="194"/>
      <c r="G103" s="194"/>
      <c r="H103" s="184"/>
      <c r="I103" s="194"/>
      <c r="J103" s="194"/>
      <c r="K103" s="194"/>
      <c r="L103" s="184"/>
      <c r="M103" s="184"/>
      <c r="N103" s="184"/>
      <c r="O103" s="184"/>
      <c r="P103" s="184"/>
      <c r="Q103" s="184"/>
      <c r="R103" s="184"/>
      <c r="S103" s="184"/>
      <c r="T103" s="184"/>
      <c r="U103" s="184"/>
      <c r="V103" s="184"/>
      <c r="W103" s="184"/>
      <c r="X103" s="184"/>
      <c r="Y103" s="184"/>
      <c r="Z103" s="184"/>
      <c r="AA103" s="184"/>
    </row>
    <row r="104">
      <c r="A104" s="184"/>
      <c r="B104" s="184"/>
      <c r="C104" s="194"/>
      <c r="D104" s="194"/>
      <c r="E104" s="194"/>
      <c r="F104" s="194"/>
      <c r="G104" s="194"/>
      <c r="H104" s="184"/>
      <c r="I104" s="194"/>
      <c r="J104" s="194"/>
      <c r="K104" s="194"/>
      <c r="L104" s="184"/>
      <c r="M104" s="184"/>
      <c r="N104" s="184"/>
      <c r="O104" s="184"/>
      <c r="P104" s="184"/>
      <c r="Q104" s="184"/>
      <c r="R104" s="184"/>
      <c r="S104" s="184"/>
      <c r="T104" s="184"/>
      <c r="U104" s="184"/>
      <c r="V104" s="184"/>
      <c r="W104" s="184"/>
      <c r="X104" s="184"/>
      <c r="Y104" s="184"/>
      <c r="Z104" s="184"/>
      <c r="AA104" s="184"/>
    </row>
    <row r="105">
      <c r="A105" s="184"/>
      <c r="B105" s="184"/>
      <c r="C105" s="194"/>
      <c r="D105" s="194"/>
      <c r="E105" s="194"/>
      <c r="F105" s="194"/>
      <c r="G105" s="194"/>
      <c r="H105" s="184"/>
      <c r="I105" s="194"/>
      <c r="J105" s="194"/>
      <c r="K105" s="194"/>
      <c r="L105" s="184"/>
      <c r="M105" s="184"/>
      <c r="N105" s="184"/>
      <c r="O105" s="184"/>
      <c r="P105" s="184"/>
      <c r="Q105" s="184"/>
      <c r="R105" s="184"/>
      <c r="S105" s="184"/>
      <c r="T105" s="184"/>
      <c r="U105" s="184"/>
      <c r="V105" s="184"/>
      <c r="W105" s="184"/>
      <c r="X105" s="184"/>
      <c r="Y105" s="184"/>
      <c r="Z105" s="184"/>
      <c r="AA105" s="184"/>
    </row>
    <row r="106">
      <c r="A106" s="184"/>
      <c r="B106" s="184"/>
      <c r="C106" s="194"/>
      <c r="D106" s="194"/>
      <c r="E106" s="194"/>
      <c r="F106" s="194"/>
      <c r="G106" s="194"/>
      <c r="H106" s="184"/>
      <c r="I106" s="194"/>
      <c r="J106" s="194"/>
      <c r="K106" s="194"/>
      <c r="L106" s="184"/>
      <c r="M106" s="184"/>
      <c r="N106" s="184"/>
      <c r="O106" s="184"/>
      <c r="P106" s="184"/>
      <c r="Q106" s="184"/>
      <c r="R106" s="184"/>
      <c r="S106" s="184"/>
      <c r="T106" s="184"/>
      <c r="U106" s="184"/>
      <c r="V106" s="184"/>
      <c r="W106" s="184"/>
      <c r="X106" s="184"/>
      <c r="Y106" s="184"/>
      <c r="Z106" s="184"/>
      <c r="AA106" s="184"/>
    </row>
    <row r="107">
      <c r="A107" s="184"/>
      <c r="B107" s="184"/>
      <c r="C107" s="194"/>
      <c r="D107" s="194"/>
      <c r="E107" s="194"/>
      <c r="F107" s="194"/>
      <c r="G107" s="194"/>
      <c r="H107" s="184"/>
      <c r="I107" s="194"/>
      <c r="J107" s="194"/>
      <c r="K107" s="194"/>
      <c r="L107" s="184"/>
      <c r="M107" s="184"/>
      <c r="N107" s="184"/>
      <c r="O107" s="184"/>
      <c r="P107" s="184"/>
      <c r="Q107" s="184"/>
      <c r="R107" s="184"/>
      <c r="S107" s="184"/>
      <c r="T107" s="184"/>
      <c r="U107" s="184"/>
      <c r="V107" s="184"/>
      <c r="W107" s="184"/>
      <c r="X107" s="184"/>
      <c r="Y107" s="184"/>
      <c r="Z107" s="184"/>
      <c r="AA107" s="184"/>
    </row>
    <row r="108">
      <c r="A108" s="184"/>
      <c r="B108" s="184"/>
      <c r="C108" s="194"/>
      <c r="D108" s="194"/>
      <c r="E108" s="194"/>
      <c r="F108" s="194"/>
      <c r="G108" s="194"/>
      <c r="H108" s="184"/>
      <c r="I108" s="194"/>
      <c r="J108" s="194"/>
      <c r="K108" s="194"/>
      <c r="L108" s="184"/>
      <c r="M108" s="184"/>
      <c r="N108" s="184"/>
      <c r="O108" s="184"/>
      <c r="P108" s="184"/>
      <c r="Q108" s="184"/>
      <c r="R108" s="184"/>
      <c r="S108" s="184"/>
      <c r="T108" s="184"/>
      <c r="U108" s="184"/>
      <c r="V108" s="184"/>
      <c r="W108" s="184"/>
      <c r="X108" s="184"/>
      <c r="Y108" s="184"/>
      <c r="Z108" s="184"/>
      <c r="AA108" s="184"/>
    </row>
    <row r="109">
      <c r="A109" s="184"/>
      <c r="B109" s="184"/>
      <c r="C109" s="194"/>
      <c r="D109" s="194"/>
      <c r="E109" s="194"/>
      <c r="F109" s="194"/>
      <c r="G109" s="194"/>
      <c r="H109" s="184"/>
      <c r="I109" s="194"/>
      <c r="J109" s="194"/>
      <c r="K109" s="194"/>
      <c r="L109" s="184"/>
      <c r="M109" s="184"/>
      <c r="N109" s="184"/>
      <c r="O109" s="184"/>
      <c r="P109" s="184"/>
      <c r="Q109" s="184"/>
      <c r="R109" s="184"/>
      <c r="S109" s="184"/>
      <c r="T109" s="184"/>
      <c r="U109" s="184"/>
      <c r="V109" s="184"/>
      <c r="W109" s="184"/>
      <c r="X109" s="184"/>
      <c r="Y109" s="184"/>
      <c r="Z109" s="184"/>
      <c r="AA109" s="184"/>
    </row>
    <row r="110">
      <c r="A110" s="184"/>
      <c r="B110" s="184"/>
      <c r="C110" s="194"/>
      <c r="D110" s="194"/>
      <c r="E110" s="194"/>
      <c r="F110" s="194"/>
      <c r="G110" s="194"/>
      <c r="H110" s="184"/>
      <c r="I110" s="194"/>
      <c r="J110" s="194"/>
      <c r="K110" s="194"/>
      <c r="L110" s="184"/>
      <c r="M110" s="184"/>
      <c r="N110" s="184"/>
      <c r="O110" s="184"/>
      <c r="P110" s="184"/>
      <c r="Q110" s="184"/>
      <c r="R110" s="184"/>
      <c r="S110" s="184"/>
      <c r="T110" s="184"/>
      <c r="U110" s="184"/>
      <c r="V110" s="184"/>
      <c r="W110" s="184"/>
      <c r="X110" s="184"/>
      <c r="Y110" s="184"/>
      <c r="Z110" s="184"/>
      <c r="AA110" s="184"/>
    </row>
    <row r="111">
      <c r="A111" s="184"/>
      <c r="B111" s="184"/>
      <c r="C111" s="194"/>
      <c r="D111" s="194"/>
      <c r="E111" s="194"/>
      <c r="F111" s="194"/>
      <c r="G111" s="194"/>
      <c r="H111" s="184"/>
      <c r="I111" s="194"/>
      <c r="J111" s="194"/>
      <c r="K111" s="194"/>
      <c r="L111" s="184"/>
      <c r="M111" s="184"/>
      <c r="N111" s="184"/>
      <c r="O111" s="184"/>
      <c r="P111" s="184"/>
      <c r="Q111" s="184"/>
      <c r="R111" s="184"/>
      <c r="S111" s="184"/>
      <c r="T111" s="184"/>
      <c r="U111" s="184"/>
      <c r="V111" s="184"/>
      <c r="W111" s="184"/>
      <c r="X111" s="184"/>
      <c r="Y111" s="184"/>
      <c r="Z111" s="184"/>
      <c r="AA111" s="184"/>
    </row>
    <row r="112">
      <c r="A112" s="184"/>
      <c r="B112" s="184"/>
      <c r="C112" s="194"/>
      <c r="D112" s="194"/>
      <c r="E112" s="194"/>
      <c r="F112" s="194"/>
      <c r="G112" s="194"/>
      <c r="H112" s="184"/>
      <c r="I112" s="194"/>
      <c r="J112" s="194"/>
      <c r="K112" s="194"/>
      <c r="L112" s="184"/>
      <c r="M112" s="184"/>
      <c r="N112" s="184"/>
      <c r="O112" s="184"/>
      <c r="P112" s="184"/>
      <c r="Q112" s="184"/>
      <c r="R112" s="184"/>
      <c r="S112" s="184"/>
      <c r="T112" s="184"/>
      <c r="U112" s="184"/>
      <c r="V112" s="184"/>
      <c r="W112" s="184"/>
      <c r="X112" s="184"/>
      <c r="Y112" s="184"/>
      <c r="Z112" s="184"/>
      <c r="AA112" s="184"/>
    </row>
    <row r="113">
      <c r="A113" s="184"/>
      <c r="B113" s="184"/>
      <c r="C113" s="194"/>
      <c r="D113" s="194"/>
      <c r="E113" s="194"/>
      <c r="F113" s="194"/>
      <c r="G113" s="194"/>
      <c r="H113" s="184"/>
      <c r="I113" s="194"/>
      <c r="J113" s="194"/>
      <c r="K113" s="194"/>
      <c r="L113" s="184"/>
      <c r="M113" s="184"/>
      <c r="N113" s="184"/>
      <c r="O113" s="184"/>
      <c r="P113" s="184"/>
      <c r="Q113" s="184"/>
      <c r="R113" s="184"/>
      <c r="S113" s="184"/>
      <c r="T113" s="184"/>
      <c r="U113" s="184"/>
      <c r="V113" s="184"/>
      <c r="W113" s="184"/>
      <c r="X113" s="184"/>
      <c r="Y113" s="184"/>
      <c r="Z113" s="184"/>
      <c r="AA113" s="184"/>
    </row>
    <row r="114">
      <c r="A114" s="184"/>
      <c r="B114" s="184"/>
      <c r="C114" s="194"/>
      <c r="D114" s="194"/>
      <c r="E114" s="194"/>
      <c r="F114" s="194"/>
      <c r="G114" s="194"/>
      <c r="H114" s="184"/>
      <c r="I114" s="194"/>
      <c r="J114" s="194"/>
      <c r="K114" s="194"/>
      <c r="L114" s="184"/>
      <c r="M114" s="184"/>
      <c r="N114" s="184"/>
      <c r="O114" s="184"/>
      <c r="P114" s="184"/>
      <c r="Q114" s="184"/>
      <c r="R114" s="184"/>
      <c r="S114" s="184"/>
      <c r="T114" s="184"/>
      <c r="U114" s="184"/>
      <c r="V114" s="184"/>
      <c r="W114" s="184"/>
      <c r="X114" s="184"/>
      <c r="Y114" s="184"/>
      <c r="Z114" s="184"/>
      <c r="AA114" s="184"/>
    </row>
    <row r="115">
      <c r="A115" s="184"/>
      <c r="B115" s="184"/>
      <c r="C115" s="194"/>
      <c r="D115" s="194"/>
      <c r="E115" s="194"/>
      <c r="F115" s="194"/>
      <c r="G115" s="194"/>
      <c r="H115" s="184"/>
      <c r="I115" s="194"/>
      <c r="J115" s="194"/>
      <c r="K115" s="194"/>
      <c r="L115" s="184"/>
      <c r="M115" s="184"/>
      <c r="N115" s="184"/>
      <c r="O115" s="184"/>
      <c r="P115" s="184"/>
      <c r="Q115" s="184"/>
      <c r="R115" s="184"/>
      <c r="S115" s="184"/>
      <c r="T115" s="184"/>
      <c r="U115" s="184"/>
      <c r="V115" s="184"/>
      <c r="W115" s="184"/>
      <c r="X115" s="184"/>
      <c r="Y115" s="184"/>
      <c r="Z115" s="184"/>
      <c r="AA115" s="184"/>
    </row>
    <row r="116">
      <c r="A116" s="184"/>
      <c r="B116" s="184"/>
      <c r="C116" s="194"/>
      <c r="D116" s="194"/>
      <c r="E116" s="194"/>
      <c r="F116" s="194"/>
      <c r="G116" s="194"/>
      <c r="H116" s="184"/>
      <c r="I116" s="194"/>
      <c r="J116" s="194"/>
      <c r="K116" s="194"/>
      <c r="L116" s="184"/>
      <c r="M116" s="184"/>
      <c r="N116" s="184"/>
      <c r="O116" s="184"/>
      <c r="P116" s="184"/>
      <c r="Q116" s="184"/>
      <c r="R116" s="184"/>
      <c r="S116" s="184"/>
      <c r="T116" s="184"/>
      <c r="U116" s="184"/>
      <c r="V116" s="184"/>
      <c r="W116" s="184"/>
      <c r="X116" s="184"/>
      <c r="Y116" s="184"/>
      <c r="Z116" s="184"/>
      <c r="AA116" s="184"/>
    </row>
    <row r="117">
      <c r="A117" s="184"/>
      <c r="B117" s="184"/>
      <c r="C117" s="194"/>
      <c r="D117" s="194"/>
      <c r="E117" s="194"/>
      <c r="F117" s="194"/>
      <c r="G117" s="194"/>
      <c r="H117" s="184"/>
      <c r="I117" s="194"/>
      <c r="J117" s="194"/>
      <c r="K117" s="194"/>
      <c r="L117" s="184"/>
      <c r="M117" s="184"/>
      <c r="N117" s="184"/>
      <c r="O117" s="184"/>
      <c r="P117" s="184"/>
      <c r="Q117" s="184"/>
      <c r="R117" s="184"/>
      <c r="S117" s="184"/>
      <c r="T117" s="184"/>
      <c r="U117" s="184"/>
      <c r="V117" s="184"/>
      <c r="W117" s="184"/>
      <c r="X117" s="184"/>
      <c r="Y117" s="184"/>
      <c r="Z117" s="184"/>
      <c r="AA117" s="184"/>
    </row>
    <row r="118">
      <c r="A118" s="184"/>
      <c r="B118" s="184"/>
      <c r="C118" s="194"/>
      <c r="D118" s="194"/>
      <c r="E118" s="194"/>
      <c r="F118" s="194"/>
      <c r="G118" s="194"/>
      <c r="H118" s="184"/>
      <c r="I118" s="194"/>
      <c r="J118" s="194"/>
      <c r="K118" s="194"/>
      <c r="L118" s="184"/>
      <c r="M118" s="184"/>
      <c r="N118" s="184"/>
      <c r="O118" s="184"/>
      <c r="P118" s="184"/>
      <c r="Q118" s="184"/>
      <c r="R118" s="184"/>
      <c r="S118" s="184"/>
      <c r="T118" s="184"/>
      <c r="U118" s="184"/>
      <c r="V118" s="184"/>
      <c r="W118" s="184"/>
      <c r="X118" s="184"/>
      <c r="Y118" s="184"/>
      <c r="Z118" s="184"/>
      <c r="AA118" s="184"/>
    </row>
    <row r="119">
      <c r="A119" s="184"/>
      <c r="B119" s="184"/>
      <c r="C119" s="194"/>
      <c r="D119" s="194"/>
      <c r="E119" s="194"/>
      <c r="F119" s="194"/>
      <c r="G119" s="194"/>
      <c r="H119" s="184"/>
      <c r="I119" s="194"/>
      <c r="J119" s="194"/>
      <c r="K119" s="194"/>
      <c r="L119" s="184"/>
      <c r="M119" s="184"/>
      <c r="N119" s="184"/>
      <c r="O119" s="184"/>
      <c r="P119" s="184"/>
      <c r="Q119" s="184"/>
      <c r="R119" s="184"/>
      <c r="S119" s="184"/>
      <c r="T119" s="184"/>
      <c r="U119" s="184"/>
      <c r="V119" s="184"/>
      <c r="W119" s="184"/>
      <c r="X119" s="184"/>
      <c r="Y119" s="184"/>
      <c r="Z119" s="184"/>
      <c r="AA119" s="184"/>
    </row>
    <row r="120">
      <c r="A120" s="184"/>
      <c r="B120" s="184"/>
      <c r="C120" s="194"/>
      <c r="D120" s="194"/>
      <c r="E120" s="194"/>
      <c r="F120" s="194"/>
      <c r="G120" s="194"/>
      <c r="H120" s="184"/>
      <c r="I120" s="194"/>
      <c r="J120" s="194"/>
      <c r="K120" s="194"/>
      <c r="L120" s="184"/>
      <c r="M120" s="184"/>
      <c r="N120" s="184"/>
      <c r="O120" s="184"/>
      <c r="P120" s="184"/>
      <c r="Q120" s="184"/>
      <c r="R120" s="184"/>
      <c r="S120" s="184"/>
      <c r="T120" s="184"/>
      <c r="U120" s="184"/>
      <c r="V120" s="184"/>
      <c r="W120" s="184"/>
      <c r="X120" s="184"/>
      <c r="Y120" s="184"/>
      <c r="Z120" s="184"/>
      <c r="AA120" s="184"/>
    </row>
    <row r="121">
      <c r="A121" s="184"/>
      <c r="B121" s="184"/>
      <c r="C121" s="194"/>
      <c r="D121" s="194"/>
      <c r="E121" s="194"/>
      <c r="F121" s="194"/>
      <c r="G121" s="194"/>
      <c r="H121" s="184"/>
      <c r="I121" s="194"/>
      <c r="J121" s="194"/>
      <c r="K121" s="194"/>
      <c r="L121" s="184"/>
      <c r="M121" s="184"/>
      <c r="N121" s="184"/>
      <c r="O121" s="184"/>
      <c r="P121" s="184"/>
      <c r="Q121" s="184"/>
      <c r="R121" s="184"/>
      <c r="S121" s="184"/>
      <c r="T121" s="184"/>
      <c r="U121" s="184"/>
      <c r="V121" s="184"/>
      <c r="W121" s="184"/>
      <c r="X121" s="184"/>
      <c r="Y121" s="184"/>
      <c r="Z121" s="184"/>
      <c r="AA121" s="184"/>
    </row>
    <row r="122">
      <c r="A122" s="184"/>
      <c r="B122" s="184"/>
      <c r="C122" s="194"/>
      <c r="D122" s="194"/>
      <c r="E122" s="194"/>
      <c r="F122" s="194"/>
      <c r="G122" s="194"/>
      <c r="H122" s="184"/>
      <c r="I122" s="194"/>
      <c r="J122" s="194"/>
      <c r="K122" s="194"/>
      <c r="L122" s="184"/>
      <c r="M122" s="184"/>
      <c r="N122" s="184"/>
      <c r="O122" s="184"/>
      <c r="P122" s="184"/>
      <c r="Q122" s="184"/>
      <c r="R122" s="184"/>
      <c r="S122" s="184"/>
      <c r="T122" s="184"/>
      <c r="U122" s="184"/>
      <c r="V122" s="184"/>
      <c r="W122" s="184"/>
      <c r="X122" s="184"/>
      <c r="Y122" s="184"/>
      <c r="Z122" s="184"/>
      <c r="AA122" s="184"/>
    </row>
    <row r="123">
      <c r="A123" s="184"/>
      <c r="B123" s="184"/>
      <c r="C123" s="194"/>
      <c r="D123" s="194"/>
      <c r="E123" s="194"/>
      <c r="F123" s="194"/>
      <c r="G123" s="194"/>
      <c r="H123" s="184"/>
      <c r="I123" s="194"/>
      <c r="J123" s="194"/>
      <c r="K123" s="194"/>
      <c r="L123" s="184"/>
      <c r="M123" s="184"/>
      <c r="N123" s="184"/>
      <c r="O123" s="184"/>
      <c r="P123" s="184"/>
      <c r="Q123" s="184"/>
      <c r="R123" s="184"/>
      <c r="S123" s="184"/>
      <c r="T123" s="184"/>
      <c r="U123" s="184"/>
      <c r="V123" s="184"/>
      <c r="W123" s="184"/>
      <c r="X123" s="184"/>
      <c r="Y123" s="184"/>
      <c r="Z123" s="184"/>
      <c r="AA123" s="184"/>
    </row>
    <row r="124">
      <c r="A124" s="184"/>
      <c r="B124" s="184"/>
      <c r="C124" s="194"/>
      <c r="D124" s="194"/>
      <c r="E124" s="194"/>
      <c r="F124" s="194"/>
      <c r="G124" s="194"/>
      <c r="H124" s="184"/>
      <c r="I124" s="194"/>
      <c r="J124" s="194"/>
      <c r="K124" s="194"/>
      <c r="L124" s="184"/>
      <c r="M124" s="184"/>
      <c r="N124" s="184"/>
      <c r="O124" s="184"/>
      <c r="P124" s="184"/>
      <c r="Q124" s="184"/>
      <c r="R124" s="184"/>
      <c r="S124" s="184"/>
      <c r="T124" s="184"/>
      <c r="U124" s="184"/>
      <c r="V124" s="184"/>
      <c r="W124" s="184"/>
      <c r="X124" s="184"/>
      <c r="Y124" s="184"/>
      <c r="Z124" s="184"/>
      <c r="AA124" s="184"/>
    </row>
    <row r="125">
      <c r="A125" s="184"/>
      <c r="B125" s="184"/>
      <c r="C125" s="194"/>
      <c r="D125" s="194"/>
      <c r="E125" s="194"/>
      <c r="F125" s="194"/>
      <c r="G125" s="194"/>
      <c r="H125" s="184"/>
      <c r="I125" s="194"/>
      <c r="J125" s="194"/>
      <c r="K125" s="194"/>
      <c r="L125" s="184"/>
      <c r="M125" s="184"/>
      <c r="N125" s="184"/>
      <c r="O125" s="184"/>
      <c r="P125" s="184"/>
      <c r="Q125" s="184"/>
      <c r="R125" s="184"/>
      <c r="S125" s="184"/>
      <c r="T125" s="184"/>
      <c r="U125" s="184"/>
      <c r="V125" s="184"/>
      <c r="W125" s="184"/>
      <c r="X125" s="184"/>
      <c r="Y125" s="184"/>
      <c r="Z125" s="184"/>
      <c r="AA125" s="184"/>
    </row>
    <row r="126">
      <c r="A126" s="184"/>
      <c r="B126" s="184"/>
      <c r="C126" s="194"/>
      <c r="D126" s="194"/>
      <c r="E126" s="194"/>
      <c r="F126" s="194"/>
      <c r="G126" s="194"/>
      <c r="H126" s="184"/>
      <c r="I126" s="194"/>
      <c r="J126" s="194"/>
      <c r="K126" s="194"/>
      <c r="L126" s="184"/>
      <c r="M126" s="184"/>
      <c r="N126" s="184"/>
      <c r="O126" s="184"/>
      <c r="P126" s="184"/>
      <c r="Q126" s="184"/>
      <c r="R126" s="184"/>
      <c r="S126" s="184"/>
      <c r="T126" s="184"/>
      <c r="U126" s="184"/>
      <c r="V126" s="184"/>
      <c r="W126" s="184"/>
      <c r="X126" s="184"/>
      <c r="Y126" s="184"/>
      <c r="Z126" s="184"/>
      <c r="AA126" s="184"/>
    </row>
    <row r="127">
      <c r="A127" s="184"/>
      <c r="B127" s="184"/>
      <c r="C127" s="194"/>
      <c r="D127" s="194"/>
      <c r="E127" s="194"/>
      <c r="F127" s="194"/>
      <c r="G127" s="194"/>
      <c r="H127" s="184"/>
      <c r="I127" s="194"/>
      <c r="J127" s="194"/>
      <c r="K127" s="194"/>
      <c r="L127" s="184"/>
      <c r="M127" s="184"/>
      <c r="N127" s="184"/>
      <c r="O127" s="184"/>
      <c r="P127" s="184"/>
      <c r="Q127" s="184"/>
      <c r="R127" s="184"/>
      <c r="S127" s="184"/>
      <c r="T127" s="184"/>
      <c r="U127" s="184"/>
      <c r="V127" s="184"/>
      <c r="W127" s="184"/>
      <c r="X127" s="184"/>
      <c r="Y127" s="184"/>
      <c r="Z127" s="184"/>
      <c r="AA127" s="184"/>
    </row>
    <row r="128">
      <c r="A128" s="184"/>
      <c r="B128" s="184"/>
      <c r="C128" s="194"/>
      <c r="D128" s="194"/>
      <c r="E128" s="194"/>
      <c r="F128" s="194"/>
      <c r="G128" s="194"/>
      <c r="H128" s="184"/>
      <c r="I128" s="194"/>
      <c r="J128" s="194"/>
      <c r="K128" s="194"/>
      <c r="L128" s="184"/>
      <c r="M128" s="184"/>
      <c r="N128" s="184"/>
      <c r="O128" s="184"/>
      <c r="P128" s="184"/>
      <c r="Q128" s="184"/>
      <c r="R128" s="184"/>
      <c r="S128" s="184"/>
      <c r="T128" s="184"/>
      <c r="U128" s="184"/>
      <c r="V128" s="184"/>
      <c r="W128" s="184"/>
      <c r="X128" s="184"/>
      <c r="Y128" s="184"/>
      <c r="Z128" s="184"/>
      <c r="AA128" s="184"/>
    </row>
    <row r="129">
      <c r="A129" s="184"/>
      <c r="B129" s="184"/>
      <c r="C129" s="194"/>
      <c r="D129" s="194"/>
      <c r="E129" s="194"/>
      <c r="F129" s="194"/>
      <c r="G129" s="194"/>
      <c r="H129" s="184"/>
      <c r="I129" s="194"/>
      <c r="J129" s="194"/>
      <c r="K129" s="194"/>
      <c r="L129" s="184"/>
      <c r="M129" s="184"/>
      <c r="N129" s="184"/>
      <c r="O129" s="184"/>
      <c r="P129" s="184"/>
      <c r="Q129" s="184"/>
      <c r="R129" s="184"/>
      <c r="S129" s="184"/>
      <c r="T129" s="184"/>
      <c r="U129" s="184"/>
      <c r="V129" s="184"/>
      <c r="W129" s="184"/>
      <c r="X129" s="184"/>
      <c r="Y129" s="184"/>
      <c r="Z129" s="184"/>
      <c r="AA129" s="184"/>
    </row>
    <row r="130">
      <c r="A130" s="184"/>
      <c r="B130" s="184"/>
      <c r="C130" s="194"/>
      <c r="D130" s="194"/>
      <c r="E130" s="194"/>
      <c r="F130" s="194"/>
      <c r="G130" s="194"/>
      <c r="H130" s="184"/>
      <c r="I130" s="194"/>
      <c r="J130" s="194"/>
      <c r="K130" s="194"/>
      <c r="L130" s="184"/>
      <c r="M130" s="184"/>
      <c r="N130" s="184"/>
      <c r="O130" s="184"/>
      <c r="P130" s="184"/>
      <c r="Q130" s="184"/>
      <c r="R130" s="184"/>
      <c r="S130" s="184"/>
      <c r="T130" s="184"/>
      <c r="U130" s="184"/>
      <c r="V130" s="184"/>
      <c r="W130" s="184"/>
      <c r="X130" s="184"/>
      <c r="Y130" s="184"/>
      <c r="Z130" s="184"/>
      <c r="AA130" s="184"/>
    </row>
    <row r="131">
      <c r="A131" s="184"/>
      <c r="B131" s="184"/>
      <c r="C131" s="194"/>
      <c r="D131" s="194"/>
      <c r="E131" s="194"/>
      <c r="F131" s="194"/>
      <c r="G131" s="194"/>
      <c r="H131" s="184"/>
      <c r="I131" s="194"/>
      <c r="J131" s="194"/>
      <c r="K131" s="194"/>
      <c r="L131" s="184"/>
      <c r="M131" s="184"/>
      <c r="N131" s="184"/>
      <c r="O131" s="184"/>
      <c r="P131" s="184"/>
      <c r="Q131" s="184"/>
      <c r="R131" s="184"/>
      <c r="S131" s="184"/>
      <c r="T131" s="184"/>
      <c r="U131" s="184"/>
      <c r="V131" s="184"/>
      <c r="W131" s="184"/>
      <c r="X131" s="184"/>
      <c r="Y131" s="184"/>
      <c r="Z131" s="184"/>
      <c r="AA131" s="184"/>
    </row>
    <row r="132">
      <c r="A132" s="184"/>
      <c r="B132" s="184"/>
      <c r="C132" s="194"/>
      <c r="D132" s="194"/>
      <c r="E132" s="194"/>
      <c r="F132" s="194"/>
      <c r="G132" s="194"/>
      <c r="H132" s="184"/>
      <c r="I132" s="194"/>
      <c r="J132" s="194"/>
      <c r="K132" s="194"/>
      <c r="L132" s="184"/>
      <c r="M132" s="184"/>
      <c r="N132" s="184"/>
      <c r="O132" s="184"/>
      <c r="P132" s="184"/>
      <c r="Q132" s="184"/>
      <c r="R132" s="184"/>
      <c r="S132" s="184"/>
      <c r="T132" s="184"/>
      <c r="U132" s="184"/>
      <c r="V132" s="184"/>
      <c r="W132" s="184"/>
      <c r="X132" s="184"/>
      <c r="Y132" s="184"/>
      <c r="Z132" s="184"/>
      <c r="AA132" s="184"/>
    </row>
    <row r="133">
      <c r="A133" s="184"/>
      <c r="B133" s="184"/>
      <c r="C133" s="194"/>
      <c r="D133" s="194"/>
      <c r="E133" s="194"/>
      <c r="F133" s="194"/>
      <c r="G133" s="194"/>
      <c r="H133" s="184"/>
      <c r="I133" s="194"/>
      <c r="J133" s="194"/>
      <c r="K133" s="194"/>
      <c r="L133" s="184"/>
      <c r="M133" s="184"/>
      <c r="N133" s="184"/>
      <c r="O133" s="184"/>
      <c r="P133" s="184"/>
      <c r="Q133" s="184"/>
      <c r="R133" s="184"/>
      <c r="S133" s="184"/>
      <c r="T133" s="184"/>
      <c r="U133" s="184"/>
      <c r="V133" s="184"/>
      <c r="W133" s="184"/>
      <c r="X133" s="184"/>
      <c r="Y133" s="184"/>
      <c r="Z133" s="184"/>
      <c r="AA133" s="184"/>
    </row>
    <row r="134">
      <c r="A134" s="184"/>
      <c r="B134" s="184"/>
      <c r="C134" s="194"/>
      <c r="D134" s="194"/>
      <c r="E134" s="194"/>
      <c r="F134" s="194"/>
      <c r="G134" s="194"/>
      <c r="H134" s="184"/>
      <c r="I134" s="194"/>
      <c r="J134" s="194"/>
      <c r="K134" s="194"/>
      <c r="L134" s="184"/>
      <c r="M134" s="184"/>
      <c r="N134" s="184"/>
      <c r="O134" s="184"/>
      <c r="P134" s="184"/>
      <c r="Q134" s="184"/>
      <c r="R134" s="184"/>
      <c r="S134" s="184"/>
      <c r="T134" s="184"/>
      <c r="U134" s="184"/>
      <c r="V134" s="184"/>
      <c r="W134" s="184"/>
      <c r="X134" s="184"/>
      <c r="Y134" s="184"/>
      <c r="Z134" s="184"/>
      <c r="AA134" s="184"/>
    </row>
    <row r="135">
      <c r="A135" s="184"/>
      <c r="B135" s="184"/>
      <c r="C135" s="194"/>
      <c r="D135" s="194"/>
      <c r="E135" s="194"/>
      <c r="F135" s="194"/>
      <c r="G135" s="194"/>
      <c r="H135" s="184"/>
      <c r="I135" s="194"/>
      <c r="J135" s="194"/>
      <c r="K135" s="194"/>
      <c r="L135" s="184"/>
      <c r="M135" s="184"/>
      <c r="N135" s="184"/>
      <c r="O135" s="184"/>
      <c r="P135" s="184"/>
      <c r="Q135" s="184"/>
      <c r="R135" s="184"/>
      <c r="S135" s="184"/>
      <c r="T135" s="184"/>
      <c r="U135" s="184"/>
      <c r="V135" s="184"/>
      <c r="W135" s="184"/>
      <c r="X135" s="184"/>
      <c r="Y135" s="184"/>
      <c r="Z135" s="184"/>
      <c r="AA135" s="184"/>
    </row>
    <row r="136">
      <c r="A136" s="184"/>
      <c r="B136" s="184"/>
      <c r="C136" s="194"/>
      <c r="D136" s="194"/>
      <c r="E136" s="194"/>
      <c r="F136" s="194"/>
      <c r="G136" s="194"/>
      <c r="H136" s="184"/>
      <c r="I136" s="194"/>
      <c r="J136" s="194"/>
      <c r="K136" s="194"/>
      <c r="L136" s="184"/>
      <c r="M136" s="184"/>
      <c r="N136" s="184"/>
      <c r="O136" s="184"/>
      <c r="P136" s="184"/>
      <c r="Q136" s="184"/>
      <c r="R136" s="184"/>
      <c r="S136" s="184"/>
      <c r="T136" s="184"/>
      <c r="U136" s="184"/>
      <c r="V136" s="184"/>
      <c r="W136" s="184"/>
      <c r="X136" s="184"/>
      <c r="Y136" s="184"/>
      <c r="Z136" s="184"/>
      <c r="AA136" s="184"/>
    </row>
    <row r="137">
      <c r="A137" s="184"/>
      <c r="B137" s="184"/>
      <c r="C137" s="194"/>
      <c r="D137" s="194"/>
      <c r="E137" s="194"/>
      <c r="F137" s="194"/>
      <c r="G137" s="194"/>
      <c r="H137" s="184"/>
      <c r="I137" s="194"/>
      <c r="J137" s="194"/>
      <c r="K137" s="194"/>
      <c r="L137" s="184"/>
      <c r="M137" s="184"/>
      <c r="N137" s="184"/>
      <c r="O137" s="184"/>
      <c r="P137" s="184"/>
      <c r="Q137" s="184"/>
      <c r="R137" s="184"/>
      <c r="S137" s="184"/>
      <c r="T137" s="184"/>
      <c r="U137" s="184"/>
      <c r="V137" s="184"/>
      <c r="W137" s="184"/>
      <c r="X137" s="184"/>
      <c r="Y137" s="184"/>
      <c r="Z137" s="184"/>
      <c r="AA137" s="184"/>
    </row>
    <row r="138">
      <c r="A138" s="184"/>
      <c r="B138" s="184"/>
      <c r="C138" s="194"/>
      <c r="D138" s="194"/>
      <c r="E138" s="194"/>
      <c r="F138" s="194"/>
      <c r="G138" s="194"/>
      <c r="H138" s="184"/>
      <c r="I138" s="194"/>
      <c r="J138" s="194"/>
      <c r="K138" s="194"/>
      <c r="L138" s="184"/>
      <c r="M138" s="184"/>
      <c r="N138" s="184"/>
      <c r="O138" s="184"/>
      <c r="P138" s="184"/>
      <c r="Q138" s="184"/>
      <c r="R138" s="184"/>
      <c r="S138" s="184"/>
      <c r="T138" s="184"/>
      <c r="U138" s="184"/>
      <c r="V138" s="184"/>
      <c r="W138" s="184"/>
      <c r="X138" s="184"/>
      <c r="Y138" s="184"/>
      <c r="Z138" s="184"/>
      <c r="AA138" s="184"/>
    </row>
    <row r="139">
      <c r="A139" s="184"/>
      <c r="B139" s="184"/>
      <c r="C139" s="194"/>
      <c r="D139" s="194"/>
      <c r="E139" s="194"/>
      <c r="F139" s="194"/>
      <c r="G139" s="194"/>
      <c r="H139" s="184"/>
      <c r="I139" s="194"/>
      <c r="J139" s="194"/>
      <c r="K139" s="194"/>
      <c r="L139" s="184"/>
      <c r="M139" s="184"/>
      <c r="N139" s="184"/>
      <c r="O139" s="184"/>
      <c r="P139" s="184"/>
      <c r="Q139" s="184"/>
      <c r="R139" s="184"/>
      <c r="S139" s="184"/>
      <c r="T139" s="184"/>
      <c r="U139" s="184"/>
      <c r="V139" s="184"/>
      <c r="W139" s="184"/>
      <c r="X139" s="184"/>
      <c r="Y139" s="184"/>
      <c r="Z139" s="184"/>
      <c r="AA139" s="184"/>
    </row>
    <row r="140">
      <c r="A140" s="184"/>
      <c r="B140" s="184"/>
      <c r="C140" s="194"/>
      <c r="D140" s="194"/>
      <c r="E140" s="194"/>
      <c r="F140" s="194"/>
      <c r="G140" s="194"/>
      <c r="H140" s="184"/>
      <c r="I140" s="194"/>
      <c r="J140" s="194"/>
      <c r="K140" s="194"/>
      <c r="L140" s="184"/>
      <c r="M140" s="184"/>
      <c r="N140" s="184"/>
      <c r="O140" s="184"/>
      <c r="P140" s="184"/>
      <c r="Q140" s="184"/>
      <c r="R140" s="184"/>
      <c r="S140" s="184"/>
      <c r="T140" s="184"/>
      <c r="U140" s="184"/>
      <c r="V140" s="184"/>
      <c r="W140" s="184"/>
      <c r="X140" s="184"/>
      <c r="Y140" s="184"/>
      <c r="Z140" s="184"/>
      <c r="AA140" s="184"/>
    </row>
    <row r="141">
      <c r="A141" s="184"/>
      <c r="B141" s="184"/>
      <c r="C141" s="194"/>
      <c r="D141" s="194"/>
      <c r="E141" s="194"/>
      <c r="F141" s="194"/>
      <c r="G141" s="194"/>
      <c r="H141" s="184"/>
      <c r="I141" s="194"/>
      <c r="J141" s="194"/>
      <c r="K141" s="194"/>
      <c r="L141" s="184"/>
      <c r="M141" s="184"/>
      <c r="N141" s="184"/>
      <c r="O141" s="184"/>
      <c r="P141" s="184"/>
      <c r="Q141" s="184"/>
      <c r="R141" s="184"/>
      <c r="S141" s="184"/>
      <c r="T141" s="184"/>
      <c r="U141" s="184"/>
      <c r="V141" s="184"/>
      <c r="W141" s="184"/>
      <c r="X141" s="184"/>
      <c r="Y141" s="184"/>
      <c r="Z141" s="184"/>
      <c r="AA141" s="184"/>
    </row>
    <row r="142">
      <c r="A142" s="184"/>
      <c r="B142" s="184"/>
      <c r="C142" s="194"/>
      <c r="D142" s="194"/>
      <c r="E142" s="194"/>
      <c r="F142" s="194"/>
      <c r="G142" s="194"/>
      <c r="H142" s="184"/>
      <c r="I142" s="194"/>
      <c r="J142" s="194"/>
      <c r="K142" s="194"/>
      <c r="L142" s="184"/>
      <c r="M142" s="184"/>
      <c r="N142" s="184"/>
      <c r="O142" s="184"/>
      <c r="P142" s="184"/>
      <c r="Q142" s="184"/>
      <c r="R142" s="184"/>
      <c r="S142" s="184"/>
      <c r="T142" s="184"/>
      <c r="U142" s="184"/>
      <c r="V142" s="184"/>
      <c r="W142" s="184"/>
      <c r="X142" s="184"/>
      <c r="Y142" s="184"/>
      <c r="Z142" s="184"/>
      <c r="AA142" s="184"/>
    </row>
    <row r="143">
      <c r="A143" s="184"/>
      <c r="B143" s="184"/>
      <c r="C143" s="194"/>
      <c r="D143" s="194"/>
      <c r="E143" s="194"/>
      <c r="F143" s="194"/>
      <c r="G143" s="194"/>
      <c r="H143" s="184"/>
      <c r="I143" s="194"/>
      <c r="J143" s="194"/>
      <c r="K143" s="194"/>
      <c r="L143" s="184"/>
      <c r="M143" s="184"/>
      <c r="N143" s="184"/>
      <c r="O143" s="184"/>
      <c r="P143" s="184"/>
      <c r="Q143" s="184"/>
      <c r="R143" s="184"/>
      <c r="S143" s="184"/>
      <c r="T143" s="184"/>
      <c r="U143" s="184"/>
      <c r="V143" s="184"/>
      <c r="W143" s="184"/>
      <c r="X143" s="184"/>
      <c r="Y143" s="184"/>
      <c r="Z143" s="184"/>
      <c r="AA143" s="184"/>
    </row>
    <row r="144">
      <c r="A144" s="184"/>
      <c r="B144" s="184"/>
      <c r="C144" s="194"/>
      <c r="D144" s="194"/>
      <c r="E144" s="194"/>
      <c r="F144" s="194"/>
      <c r="G144" s="194"/>
      <c r="H144" s="184"/>
      <c r="I144" s="194"/>
      <c r="J144" s="194"/>
      <c r="K144" s="194"/>
      <c r="L144" s="184"/>
      <c r="M144" s="184"/>
      <c r="N144" s="184"/>
      <c r="O144" s="184"/>
      <c r="P144" s="184"/>
      <c r="Q144" s="184"/>
      <c r="R144" s="184"/>
      <c r="S144" s="184"/>
      <c r="T144" s="184"/>
      <c r="U144" s="184"/>
      <c r="V144" s="184"/>
      <c r="W144" s="184"/>
      <c r="X144" s="184"/>
      <c r="Y144" s="184"/>
      <c r="Z144" s="184"/>
      <c r="AA144" s="184"/>
    </row>
    <row r="145">
      <c r="A145" s="184"/>
      <c r="B145" s="184"/>
      <c r="C145" s="194"/>
      <c r="D145" s="194"/>
      <c r="E145" s="194"/>
      <c r="F145" s="194"/>
      <c r="G145" s="194"/>
      <c r="H145" s="184"/>
      <c r="I145" s="194"/>
      <c r="J145" s="194"/>
      <c r="K145" s="194"/>
      <c r="L145" s="184"/>
      <c r="M145" s="184"/>
      <c r="N145" s="184"/>
      <c r="O145" s="184"/>
      <c r="P145" s="184"/>
      <c r="Q145" s="184"/>
      <c r="R145" s="184"/>
      <c r="S145" s="184"/>
      <c r="T145" s="184"/>
      <c r="U145" s="184"/>
      <c r="V145" s="184"/>
      <c r="W145" s="184"/>
      <c r="X145" s="184"/>
      <c r="Y145" s="184"/>
      <c r="Z145" s="184"/>
      <c r="AA145" s="184"/>
    </row>
    <row r="146">
      <c r="A146" s="184"/>
      <c r="B146" s="184"/>
      <c r="C146" s="194"/>
      <c r="D146" s="194"/>
      <c r="E146" s="194"/>
      <c r="F146" s="194"/>
      <c r="G146" s="194"/>
      <c r="H146" s="184"/>
      <c r="I146" s="194"/>
      <c r="J146" s="194"/>
      <c r="K146" s="194"/>
      <c r="L146" s="184"/>
      <c r="M146" s="184"/>
      <c r="N146" s="184"/>
      <c r="O146" s="184"/>
      <c r="P146" s="184"/>
      <c r="Q146" s="184"/>
      <c r="R146" s="184"/>
      <c r="S146" s="184"/>
      <c r="T146" s="184"/>
      <c r="U146" s="184"/>
      <c r="V146" s="184"/>
      <c r="W146" s="184"/>
      <c r="X146" s="184"/>
      <c r="Y146" s="184"/>
      <c r="Z146" s="184"/>
      <c r="AA146" s="184"/>
    </row>
    <row r="147">
      <c r="A147" s="184"/>
      <c r="B147" s="184"/>
      <c r="C147" s="194"/>
      <c r="D147" s="194"/>
      <c r="E147" s="194"/>
      <c r="F147" s="194"/>
      <c r="G147" s="194"/>
      <c r="H147" s="184"/>
      <c r="I147" s="194"/>
      <c r="J147" s="194"/>
      <c r="K147" s="194"/>
      <c r="L147" s="184"/>
      <c r="M147" s="184"/>
      <c r="N147" s="184"/>
      <c r="O147" s="184"/>
      <c r="P147" s="184"/>
      <c r="Q147" s="184"/>
      <c r="R147" s="184"/>
      <c r="S147" s="184"/>
      <c r="T147" s="184"/>
      <c r="U147" s="184"/>
      <c r="V147" s="184"/>
      <c r="W147" s="184"/>
      <c r="X147" s="184"/>
      <c r="Y147" s="184"/>
      <c r="Z147" s="184"/>
      <c r="AA147" s="184"/>
    </row>
    <row r="148">
      <c r="A148" s="184"/>
      <c r="B148" s="184"/>
      <c r="C148" s="194"/>
      <c r="D148" s="194"/>
      <c r="E148" s="194"/>
      <c r="F148" s="194"/>
      <c r="G148" s="194"/>
      <c r="H148" s="184"/>
      <c r="I148" s="194"/>
      <c r="J148" s="194"/>
      <c r="K148" s="194"/>
      <c r="L148" s="184"/>
      <c r="M148" s="184"/>
      <c r="N148" s="184"/>
      <c r="O148" s="184"/>
      <c r="P148" s="184"/>
      <c r="Q148" s="184"/>
      <c r="R148" s="184"/>
      <c r="S148" s="184"/>
      <c r="T148" s="184"/>
      <c r="U148" s="184"/>
      <c r="V148" s="184"/>
      <c r="W148" s="184"/>
      <c r="X148" s="184"/>
      <c r="Y148" s="184"/>
      <c r="Z148" s="184"/>
      <c r="AA148" s="184"/>
    </row>
    <row r="149">
      <c r="A149" s="184"/>
      <c r="B149" s="184"/>
      <c r="C149" s="194"/>
      <c r="D149" s="194"/>
      <c r="E149" s="194"/>
      <c r="F149" s="194"/>
      <c r="G149" s="194"/>
      <c r="H149" s="184"/>
      <c r="I149" s="194"/>
      <c r="J149" s="194"/>
      <c r="K149" s="194"/>
      <c r="L149" s="184"/>
      <c r="M149" s="184"/>
      <c r="N149" s="184"/>
      <c r="O149" s="184"/>
      <c r="P149" s="184"/>
      <c r="Q149" s="184"/>
      <c r="R149" s="184"/>
      <c r="S149" s="184"/>
      <c r="T149" s="184"/>
      <c r="U149" s="184"/>
      <c r="V149" s="184"/>
      <c r="W149" s="184"/>
      <c r="X149" s="184"/>
      <c r="Y149" s="184"/>
      <c r="Z149" s="184"/>
      <c r="AA149" s="184"/>
    </row>
    <row r="150">
      <c r="A150" s="184"/>
      <c r="B150" s="184"/>
      <c r="C150" s="194"/>
      <c r="D150" s="194"/>
      <c r="E150" s="194"/>
      <c r="F150" s="194"/>
      <c r="G150" s="194"/>
      <c r="H150" s="184"/>
      <c r="I150" s="194"/>
      <c r="J150" s="194"/>
      <c r="K150" s="194"/>
      <c r="L150" s="184"/>
      <c r="M150" s="184"/>
      <c r="N150" s="184"/>
      <c r="O150" s="184"/>
      <c r="P150" s="184"/>
      <c r="Q150" s="184"/>
      <c r="R150" s="184"/>
      <c r="S150" s="184"/>
      <c r="T150" s="184"/>
      <c r="U150" s="184"/>
      <c r="V150" s="184"/>
      <c r="W150" s="184"/>
      <c r="X150" s="184"/>
      <c r="Y150" s="184"/>
      <c r="Z150" s="184"/>
      <c r="AA150" s="184"/>
    </row>
    <row r="151">
      <c r="A151" s="184"/>
      <c r="B151" s="184"/>
      <c r="C151" s="194"/>
      <c r="D151" s="194"/>
      <c r="E151" s="194"/>
      <c r="F151" s="194"/>
      <c r="G151" s="194"/>
      <c r="H151" s="184"/>
      <c r="I151" s="194"/>
      <c r="J151" s="194"/>
      <c r="K151" s="194"/>
      <c r="L151" s="184"/>
      <c r="M151" s="184"/>
      <c r="N151" s="184"/>
      <c r="O151" s="184"/>
      <c r="P151" s="184"/>
      <c r="Q151" s="184"/>
      <c r="R151" s="184"/>
      <c r="S151" s="184"/>
      <c r="T151" s="184"/>
      <c r="U151" s="184"/>
      <c r="V151" s="184"/>
      <c r="W151" s="184"/>
      <c r="X151" s="184"/>
      <c r="Y151" s="184"/>
      <c r="Z151" s="184"/>
      <c r="AA151" s="184"/>
    </row>
    <row r="152">
      <c r="A152" s="184"/>
      <c r="B152" s="184"/>
      <c r="C152" s="194"/>
      <c r="D152" s="194"/>
      <c r="E152" s="194"/>
      <c r="F152" s="194"/>
      <c r="G152" s="194"/>
      <c r="H152" s="184"/>
      <c r="I152" s="194"/>
      <c r="J152" s="194"/>
      <c r="K152" s="194"/>
      <c r="L152" s="184"/>
      <c r="M152" s="184"/>
      <c r="N152" s="184"/>
      <c r="O152" s="184"/>
      <c r="P152" s="184"/>
      <c r="Q152" s="184"/>
      <c r="R152" s="184"/>
      <c r="S152" s="184"/>
      <c r="T152" s="184"/>
      <c r="U152" s="184"/>
      <c r="V152" s="184"/>
      <c r="W152" s="184"/>
      <c r="X152" s="184"/>
      <c r="Y152" s="184"/>
      <c r="Z152" s="184"/>
      <c r="AA152" s="184"/>
    </row>
    <row r="153">
      <c r="A153" s="184"/>
      <c r="B153" s="184"/>
      <c r="C153" s="194"/>
      <c r="D153" s="194"/>
      <c r="E153" s="194"/>
      <c r="F153" s="194"/>
      <c r="G153" s="194"/>
      <c r="H153" s="184"/>
      <c r="I153" s="194"/>
      <c r="J153" s="194"/>
      <c r="K153" s="194"/>
      <c r="L153" s="184"/>
      <c r="M153" s="184"/>
      <c r="N153" s="184"/>
      <c r="O153" s="184"/>
      <c r="P153" s="184"/>
      <c r="Q153" s="184"/>
      <c r="R153" s="184"/>
      <c r="S153" s="184"/>
      <c r="T153" s="184"/>
      <c r="U153" s="184"/>
      <c r="V153" s="184"/>
      <c r="W153" s="184"/>
      <c r="X153" s="184"/>
      <c r="Y153" s="184"/>
      <c r="Z153" s="184"/>
      <c r="AA153" s="184"/>
    </row>
    <row r="154">
      <c r="A154" s="184"/>
      <c r="B154" s="184"/>
      <c r="C154" s="194"/>
      <c r="D154" s="194"/>
      <c r="E154" s="194"/>
      <c r="F154" s="194"/>
      <c r="G154" s="194"/>
      <c r="H154" s="184"/>
      <c r="I154" s="194"/>
      <c r="J154" s="194"/>
      <c r="K154" s="194"/>
      <c r="L154" s="184"/>
      <c r="M154" s="184"/>
      <c r="N154" s="184"/>
      <c r="O154" s="184"/>
      <c r="P154" s="184"/>
      <c r="Q154" s="184"/>
      <c r="R154" s="184"/>
      <c r="S154" s="184"/>
      <c r="T154" s="184"/>
      <c r="U154" s="184"/>
      <c r="V154" s="184"/>
      <c r="W154" s="184"/>
      <c r="X154" s="184"/>
      <c r="Y154" s="184"/>
      <c r="Z154" s="184"/>
      <c r="AA154" s="184"/>
    </row>
    <row r="155">
      <c r="A155" s="184"/>
      <c r="B155" s="184"/>
      <c r="C155" s="194"/>
      <c r="D155" s="194"/>
      <c r="E155" s="194"/>
      <c r="F155" s="194"/>
      <c r="G155" s="194"/>
      <c r="H155" s="184"/>
      <c r="I155" s="194"/>
      <c r="J155" s="194"/>
      <c r="K155" s="194"/>
      <c r="L155" s="184"/>
      <c r="M155" s="184"/>
      <c r="N155" s="184"/>
      <c r="O155" s="184"/>
      <c r="P155" s="184"/>
      <c r="Q155" s="184"/>
      <c r="R155" s="184"/>
      <c r="S155" s="184"/>
      <c r="T155" s="184"/>
      <c r="U155" s="184"/>
      <c r="V155" s="184"/>
      <c r="W155" s="184"/>
      <c r="X155" s="184"/>
      <c r="Y155" s="184"/>
      <c r="Z155" s="184"/>
      <c r="AA155" s="184"/>
    </row>
    <row r="156">
      <c r="A156" s="184"/>
      <c r="B156" s="184"/>
      <c r="C156" s="194"/>
      <c r="D156" s="194"/>
      <c r="E156" s="194"/>
      <c r="F156" s="194"/>
      <c r="G156" s="194"/>
      <c r="H156" s="184"/>
      <c r="I156" s="194"/>
      <c r="J156" s="194"/>
      <c r="K156" s="194"/>
      <c r="L156" s="184"/>
      <c r="M156" s="184"/>
      <c r="N156" s="184"/>
      <c r="O156" s="184"/>
      <c r="P156" s="184"/>
      <c r="Q156" s="184"/>
      <c r="R156" s="184"/>
      <c r="S156" s="184"/>
      <c r="T156" s="184"/>
      <c r="U156" s="184"/>
      <c r="V156" s="184"/>
      <c r="W156" s="184"/>
      <c r="X156" s="184"/>
      <c r="Y156" s="184"/>
      <c r="Z156" s="184"/>
      <c r="AA156" s="184"/>
    </row>
    <row r="157">
      <c r="A157" s="184"/>
      <c r="B157" s="184"/>
      <c r="C157" s="194"/>
      <c r="D157" s="194"/>
      <c r="E157" s="194"/>
      <c r="F157" s="194"/>
      <c r="G157" s="194"/>
      <c r="H157" s="184"/>
      <c r="I157" s="194"/>
      <c r="J157" s="194"/>
      <c r="K157" s="194"/>
      <c r="L157" s="184"/>
      <c r="M157" s="184"/>
      <c r="N157" s="184"/>
      <c r="O157" s="184"/>
      <c r="P157" s="184"/>
      <c r="Q157" s="184"/>
      <c r="R157" s="184"/>
      <c r="S157" s="184"/>
      <c r="T157" s="184"/>
      <c r="U157" s="184"/>
      <c r="V157" s="184"/>
      <c r="W157" s="184"/>
      <c r="X157" s="184"/>
      <c r="Y157" s="184"/>
      <c r="Z157" s="184"/>
      <c r="AA157" s="184"/>
    </row>
    <row r="158">
      <c r="A158" s="184"/>
      <c r="B158" s="184"/>
      <c r="C158" s="194"/>
      <c r="D158" s="194"/>
      <c r="E158" s="194"/>
      <c r="F158" s="194"/>
      <c r="G158" s="194"/>
      <c r="H158" s="184"/>
      <c r="I158" s="194"/>
      <c r="J158" s="194"/>
      <c r="K158" s="194"/>
      <c r="L158" s="184"/>
      <c r="M158" s="184"/>
      <c r="N158" s="184"/>
      <c r="O158" s="184"/>
      <c r="P158" s="184"/>
      <c r="Q158" s="184"/>
      <c r="R158" s="184"/>
      <c r="S158" s="184"/>
      <c r="T158" s="184"/>
      <c r="U158" s="184"/>
      <c r="V158" s="184"/>
      <c r="W158" s="184"/>
      <c r="X158" s="184"/>
      <c r="Y158" s="184"/>
      <c r="Z158" s="184"/>
      <c r="AA158" s="184"/>
    </row>
    <row r="159">
      <c r="A159" s="184"/>
      <c r="B159" s="184"/>
      <c r="C159" s="194"/>
      <c r="D159" s="194"/>
      <c r="E159" s="194"/>
      <c r="F159" s="194"/>
      <c r="G159" s="194"/>
      <c r="H159" s="184"/>
      <c r="I159" s="194"/>
      <c r="J159" s="194"/>
      <c r="K159" s="194"/>
      <c r="L159" s="184"/>
      <c r="M159" s="184"/>
      <c r="N159" s="184"/>
      <c r="O159" s="184"/>
      <c r="P159" s="184"/>
      <c r="Q159" s="184"/>
      <c r="R159" s="184"/>
      <c r="S159" s="184"/>
      <c r="T159" s="184"/>
      <c r="U159" s="184"/>
      <c r="V159" s="184"/>
      <c r="W159" s="184"/>
      <c r="X159" s="184"/>
      <c r="Y159" s="184"/>
      <c r="Z159" s="184"/>
      <c r="AA159" s="184"/>
    </row>
    <row r="160">
      <c r="A160" s="184"/>
      <c r="B160" s="184"/>
      <c r="C160" s="194"/>
      <c r="D160" s="194"/>
      <c r="E160" s="194"/>
      <c r="F160" s="194"/>
      <c r="G160" s="194"/>
      <c r="H160" s="184"/>
      <c r="I160" s="194"/>
      <c r="J160" s="194"/>
      <c r="K160" s="194"/>
      <c r="L160" s="184"/>
      <c r="M160" s="184"/>
      <c r="N160" s="184"/>
      <c r="O160" s="184"/>
      <c r="P160" s="184"/>
      <c r="Q160" s="184"/>
      <c r="R160" s="184"/>
      <c r="S160" s="184"/>
      <c r="T160" s="184"/>
      <c r="U160" s="184"/>
      <c r="V160" s="184"/>
      <c r="W160" s="184"/>
      <c r="X160" s="184"/>
      <c r="Y160" s="184"/>
      <c r="Z160" s="184"/>
      <c r="AA160" s="184"/>
    </row>
    <row r="161">
      <c r="A161" s="184"/>
      <c r="B161" s="184"/>
      <c r="C161" s="194"/>
      <c r="D161" s="194"/>
      <c r="E161" s="194"/>
      <c r="F161" s="194"/>
      <c r="G161" s="194"/>
      <c r="H161" s="184"/>
      <c r="I161" s="194"/>
      <c r="J161" s="194"/>
      <c r="K161" s="194"/>
      <c r="L161" s="184"/>
      <c r="M161" s="184"/>
      <c r="N161" s="184"/>
      <c r="O161" s="184"/>
      <c r="P161" s="184"/>
      <c r="Q161" s="184"/>
      <c r="R161" s="184"/>
      <c r="S161" s="184"/>
      <c r="T161" s="184"/>
      <c r="U161" s="184"/>
      <c r="V161" s="184"/>
      <c r="W161" s="184"/>
      <c r="X161" s="184"/>
      <c r="Y161" s="184"/>
      <c r="Z161" s="184"/>
      <c r="AA161" s="184"/>
    </row>
    <row r="162">
      <c r="A162" s="184"/>
      <c r="B162" s="184"/>
      <c r="C162" s="194"/>
      <c r="D162" s="194"/>
      <c r="E162" s="194"/>
      <c r="F162" s="194"/>
      <c r="G162" s="194"/>
      <c r="H162" s="184"/>
      <c r="I162" s="194"/>
      <c r="J162" s="194"/>
      <c r="K162" s="194"/>
      <c r="L162" s="184"/>
      <c r="M162" s="184"/>
      <c r="N162" s="184"/>
      <c r="O162" s="184"/>
      <c r="P162" s="184"/>
      <c r="Q162" s="184"/>
      <c r="R162" s="184"/>
      <c r="S162" s="184"/>
      <c r="T162" s="184"/>
      <c r="U162" s="184"/>
      <c r="V162" s="184"/>
      <c r="W162" s="184"/>
      <c r="X162" s="184"/>
      <c r="Y162" s="184"/>
      <c r="Z162" s="184"/>
      <c r="AA162" s="184"/>
    </row>
    <row r="163">
      <c r="A163" s="184"/>
      <c r="B163" s="184"/>
      <c r="C163" s="194"/>
      <c r="D163" s="194"/>
      <c r="E163" s="194"/>
      <c r="F163" s="194"/>
      <c r="G163" s="194"/>
      <c r="H163" s="184"/>
      <c r="I163" s="194"/>
      <c r="J163" s="194"/>
      <c r="K163" s="194"/>
      <c r="L163" s="184"/>
      <c r="M163" s="184"/>
      <c r="N163" s="184"/>
      <c r="O163" s="184"/>
      <c r="P163" s="184"/>
      <c r="Q163" s="184"/>
      <c r="R163" s="184"/>
      <c r="S163" s="184"/>
      <c r="T163" s="184"/>
      <c r="U163" s="184"/>
      <c r="V163" s="184"/>
      <c r="W163" s="184"/>
      <c r="X163" s="184"/>
      <c r="Y163" s="184"/>
      <c r="Z163" s="184"/>
      <c r="AA163" s="184"/>
    </row>
    <row r="164">
      <c r="A164" s="184"/>
      <c r="B164" s="184"/>
      <c r="C164" s="194"/>
      <c r="D164" s="194"/>
      <c r="E164" s="194"/>
      <c r="F164" s="194"/>
      <c r="G164" s="194"/>
      <c r="H164" s="184"/>
      <c r="I164" s="194"/>
      <c r="J164" s="194"/>
      <c r="K164" s="194"/>
      <c r="L164" s="184"/>
      <c r="M164" s="184"/>
      <c r="N164" s="184"/>
      <c r="O164" s="184"/>
      <c r="P164" s="184"/>
      <c r="Q164" s="184"/>
      <c r="R164" s="184"/>
      <c r="S164" s="184"/>
      <c r="T164" s="184"/>
      <c r="U164" s="184"/>
      <c r="V164" s="184"/>
      <c r="W164" s="184"/>
      <c r="X164" s="184"/>
      <c r="Y164" s="184"/>
      <c r="Z164" s="184"/>
      <c r="AA164" s="184"/>
    </row>
    <row r="165">
      <c r="A165" s="184"/>
      <c r="B165" s="184"/>
      <c r="C165" s="194"/>
      <c r="D165" s="194"/>
      <c r="E165" s="194"/>
      <c r="F165" s="194"/>
      <c r="G165" s="194"/>
      <c r="H165" s="184"/>
      <c r="I165" s="194"/>
      <c r="J165" s="194"/>
      <c r="K165" s="194"/>
      <c r="L165" s="184"/>
      <c r="M165" s="184"/>
      <c r="N165" s="184"/>
      <c r="O165" s="184"/>
      <c r="P165" s="184"/>
      <c r="Q165" s="184"/>
      <c r="R165" s="184"/>
      <c r="S165" s="184"/>
      <c r="T165" s="184"/>
      <c r="U165" s="184"/>
      <c r="V165" s="184"/>
      <c r="W165" s="184"/>
      <c r="X165" s="184"/>
      <c r="Y165" s="184"/>
      <c r="Z165" s="184"/>
      <c r="AA165" s="184"/>
    </row>
    <row r="166">
      <c r="A166" s="184"/>
      <c r="B166" s="184"/>
      <c r="C166" s="194"/>
      <c r="D166" s="194"/>
      <c r="E166" s="194"/>
      <c r="F166" s="194"/>
      <c r="G166" s="194"/>
      <c r="H166" s="184"/>
      <c r="I166" s="194"/>
      <c r="J166" s="194"/>
      <c r="K166" s="194"/>
      <c r="L166" s="184"/>
      <c r="M166" s="184"/>
      <c r="N166" s="184"/>
      <c r="O166" s="184"/>
      <c r="P166" s="184"/>
      <c r="Q166" s="184"/>
      <c r="R166" s="184"/>
      <c r="S166" s="184"/>
      <c r="T166" s="184"/>
      <c r="U166" s="184"/>
      <c r="V166" s="184"/>
      <c r="W166" s="184"/>
      <c r="X166" s="184"/>
      <c r="Y166" s="184"/>
      <c r="Z166" s="184"/>
      <c r="AA166" s="184"/>
    </row>
    <row r="167">
      <c r="A167" s="184"/>
      <c r="B167" s="184"/>
      <c r="C167" s="194"/>
      <c r="D167" s="194"/>
      <c r="E167" s="194"/>
      <c r="F167" s="194"/>
      <c r="G167" s="194"/>
      <c r="H167" s="184"/>
      <c r="I167" s="194"/>
      <c r="J167" s="194"/>
      <c r="K167" s="194"/>
      <c r="L167" s="184"/>
      <c r="M167" s="184"/>
      <c r="N167" s="184"/>
      <c r="O167" s="184"/>
      <c r="P167" s="184"/>
      <c r="Q167" s="184"/>
      <c r="R167" s="184"/>
      <c r="S167" s="184"/>
      <c r="T167" s="184"/>
      <c r="U167" s="184"/>
      <c r="V167" s="184"/>
      <c r="W167" s="184"/>
      <c r="X167" s="184"/>
      <c r="Y167" s="184"/>
      <c r="Z167" s="184"/>
      <c r="AA167" s="184"/>
    </row>
    <row r="168">
      <c r="A168" s="184"/>
      <c r="B168" s="184"/>
      <c r="C168" s="194"/>
      <c r="D168" s="194"/>
      <c r="E168" s="194"/>
      <c r="F168" s="194"/>
      <c r="G168" s="194"/>
      <c r="H168" s="184"/>
      <c r="I168" s="194"/>
      <c r="J168" s="194"/>
      <c r="K168" s="194"/>
      <c r="L168" s="184"/>
      <c r="M168" s="184"/>
      <c r="N168" s="184"/>
      <c r="O168" s="184"/>
      <c r="P168" s="184"/>
      <c r="Q168" s="184"/>
      <c r="R168" s="184"/>
      <c r="S168" s="184"/>
      <c r="T168" s="184"/>
      <c r="U168" s="184"/>
      <c r="V168" s="184"/>
      <c r="W168" s="184"/>
      <c r="X168" s="184"/>
      <c r="Y168" s="184"/>
      <c r="Z168" s="184"/>
      <c r="AA168" s="184"/>
    </row>
    <row r="169">
      <c r="A169" s="184"/>
      <c r="B169" s="184"/>
      <c r="C169" s="194"/>
      <c r="D169" s="194"/>
      <c r="E169" s="194"/>
      <c r="F169" s="194"/>
      <c r="G169" s="194"/>
      <c r="H169" s="184"/>
      <c r="I169" s="194"/>
      <c r="J169" s="194"/>
      <c r="K169" s="194"/>
      <c r="L169" s="184"/>
      <c r="M169" s="184"/>
      <c r="N169" s="184"/>
      <c r="O169" s="184"/>
      <c r="P169" s="184"/>
      <c r="Q169" s="184"/>
      <c r="R169" s="184"/>
      <c r="S169" s="184"/>
      <c r="T169" s="184"/>
      <c r="U169" s="184"/>
      <c r="V169" s="184"/>
      <c r="W169" s="184"/>
      <c r="X169" s="184"/>
      <c r="Y169" s="184"/>
      <c r="Z169" s="184"/>
      <c r="AA169" s="184"/>
    </row>
    <row r="170">
      <c r="A170" s="184"/>
      <c r="B170" s="184"/>
      <c r="C170" s="194"/>
      <c r="D170" s="194"/>
      <c r="E170" s="194"/>
      <c r="F170" s="194"/>
      <c r="G170" s="194"/>
      <c r="H170" s="184"/>
      <c r="I170" s="194"/>
      <c r="J170" s="194"/>
      <c r="K170" s="194"/>
      <c r="L170" s="184"/>
      <c r="M170" s="184"/>
      <c r="N170" s="184"/>
      <c r="O170" s="184"/>
      <c r="P170" s="184"/>
      <c r="Q170" s="184"/>
      <c r="R170" s="184"/>
      <c r="S170" s="184"/>
      <c r="T170" s="184"/>
      <c r="U170" s="184"/>
      <c r="V170" s="184"/>
      <c r="W170" s="184"/>
      <c r="X170" s="184"/>
      <c r="Y170" s="184"/>
      <c r="Z170" s="184"/>
      <c r="AA170" s="184"/>
    </row>
    <row r="171">
      <c r="A171" s="184"/>
      <c r="B171" s="184"/>
      <c r="C171" s="194"/>
      <c r="D171" s="194"/>
      <c r="E171" s="194"/>
      <c r="F171" s="194"/>
      <c r="G171" s="194"/>
      <c r="H171" s="184"/>
      <c r="I171" s="194"/>
      <c r="J171" s="194"/>
      <c r="K171" s="194"/>
      <c r="L171" s="184"/>
      <c r="M171" s="184"/>
      <c r="N171" s="184"/>
      <c r="O171" s="184"/>
      <c r="P171" s="184"/>
      <c r="Q171" s="184"/>
      <c r="R171" s="184"/>
      <c r="S171" s="184"/>
      <c r="T171" s="184"/>
      <c r="U171" s="184"/>
      <c r="V171" s="184"/>
      <c r="W171" s="184"/>
      <c r="X171" s="184"/>
      <c r="Y171" s="184"/>
      <c r="Z171" s="184"/>
      <c r="AA171" s="184"/>
    </row>
    <row r="172">
      <c r="A172" s="184"/>
      <c r="B172" s="184"/>
      <c r="C172" s="194"/>
      <c r="D172" s="194"/>
      <c r="E172" s="194"/>
      <c r="F172" s="194"/>
      <c r="G172" s="194"/>
      <c r="H172" s="184"/>
      <c r="I172" s="194"/>
      <c r="J172" s="194"/>
      <c r="K172" s="194"/>
      <c r="L172" s="184"/>
      <c r="M172" s="184"/>
      <c r="N172" s="184"/>
      <c r="O172" s="184"/>
      <c r="P172" s="184"/>
      <c r="Q172" s="184"/>
      <c r="R172" s="184"/>
      <c r="S172" s="184"/>
      <c r="T172" s="184"/>
      <c r="U172" s="184"/>
      <c r="V172" s="184"/>
      <c r="W172" s="184"/>
      <c r="X172" s="184"/>
      <c r="Y172" s="184"/>
      <c r="Z172" s="184"/>
      <c r="AA172" s="184"/>
    </row>
    <row r="173">
      <c r="A173" s="184"/>
      <c r="B173" s="184"/>
      <c r="C173" s="194"/>
      <c r="D173" s="194"/>
      <c r="E173" s="194"/>
      <c r="F173" s="194"/>
      <c r="G173" s="194"/>
      <c r="H173" s="184"/>
      <c r="I173" s="194"/>
      <c r="J173" s="194"/>
      <c r="K173" s="194"/>
      <c r="L173" s="184"/>
      <c r="M173" s="184"/>
      <c r="N173" s="184"/>
      <c r="O173" s="184"/>
      <c r="P173" s="184"/>
      <c r="Q173" s="184"/>
      <c r="R173" s="184"/>
      <c r="S173" s="184"/>
      <c r="T173" s="184"/>
      <c r="U173" s="184"/>
      <c r="V173" s="184"/>
      <c r="W173" s="184"/>
      <c r="X173" s="184"/>
      <c r="Y173" s="184"/>
      <c r="Z173" s="184"/>
      <c r="AA173" s="184"/>
    </row>
    <row r="174">
      <c r="A174" s="184"/>
      <c r="B174" s="184"/>
      <c r="C174" s="194"/>
      <c r="D174" s="194"/>
      <c r="E174" s="194"/>
      <c r="F174" s="194"/>
      <c r="G174" s="194"/>
      <c r="H174" s="184"/>
      <c r="I174" s="194"/>
      <c r="J174" s="194"/>
      <c r="K174" s="194"/>
      <c r="L174" s="184"/>
      <c r="M174" s="184"/>
      <c r="N174" s="184"/>
      <c r="O174" s="184"/>
      <c r="P174" s="184"/>
      <c r="Q174" s="184"/>
      <c r="R174" s="184"/>
      <c r="S174" s="184"/>
      <c r="T174" s="184"/>
      <c r="U174" s="184"/>
      <c r="V174" s="184"/>
      <c r="W174" s="184"/>
      <c r="X174" s="184"/>
      <c r="Y174" s="184"/>
      <c r="Z174" s="184"/>
      <c r="AA174" s="184"/>
    </row>
    <row r="175">
      <c r="A175" s="184"/>
      <c r="B175" s="184"/>
      <c r="C175" s="194"/>
      <c r="D175" s="194"/>
      <c r="E175" s="194"/>
      <c r="F175" s="194"/>
      <c r="G175" s="194"/>
      <c r="H175" s="184"/>
      <c r="I175" s="194"/>
      <c r="J175" s="194"/>
      <c r="K175" s="194"/>
      <c r="L175" s="184"/>
      <c r="M175" s="184"/>
      <c r="N175" s="184"/>
      <c r="O175" s="184"/>
      <c r="P175" s="184"/>
      <c r="Q175" s="184"/>
      <c r="R175" s="184"/>
      <c r="S175" s="184"/>
      <c r="T175" s="184"/>
      <c r="U175" s="184"/>
      <c r="V175" s="184"/>
      <c r="W175" s="184"/>
      <c r="X175" s="184"/>
      <c r="Y175" s="184"/>
      <c r="Z175" s="184"/>
      <c r="AA175" s="184"/>
    </row>
    <row r="176">
      <c r="A176" s="184"/>
      <c r="B176" s="184"/>
      <c r="C176" s="194"/>
      <c r="D176" s="194"/>
      <c r="E176" s="194"/>
      <c r="F176" s="194"/>
      <c r="G176" s="194"/>
      <c r="H176" s="184"/>
      <c r="I176" s="194"/>
      <c r="J176" s="194"/>
      <c r="K176" s="194"/>
      <c r="L176" s="184"/>
      <c r="M176" s="184"/>
      <c r="N176" s="184"/>
      <c r="O176" s="184"/>
      <c r="P176" s="184"/>
      <c r="Q176" s="184"/>
      <c r="R176" s="184"/>
      <c r="S176" s="184"/>
      <c r="T176" s="184"/>
      <c r="U176" s="184"/>
      <c r="V176" s="184"/>
      <c r="W176" s="184"/>
      <c r="X176" s="184"/>
      <c r="Y176" s="184"/>
      <c r="Z176" s="184"/>
      <c r="AA176" s="184"/>
    </row>
    <row r="177">
      <c r="A177" s="184"/>
      <c r="B177" s="184"/>
      <c r="C177" s="194"/>
      <c r="D177" s="194"/>
      <c r="E177" s="194"/>
      <c r="F177" s="194"/>
      <c r="G177" s="194"/>
      <c r="H177" s="184"/>
      <c r="I177" s="194"/>
      <c r="J177" s="194"/>
      <c r="K177" s="194"/>
      <c r="L177" s="184"/>
      <c r="M177" s="184"/>
      <c r="N177" s="184"/>
      <c r="O177" s="184"/>
      <c r="P177" s="184"/>
      <c r="Q177" s="184"/>
      <c r="R177" s="184"/>
      <c r="S177" s="184"/>
      <c r="T177" s="184"/>
      <c r="U177" s="184"/>
      <c r="V177" s="184"/>
      <c r="W177" s="184"/>
      <c r="X177" s="184"/>
      <c r="Y177" s="184"/>
      <c r="Z177" s="184"/>
      <c r="AA177" s="184"/>
    </row>
    <row r="178">
      <c r="A178" s="184"/>
      <c r="B178" s="184"/>
      <c r="C178" s="194"/>
      <c r="D178" s="194"/>
      <c r="E178" s="194"/>
      <c r="F178" s="194"/>
      <c r="G178" s="194"/>
      <c r="H178" s="184"/>
      <c r="I178" s="194"/>
      <c r="J178" s="194"/>
      <c r="K178" s="194"/>
      <c r="L178" s="184"/>
      <c r="M178" s="184"/>
      <c r="N178" s="184"/>
      <c r="O178" s="184"/>
      <c r="P178" s="184"/>
      <c r="Q178" s="184"/>
      <c r="R178" s="184"/>
      <c r="S178" s="184"/>
      <c r="T178" s="184"/>
      <c r="U178" s="184"/>
      <c r="V178" s="184"/>
      <c r="W178" s="184"/>
      <c r="X178" s="184"/>
      <c r="Y178" s="184"/>
      <c r="Z178" s="184"/>
      <c r="AA178" s="184"/>
    </row>
    <row r="179">
      <c r="A179" s="184"/>
      <c r="B179" s="184"/>
      <c r="C179" s="194"/>
      <c r="D179" s="194"/>
      <c r="E179" s="194"/>
      <c r="F179" s="194"/>
      <c r="G179" s="194"/>
      <c r="H179" s="184"/>
      <c r="I179" s="194"/>
      <c r="J179" s="194"/>
      <c r="K179" s="194"/>
      <c r="L179" s="184"/>
      <c r="M179" s="184"/>
      <c r="N179" s="184"/>
      <c r="O179" s="184"/>
      <c r="P179" s="184"/>
      <c r="Q179" s="184"/>
      <c r="R179" s="184"/>
      <c r="S179" s="184"/>
      <c r="T179" s="184"/>
      <c r="U179" s="184"/>
      <c r="V179" s="184"/>
      <c r="W179" s="184"/>
      <c r="X179" s="184"/>
      <c r="Y179" s="184"/>
      <c r="Z179" s="184"/>
      <c r="AA179" s="184"/>
    </row>
    <row r="180">
      <c r="A180" s="184"/>
      <c r="B180" s="184"/>
      <c r="C180" s="194"/>
      <c r="D180" s="194"/>
      <c r="E180" s="194"/>
      <c r="F180" s="194"/>
      <c r="G180" s="194"/>
      <c r="H180" s="184"/>
      <c r="I180" s="194"/>
      <c r="J180" s="194"/>
      <c r="K180" s="194"/>
      <c r="L180" s="184"/>
      <c r="M180" s="184"/>
      <c r="N180" s="184"/>
      <c r="O180" s="184"/>
      <c r="P180" s="184"/>
      <c r="Q180" s="184"/>
      <c r="R180" s="184"/>
      <c r="S180" s="184"/>
      <c r="T180" s="184"/>
      <c r="U180" s="184"/>
      <c r="V180" s="184"/>
      <c r="W180" s="184"/>
      <c r="X180" s="184"/>
      <c r="Y180" s="184"/>
      <c r="Z180" s="184"/>
      <c r="AA180" s="184"/>
    </row>
    <row r="181">
      <c r="A181" s="184"/>
      <c r="B181" s="184"/>
      <c r="C181" s="194"/>
      <c r="D181" s="194"/>
      <c r="E181" s="194"/>
      <c r="F181" s="194"/>
      <c r="G181" s="194"/>
      <c r="H181" s="184"/>
      <c r="I181" s="194"/>
      <c r="J181" s="194"/>
      <c r="K181" s="194"/>
      <c r="L181" s="184"/>
      <c r="M181" s="184"/>
      <c r="N181" s="184"/>
      <c r="O181" s="184"/>
      <c r="P181" s="184"/>
      <c r="Q181" s="184"/>
      <c r="R181" s="184"/>
      <c r="S181" s="184"/>
      <c r="T181" s="184"/>
      <c r="U181" s="184"/>
      <c r="V181" s="184"/>
      <c r="W181" s="184"/>
      <c r="X181" s="184"/>
      <c r="Y181" s="184"/>
      <c r="Z181" s="184"/>
      <c r="AA181" s="184"/>
    </row>
    <row r="182">
      <c r="A182" s="184"/>
      <c r="B182" s="184"/>
      <c r="C182" s="194"/>
      <c r="D182" s="194"/>
      <c r="E182" s="194"/>
      <c r="F182" s="194"/>
      <c r="G182" s="194"/>
      <c r="H182" s="184"/>
      <c r="I182" s="194"/>
      <c r="J182" s="194"/>
      <c r="K182" s="194"/>
      <c r="L182" s="184"/>
      <c r="M182" s="184"/>
      <c r="N182" s="184"/>
      <c r="O182" s="184"/>
      <c r="P182" s="184"/>
      <c r="Q182" s="184"/>
      <c r="R182" s="184"/>
      <c r="S182" s="184"/>
      <c r="T182" s="184"/>
      <c r="U182" s="184"/>
      <c r="V182" s="184"/>
      <c r="W182" s="184"/>
      <c r="X182" s="184"/>
      <c r="Y182" s="184"/>
      <c r="Z182" s="184"/>
      <c r="AA182" s="184"/>
    </row>
    <row r="183">
      <c r="A183" s="184"/>
      <c r="B183" s="184"/>
      <c r="C183" s="194"/>
      <c r="D183" s="194"/>
      <c r="E183" s="194"/>
      <c r="F183" s="194"/>
      <c r="G183" s="194"/>
      <c r="H183" s="184"/>
      <c r="I183" s="194"/>
      <c r="J183" s="194"/>
      <c r="K183" s="194"/>
      <c r="L183" s="184"/>
      <c r="M183" s="184"/>
      <c r="N183" s="184"/>
      <c r="O183" s="184"/>
      <c r="P183" s="184"/>
      <c r="Q183" s="184"/>
      <c r="R183" s="184"/>
      <c r="S183" s="184"/>
      <c r="T183" s="184"/>
      <c r="U183" s="184"/>
      <c r="V183" s="184"/>
      <c r="W183" s="184"/>
      <c r="X183" s="184"/>
      <c r="Y183" s="184"/>
      <c r="Z183" s="184"/>
      <c r="AA183" s="184"/>
    </row>
    <row r="184">
      <c r="A184" s="184"/>
      <c r="B184" s="184"/>
      <c r="C184" s="194"/>
      <c r="D184" s="194"/>
      <c r="E184" s="194"/>
      <c r="F184" s="194"/>
      <c r="G184" s="194"/>
      <c r="H184" s="184"/>
      <c r="I184" s="194"/>
      <c r="J184" s="194"/>
      <c r="K184" s="194"/>
      <c r="L184" s="184"/>
      <c r="M184" s="184"/>
      <c r="N184" s="184"/>
      <c r="O184" s="184"/>
      <c r="P184" s="184"/>
      <c r="Q184" s="184"/>
      <c r="R184" s="184"/>
      <c r="S184" s="184"/>
      <c r="T184" s="184"/>
      <c r="U184" s="184"/>
      <c r="V184" s="184"/>
      <c r="W184" s="184"/>
      <c r="X184" s="184"/>
      <c r="Y184" s="184"/>
      <c r="Z184" s="184"/>
      <c r="AA184" s="184"/>
    </row>
    <row r="185">
      <c r="A185" s="184"/>
      <c r="B185" s="184"/>
      <c r="C185" s="194"/>
      <c r="D185" s="194"/>
      <c r="E185" s="194"/>
      <c r="F185" s="194"/>
      <c r="G185" s="194"/>
      <c r="H185" s="184"/>
      <c r="I185" s="194"/>
      <c r="J185" s="194"/>
      <c r="K185" s="194"/>
      <c r="L185" s="184"/>
      <c r="M185" s="184"/>
      <c r="N185" s="184"/>
      <c r="O185" s="184"/>
      <c r="P185" s="184"/>
      <c r="Q185" s="184"/>
      <c r="R185" s="184"/>
      <c r="S185" s="184"/>
      <c r="T185" s="184"/>
      <c r="U185" s="184"/>
      <c r="V185" s="184"/>
      <c r="W185" s="184"/>
      <c r="X185" s="184"/>
      <c r="Y185" s="184"/>
      <c r="Z185" s="184"/>
      <c r="AA185" s="184"/>
    </row>
    <row r="186">
      <c r="A186" s="184"/>
      <c r="B186" s="184"/>
      <c r="C186" s="194"/>
      <c r="D186" s="194"/>
      <c r="E186" s="194"/>
      <c r="F186" s="194"/>
      <c r="G186" s="194"/>
      <c r="H186" s="184"/>
      <c r="I186" s="194"/>
      <c r="J186" s="194"/>
      <c r="K186" s="194"/>
      <c r="L186" s="184"/>
      <c r="M186" s="184"/>
      <c r="N186" s="184"/>
      <c r="O186" s="184"/>
      <c r="P186" s="184"/>
      <c r="Q186" s="184"/>
      <c r="R186" s="184"/>
      <c r="S186" s="184"/>
      <c r="T186" s="184"/>
      <c r="U186" s="184"/>
      <c r="V186" s="184"/>
      <c r="W186" s="184"/>
      <c r="X186" s="184"/>
      <c r="Y186" s="184"/>
      <c r="Z186" s="184"/>
      <c r="AA186" s="184"/>
    </row>
    <row r="187">
      <c r="A187" s="184"/>
      <c r="B187" s="184"/>
      <c r="C187" s="194"/>
      <c r="D187" s="194"/>
      <c r="E187" s="194"/>
      <c r="F187" s="194"/>
      <c r="G187" s="194"/>
      <c r="H187" s="184"/>
      <c r="I187" s="194"/>
      <c r="J187" s="194"/>
      <c r="K187" s="194"/>
      <c r="L187" s="184"/>
      <c r="M187" s="184"/>
      <c r="N187" s="184"/>
      <c r="O187" s="184"/>
      <c r="P187" s="184"/>
      <c r="Q187" s="184"/>
      <c r="R187" s="184"/>
      <c r="S187" s="184"/>
      <c r="T187" s="184"/>
      <c r="U187" s="184"/>
      <c r="V187" s="184"/>
      <c r="W187" s="184"/>
      <c r="X187" s="184"/>
      <c r="Y187" s="184"/>
      <c r="Z187" s="184"/>
      <c r="AA187" s="184"/>
    </row>
    <row r="188">
      <c r="A188" s="184"/>
      <c r="B188" s="184"/>
      <c r="C188" s="194"/>
      <c r="D188" s="194"/>
      <c r="E188" s="194"/>
      <c r="F188" s="194"/>
      <c r="G188" s="194"/>
      <c r="H188" s="184"/>
      <c r="I188" s="194"/>
      <c r="J188" s="194"/>
      <c r="K188" s="194"/>
      <c r="L188" s="184"/>
      <c r="M188" s="184"/>
      <c r="N188" s="184"/>
      <c r="O188" s="184"/>
      <c r="P188" s="184"/>
      <c r="Q188" s="184"/>
      <c r="R188" s="184"/>
      <c r="S188" s="184"/>
      <c r="T188" s="184"/>
      <c r="U188" s="184"/>
      <c r="V188" s="184"/>
      <c r="W188" s="184"/>
      <c r="X188" s="184"/>
      <c r="Y188" s="184"/>
      <c r="Z188" s="184"/>
      <c r="AA188" s="184"/>
    </row>
    <row r="189">
      <c r="A189" s="184"/>
      <c r="B189" s="184"/>
      <c r="C189" s="194"/>
      <c r="D189" s="194"/>
      <c r="E189" s="194"/>
      <c r="F189" s="194"/>
      <c r="G189" s="194"/>
      <c r="H189" s="184"/>
      <c r="I189" s="194"/>
      <c r="J189" s="194"/>
      <c r="K189" s="194"/>
      <c r="L189" s="184"/>
      <c r="M189" s="184"/>
      <c r="N189" s="184"/>
      <c r="O189" s="184"/>
      <c r="P189" s="184"/>
      <c r="Q189" s="184"/>
      <c r="R189" s="184"/>
      <c r="S189" s="184"/>
      <c r="T189" s="184"/>
      <c r="U189" s="184"/>
      <c r="V189" s="184"/>
      <c r="W189" s="184"/>
      <c r="X189" s="184"/>
      <c r="Y189" s="184"/>
      <c r="Z189" s="184"/>
      <c r="AA189" s="184"/>
    </row>
    <row r="190">
      <c r="A190" s="184"/>
      <c r="B190" s="184"/>
      <c r="C190" s="194"/>
      <c r="D190" s="194"/>
      <c r="E190" s="194"/>
      <c r="F190" s="194"/>
      <c r="G190" s="194"/>
      <c r="H190" s="184"/>
      <c r="I190" s="194"/>
      <c r="J190" s="194"/>
      <c r="K190" s="194"/>
      <c r="L190" s="184"/>
      <c r="M190" s="184"/>
      <c r="N190" s="184"/>
      <c r="O190" s="184"/>
      <c r="P190" s="184"/>
      <c r="Q190" s="184"/>
      <c r="R190" s="184"/>
      <c r="S190" s="184"/>
      <c r="T190" s="184"/>
      <c r="U190" s="184"/>
      <c r="V190" s="184"/>
      <c r="W190" s="184"/>
      <c r="X190" s="184"/>
      <c r="Y190" s="184"/>
      <c r="Z190" s="184"/>
      <c r="AA190" s="184"/>
    </row>
    <row r="191">
      <c r="A191" s="184"/>
      <c r="B191" s="184"/>
      <c r="C191" s="194"/>
      <c r="D191" s="194"/>
      <c r="E191" s="194"/>
      <c r="F191" s="194"/>
      <c r="G191" s="194"/>
      <c r="H191" s="184"/>
      <c r="I191" s="194"/>
      <c r="J191" s="194"/>
      <c r="K191" s="194"/>
      <c r="L191" s="184"/>
      <c r="M191" s="184"/>
      <c r="N191" s="184"/>
      <c r="O191" s="184"/>
      <c r="P191" s="184"/>
      <c r="Q191" s="184"/>
      <c r="R191" s="184"/>
      <c r="S191" s="184"/>
      <c r="T191" s="184"/>
      <c r="U191" s="184"/>
      <c r="V191" s="184"/>
      <c r="W191" s="184"/>
      <c r="X191" s="184"/>
      <c r="Y191" s="184"/>
      <c r="Z191" s="184"/>
      <c r="AA191" s="184"/>
    </row>
    <row r="192">
      <c r="A192" s="184"/>
      <c r="B192" s="184"/>
      <c r="C192" s="194"/>
      <c r="D192" s="194"/>
      <c r="E192" s="194"/>
      <c r="F192" s="194"/>
      <c r="G192" s="194"/>
      <c r="H192" s="184"/>
      <c r="I192" s="194"/>
      <c r="J192" s="194"/>
      <c r="K192" s="194"/>
      <c r="L192" s="184"/>
      <c r="M192" s="184"/>
      <c r="N192" s="184"/>
      <c r="O192" s="184"/>
      <c r="P192" s="184"/>
      <c r="Q192" s="184"/>
      <c r="R192" s="184"/>
      <c r="S192" s="184"/>
      <c r="T192" s="184"/>
      <c r="U192" s="184"/>
      <c r="V192" s="184"/>
      <c r="W192" s="184"/>
      <c r="X192" s="184"/>
      <c r="Y192" s="184"/>
      <c r="Z192" s="184"/>
      <c r="AA192" s="184"/>
    </row>
    <row r="193">
      <c r="A193" s="184"/>
      <c r="B193" s="184"/>
      <c r="C193" s="194"/>
      <c r="D193" s="194"/>
      <c r="E193" s="194"/>
      <c r="F193" s="194"/>
      <c r="G193" s="194"/>
      <c r="H193" s="184"/>
      <c r="I193" s="194"/>
      <c r="J193" s="194"/>
      <c r="K193" s="194"/>
      <c r="L193" s="184"/>
      <c r="M193" s="184"/>
      <c r="N193" s="184"/>
      <c r="O193" s="184"/>
      <c r="P193" s="184"/>
      <c r="Q193" s="184"/>
      <c r="R193" s="184"/>
      <c r="S193" s="184"/>
      <c r="T193" s="184"/>
      <c r="U193" s="184"/>
      <c r="V193" s="184"/>
      <c r="W193" s="184"/>
      <c r="X193" s="184"/>
      <c r="Y193" s="184"/>
      <c r="Z193" s="184"/>
      <c r="AA193" s="184"/>
    </row>
    <row r="194">
      <c r="A194" s="184"/>
      <c r="B194" s="184"/>
      <c r="C194" s="194"/>
      <c r="D194" s="194"/>
      <c r="E194" s="194"/>
      <c r="F194" s="194"/>
      <c r="G194" s="194"/>
      <c r="H194" s="184"/>
      <c r="I194" s="194"/>
      <c r="J194" s="194"/>
      <c r="K194" s="194"/>
      <c r="L194" s="184"/>
      <c r="M194" s="184"/>
      <c r="N194" s="184"/>
      <c r="O194" s="184"/>
      <c r="P194" s="184"/>
      <c r="Q194" s="184"/>
      <c r="R194" s="184"/>
      <c r="S194" s="184"/>
      <c r="T194" s="184"/>
      <c r="U194" s="184"/>
      <c r="V194" s="184"/>
      <c r="W194" s="184"/>
      <c r="X194" s="184"/>
      <c r="Y194" s="184"/>
      <c r="Z194" s="184"/>
      <c r="AA194" s="184"/>
    </row>
    <row r="195">
      <c r="A195" s="184"/>
      <c r="B195" s="184"/>
      <c r="C195" s="194"/>
      <c r="D195" s="194"/>
      <c r="E195" s="194"/>
      <c r="F195" s="194"/>
      <c r="G195" s="194"/>
      <c r="H195" s="184"/>
      <c r="I195" s="194"/>
      <c r="J195" s="194"/>
      <c r="K195" s="194"/>
      <c r="L195" s="184"/>
      <c r="M195" s="184"/>
      <c r="N195" s="184"/>
      <c r="O195" s="184"/>
      <c r="P195" s="184"/>
      <c r="Q195" s="184"/>
      <c r="R195" s="184"/>
      <c r="S195" s="184"/>
      <c r="T195" s="184"/>
      <c r="U195" s="184"/>
      <c r="V195" s="184"/>
      <c r="W195" s="184"/>
      <c r="X195" s="184"/>
      <c r="Y195" s="184"/>
      <c r="Z195" s="184"/>
      <c r="AA195" s="184"/>
    </row>
    <row r="196">
      <c r="A196" s="184"/>
      <c r="B196" s="184"/>
      <c r="C196" s="194"/>
      <c r="D196" s="194"/>
      <c r="E196" s="194"/>
      <c r="F196" s="194"/>
      <c r="G196" s="194"/>
      <c r="H196" s="184"/>
      <c r="I196" s="194"/>
      <c r="J196" s="194"/>
      <c r="K196" s="194"/>
      <c r="L196" s="184"/>
      <c r="M196" s="184"/>
      <c r="N196" s="184"/>
      <c r="O196" s="184"/>
      <c r="P196" s="184"/>
      <c r="Q196" s="184"/>
      <c r="R196" s="184"/>
      <c r="S196" s="184"/>
      <c r="T196" s="184"/>
      <c r="U196" s="184"/>
      <c r="V196" s="184"/>
      <c r="W196" s="184"/>
      <c r="X196" s="184"/>
      <c r="Y196" s="184"/>
      <c r="Z196" s="184"/>
      <c r="AA196" s="184"/>
    </row>
    <row r="197">
      <c r="A197" s="184"/>
      <c r="B197" s="184"/>
      <c r="C197" s="194"/>
      <c r="D197" s="194"/>
      <c r="E197" s="194"/>
      <c r="F197" s="194"/>
      <c r="G197" s="194"/>
      <c r="H197" s="184"/>
      <c r="I197" s="194"/>
      <c r="J197" s="194"/>
      <c r="K197" s="194"/>
      <c r="L197" s="184"/>
      <c r="M197" s="184"/>
      <c r="N197" s="184"/>
      <c r="O197" s="184"/>
      <c r="P197" s="184"/>
      <c r="Q197" s="184"/>
      <c r="R197" s="184"/>
      <c r="S197" s="184"/>
      <c r="T197" s="184"/>
      <c r="U197" s="184"/>
      <c r="V197" s="184"/>
      <c r="W197" s="184"/>
      <c r="X197" s="184"/>
      <c r="Y197" s="184"/>
      <c r="Z197" s="184"/>
      <c r="AA197" s="184"/>
    </row>
    <row r="198">
      <c r="A198" s="184"/>
      <c r="B198" s="184"/>
      <c r="C198" s="194"/>
      <c r="D198" s="194"/>
      <c r="E198" s="194"/>
      <c r="F198" s="194"/>
      <c r="G198" s="194"/>
      <c r="H198" s="184"/>
      <c r="I198" s="194"/>
      <c r="J198" s="194"/>
      <c r="K198" s="194"/>
      <c r="L198" s="184"/>
      <c r="M198" s="184"/>
      <c r="N198" s="184"/>
      <c r="O198" s="184"/>
      <c r="P198" s="184"/>
      <c r="Q198" s="184"/>
      <c r="R198" s="184"/>
      <c r="S198" s="184"/>
      <c r="T198" s="184"/>
      <c r="U198" s="184"/>
      <c r="V198" s="184"/>
      <c r="W198" s="184"/>
      <c r="X198" s="184"/>
      <c r="Y198" s="184"/>
      <c r="Z198" s="184"/>
      <c r="AA198" s="184"/>
    </row>
    <row r="199">
      <c r="A199" s="184"/>
      <c r="B199" s="184"/>
      <c r="C199" s="194"/>
      <c r="D199" s="194"/>
      <c r="E199" s="194"/>
      <c r="F199" s="194"/>
      <c r="G199" s="194"/>
      <c r="H199" s="184"/>
      <c r="I199" s="194"/>
      <c r="J199" s="194"/>
      <c r="K199" s="194"/>
      <c r="L199" s="184"/>
      <c r="M199" s="184"/>
      <c r="N199" s="184"/>
      <c r="O199" s="184"/>
      <c r="P199" s="184"/>
      <c r="Q199" s="184"/>
      <c r="R199" s="184"/>
      <c r="S199" s="184"/>
      <c r="T199" s="184"/>
      <c r="U199" s="184"/>
      <c r="V199" s="184"/>
      <c r="W199" s="184"/>
      <c r="X199" s="184"/>
      <c r="Y199" s="184"/>
      <c r="Z199" s="184"/>
      <c r="AA199" s="184"/>
    </row>
    <row r="200">
      <c r="A200" s="184"/>
      <c r="B200" s="184"/>
      <c r="C200" s="194"/>
      <c r="D200" s="194"/>
      <c r="E200" s="194"/>
      <c r="F200" s="194"/>
      <c r="G200" s="194"/>
      <c r="H200" s="184"/>
      <c r="I200" s="194"/>
      <c r="J200" s="194"/>
      <c r="K200" s="194"/>
      <c r="L200" s="184"/>
      <c r="M200" s="184"/>
      <c r="N200" s="184"/>
      <c r="O200" s="184"/>
      <c r="P200" s="184"/>
      <c r="Q200" s="184"/>
      <c r="R200" s="184"/>
      <c r="S200" s="184"/>
      <c r="T200" s="184"/>
      <c r="U200" s="184"/>
      <c r="V200" s="184"/>
      <c r="W200" s="184"/>
      <c r="X200" s="184"/>
      <c r="Y200" s="184"/>
      <c r="Z200" s="184"/>
      <c r="AA200" s="184"/>
    </row>
    <row r="201">
      <c r="A201" s="184"/>
      <c r="B201" s="184"/>
      <c r="C201" s="194"/>
      <c r="D201" s="194"/>
      <c r="E201" s="194"/>
      <c r="F201" s="194"/>
      <c r="G201" s="194"/>
      <c r="H201" s="184"/>
      <c r="I201" s="194"/>
      <c r="J201" s="194"/>
      <c r="K201" s="194"/>
      <c r="L201" s="184"/>
      <c r="M201" s="184"/>
      <c r="N201" s="184"/>
      <c r="O201" s="184"/>
      <c r="P201" s="184"/>
      <c r="Q201" s="184"/>
      <c r="R201" s="184"/>
      <c r="S201" s="184"/>
      <c r="T201" s="184"/>
      <c r="U201" s="184"/>
      <c r="V201" s="184"/>
      <c r="W201" s="184"/>
      <c r="X201" s="184"/>
      <c r="Y201" s="184"/>
      <c r="Z201" s="184"/>
      <c r="AA201" s="184"/>
    </row>
    <row r="202">
      <c r="A202" s="184"/>
      <c r="B202" s="184"/>
      <c r="C202" s="194"/>
      <c r="D202" s="194"/>
      <c r="E202" s="194"/>
      <c r="F202" s="194"/>
      <c r="G202" s="194"/>
      <c r="H202" s="184"/>
      <c r="I202" s="194"/>
      <c r="J202" s="194"/>
      <c r="K202" s="194"/>
      <c r="L202" s="184"/>
      <c r="M202" s="184"/>
      <c r="N202" s="184"/>
      <c r="O202" s="184"/>
      <c r="P202" s="184"/>
      <c r="Q202" s="184"/>
      <c r="R202" s="184"/>
      <c r="S202" s="184"/>
      <c r="T202" s="184"/>
      <c r="U202" s="184"/>
      <c r="V202" s="184"/>
      <c r="W202" s="184"/>
      <c r="X202" s="184"/>
      <c r="Y202" s="184"/>
      <c r="Z202" s="184"/>
      <c r="AA202" s="184"/>
    </row>
    <row r="203">
      <c r="A203" s="184"/>
      <c r="B203" s="184"/>
      <c r="C203" s="194"/>
      <c r="D203" s="194"/>
      <c r="E203" s="194"/>
      <c r="F203" s="194"/>
      <c r="G203" s="194"/>
      <c r="H203" s="184"/>
      <c r="I203" s="194"/>
      <c r="J203" s="194"/>
      <c r="K203" s="194"/>
      <c r="L203" s="184"/>
      <c r="M203" s="184"/>
      <c r="N203" s="184"/>
      <c r="O203" s="184"/>
      <c r="P203" s="184"/>
      <c r="Q203" s="184"/>
      <c r="R203" s="184"/>
      <c r="S203" s="184"/>
      <c r="T203" s="184"/>
      <c r="U203" s="184"/>
      <c r="V203" s="184"/>
      <c r="W203" s="184"/>
      <c r="X203" s="184"/>
      <c r="Y203" s="184"/>
      <c r="Z203" s="184"/>
      <c r="AA203" s="184"/>
    </row>
    <row r="204">
      <c r="A204" s="184"/>
      <c r="B204" s="184"/>
      <c r="C204" s="194"/>
      <c r="D204" s="194"/>
      <c r="E204" s="194"/>
      <c r="F204" s="194"/>
      <c r="G204" s="194"/>
      <c r="H204" s="184"/>
      <c r="I204" s="194"/>
      <c r="J204" s="194"/>
      <c r="K204" s="194"/>
      <c r="L204" s="184"/>
      <c r="M204" s="184"/>
      <c r="N204" s="184"/>
      <c r="O204" s="184"/>
      <c r="P204" s="184"/>
      <c r="Q204" s="184"/>
      <c r="R204" s="184"/>
      <c r="S204" s="184"/>
      <c r="T204" s="184"/>
      <c r="U204" s="184"/>
      <c r="V204" s="184"/>
      <c r="W204" s="184"/>
      <c r="X204" s="184"/>
      <c r="Y204" s="184"/>
      <c r="Z204" s="184"/>
      <c r="AA204" s="184"/>
    </row>
    <row r="205">
      <c r="A205" s="184"/>
      <c r="B205" s="184"/>
      <c r="C205" s="194"/>
      <c r="D205" s="194"/>
      <c r="E205" s="194"/>
      <c r="F205" s="194"/>
      <c r="G205" s="194"/>
      <c r="H205" s="184"/>
      <c r="I205" s="194"/>
      <c r="J205" s="194"/>
      <c r="K205" s="194"/>
      <c r="L205" s="184"/>
      <c r="M205" s="184"/>
      <c r="N205" s="184"/>
      <c r="O205" s="184"/>
      <c r="P205" s="184"/>
      <c r="Q205" s="184"/>
      <c r="R205" s="184"/>
      <c r="S205" s="184"/>
      <c r="T205" s="184"/>
      <c r="U205" s="184"/>
      <c r="V205" s="184"/>
      <c r="W205" s="184"/>
      <c r="X205" s="184"/>
      <c r="Y205" s="184"/>
      <c r="Z205" s="184"/>
      <c r="AA205" s="184"/>
    </row>
    <row r="206">
      <c r="A206" s="184"/>
      <c r="B206" s="184"/>
      <c r="C206" s="194"/>
      <c r="D206" s="194"/>
      <c r="E206" s="194"/>
      <c r="F206" s="194"/>
      <c r="G206" s="194"/>
      <c r="H206" s="184"/>
      <c r="I206" s="194"/>
      <c r="J206" s="194"/>
      <c r="K206" s="194"/>
      <c r="L206" s="184"/>
      <c r="M206" s="184"/>
      <c r="N206" s="184"/>
      <c r="O206" s="184"/>
      <c r="P206" s="184"/>
      <c r="Q206" s="184"/>
      <c r="R206" s="184"/>
      <c r="S206" s="184"/>
      <c r="T206" s="184"/>
      <c r="U206" s="184"/>
      <c r="V206" s="184"/>
      <c r="W206" s="184"/>
      <c r="X206" s="184"/>
      <c r="Y206" s="184"/>
      <c r="Z206" s="184"/>
      <c r="AA206" s="184"/>
    </row>
    <row r="207">
      <c r="A207" s="184"/>
      <c r="B207" s="184"/>
      <c r="C207" s="194"/>
      <c r="D207" s="194"/>
      <c r="E207" s="194"/>
      <c r="F207" s="194"/>
      <c r="G207" s="194"/>
      <c r="H207" s="184"/>
      <c r="I207" s="194"/>
      <c r="J207" s="194"/>
      <c r="K207" s="194"/>
      <c r="L207" s="184"/>
      <c r="M207" s="184"/>
      <c r="N207" s="184"/>
      <c r="O207" s="184"/>
      <c r="P207" s="184"/>
      <c r="Q207" s="184"/>
      <c r="R207" s="184"/>
      <c r="S207" s="184"/>
      <c r="T207" s="184"/>
      <c r="U207" s="184"/>
      <c r="V207" s="184"/>
      <c r="W207" s="184"/>
      <c r="X207" s="184"/>
      <c r="Y207" s="184"/>
      <c r="Z207" s="184"/>
      <c r="AA207" s="184"/>
    </row>
    <row r="208">
      <c r="A208" s="184"/>
      <c r="B208" s="184"/>
      <c r="C208" s="194"/>
      <c r="D208" s="194"/>
      <c r="E208" s="194"/>
      <c r="F208" s="194"/>
      <c r="G208" s="194"/>
      <c r="H208" s="184"/>
      <c r="I208" s="194"/>
      <c r="J208" s="194"/>
      <c r="K208" s="194"/>
      <c r="L208" s="184"/>
      <c r="M208" s="184"/>
      <c r="N208" s="184"/>
      <c r="O208" s="184"/>
      <c r="P208" s="184"/>
      <c r="Q208" s="184"/>
      <c r="R208" s="184"/>
      <c r="S208" s="184"/>
      <c r="T208" s="184"/>
      <c r="U208" s="184"/>
      <c r="V208" s="184"/>
      <c r="W208" s="184"/>
      <c r="X208" s="184"/>
      <c r="Y208" s="184"/>
      <c r="Z208" s="184"/>
      <c r="AA208" s="184"/>
    </row>
    <row r="209">
      <c r="A209" s="184"/>
      <c r="B209" s="184"/>
      <c r="C209" s="194"/>
      <c r="D209" s="194"/>
      <c r="E209" s="194"/>
      <c r="F209" s="194"/>
      <c r="G209" s="194"/>
      <c r="H209" s="184"/>
      <c r="I209" s="194"/>
      <c r="J209" s="194"/>
      <c r="K209" s="194"/>
      <c r="L209" s="184"/>
      <c r="M209" s="184"/>
      <c r="N209" s="184"/>
      <c r="O209" s="184"/>
      <c r="P209" s="184"/>
      <c r="Q209" s="184"/>
      <c r="R209" s="184"/>
      <c r="S209" s="184"/>
      <c r="T209" s="184"/>
      <c r="U209" s="184"/>
      <c r="V209" s="184"/>
      <c r="W209" s="184"/>
      <c r="X209" s="184"/>
      <c r="Y209" s="184"/>
      <c r="Z209" s="184"/>
      <c r="AA209" s="184"/>
    </row>
    <row r="210">
      <c r="A210" s="184"/>
      <c r="B210" s="184"/>
      <c r="C210" s="194"/>
      <c r="D210" s="194"/>
      <c r="E210" s="194"/>
      <c r="F210" s="194"/>
      <c r="G210" s="194"/>
      <c r="H210" s="184"/>
      <c r="I210" s="194"/>
      <c r="J210" s="194"/>
      <c r="K210" s="194"/>
      <c r="L210" s="184"/>
      <c r="M210" s="184"/>
      <c r="N210" s="184"/>
      <c r="O210" s="184"/>
      <c r="P210" s="184"/>
      <c r="Q210" s="184"/>
      <c r="R210" s="184"/>
      <c r="S210" s="184"/>
      <c r="T210" s="184"/>
      <c r="U210" s="184"/>
      <c r="V210" s="184"/>
      <c r="W210" s="184"/>
      <c r="X210" s="184"/>
      <c r="Y210" s="184"/>
      <c r="Z210" s="184"/>
      <c r="AA210" s="184"/>
    </row>
    <row r="211">
      <c r="A211" s="184"/>
      <c r="B211" s="184"/>
      <c r="C211" s="194"/>
      <c r="D211" s="194"/>
      <c r="E211" s="194"/>
      <c r="F211" s="194"/>
      <c r="G211" s="194"/>
      <c r="H211" s="184"/>
      <c r="I211" s="194"/>
      <c r="J211" s="194"/>
      <c r="K211" s="194"/>
      <c r="L211" s="184"/>
      <c r="M211" s="184"/>
      <c r="N211" s="184"/>
      <c r="O211" s="184"/>
      <c r="P211" s="184"/>
      <c r="Q211" s="184"/>
      <c r="R211" s="184"/>
      <c r="S211" s="184"/>
      <c r="T211" s="184"/>
      <c r="U211" s="184"/>
      <c r="V211" s="184"/>
      <c r="W211" s="184"/>
      <c r="X211" s="184"/>
      <c r="Y211" s="184"/>
      <c r="Z211" s="184"/>
      <c r="AA211" s="184"/>
    </row>
    <row r="212">
      <c r="A212" s="184"/>
      <c r="B212" s="184"/>
      <c r="C212" s="194"/>
      <c r="D212" s="194"/>
      <c r="E212" s="194"/>
      <c r="F212" s="194"/>
      <c r="G212" s="194"/>
      <c r="H212" s="184"/>
      <c r="I212" s="194"/>
      <c r="J212" s="194"/>
      <c r="K212" s="194"/>
      <c r="L212" s="184"/>
      <c r="M212" s="184"/>
      <c r="N212" s="184"/>
      <c r="O212" s="184"/>
      <c r="P212" s="184"/>
      <c r="Q212" s="184"/>
      <c r="R212" s="184"/>
      <c r="S212" s="184"/>
      <c r="T212" s="184"/>
      <c r="U212" s="184"/>
      <c r="V212" s="184"/>
      <c r="W212" s="184"/>
      <c r="X212" s="184"/>
      <c r="Y212" s="184"/>
      <c r="Z212" s="184"/>
      <c r="AA212" s="184"/>
    </row>
    <row r="213">
      <c r="A213" s="184"/>
      <c r="B213" s="184"/>
      <c r="C213" s="194"/>
      <c r="D213" s="194"/>
      <c r="E213" s="194"/>
      <c r="F213" s="194"/>
      <c r="G213" s="194"/>
      <c r="H213" s="184"/>
      <c r="I213" s="194"/>
      <c r="J213" s="194"/>
      <c r="K213" s="194"/>
      <c r="L213" s="184"/>
      <c r="M213" s="184"/>
      <c r="N213" s="184"/>
      <c r="O213" s="184"/>
      <c r="P213" s="184"/>
      <c r="Q213" s="184"/>
      <c r="R213" s="184"/>
      <c r="S213" s="184"/>
      <c r="T213" s="184"/>
      <c r="U213" s="184"/>
      <c r="V213" s="184"/>
      <c r="W213" s="184"/>
      <c r="X213" s="184"/>
      <c r="Y213" s="184"/>
      <c r="Z213" s="184"/>
      <c r="AA213" s="184"/>
    </row>
    <row r="214">
      <c r="A214" s="184"/>
      <c r="B214" s="184"/>
      <c r="C214" s="194"/>
      <c r="D214" s="194"/>
      <c r="E214" s="194"/>
      <c r="F214" s="194"/>
      <c r="G214" s="194"/>
      <c r="H214" s="184"/>
      <c r="I214" s="194"/>
      <c r="J214" s="194"/>
      <c r="K214" s="194"/>
      <c r="L214" s="184"/>
      <c r="M214" s="184"/>
      <c r="N214" s="184"/>
      <c r="O214" s="184"/>
      <c r="P214" s="184"/>
      <c r="Q214" s="184"/>
      <c r="R214" s="184"/>
      <c r="S214" s="184"/>
      <c r="T214" s="184"/>
      <c r="U214" s="184"/>
      <c r="V214" s="184"/>
      <c r="W214" s="184"/>
      <c r="X214" s="184"/>
      <c r="Y214" s="184"/>
      <c r="Z214" s="184"/>
      <c r="AA214" s="184"/>
    </row>
    <row r="215">
      <c r="A215" s="184"/>
      <c r="B215" s="184"/>
      <c r="C215" s="194"/>
      <c r="D215" s="194"/>
      <c r="E215" s="194"/>
      <c r="F215" s="194"/>
      <c r="G215" s="194"/>
      <c r="H215" s="184"/>
      <c r="I215" s="194"/>
      <c r="J215" s="194"/>
      <c r="K215" s="194"/>
      <c r="L215" s="184"/>
      <c r="M215" s="184"/>
      <c r="N215" s="184"/>
      <c r="O215" s="184"/>
      <c r="P215" s="184"/>
      <c r="Q215" s="184"/>
      <c r="R215" s="184"/>
      <c r="S215" s="184"/>
      <c r="T215" s="184"/>
      <c r="U215" s="184"/>
      <c r="V215" s="184"/>
      <c r="W215" s="184"/>
      <c r="X215" s="184"/>
      <c r="Y215" s="184"/>
      <c r="Z215" s="184"/>
      <c r="AA215" s="184"/>
    </row>
    <row r="216">
      <c r="A216" s="184"/>
      <c r="B216" s="184"/>
      <c r="C216" s="194"/>
      <c r="D216" s="194"/>
      <c r="E216" s="194"/>
      <c r="F216" s="194"/>
      <c r="G216" s="194"/>
      <c r="H216" s="184"/>
      <c r="I216" s="194"/>
      <c r="J216" s="194"/>
      <c r="K216" s="194"/>
      <c r="L216" s="184"/>
      <c r="M216" s="184"/>
      <c r="N216" s="184"/>
      <c r="O216" s="184"/>
      <c r="P216" s="184"/>
      <c r="Q216" s="184"/>
      <c r="R216" s="184"/>
      <c r="S216" s="184"/>
      <c r="T216" s="184"/>
      <c r="U216" s="184"/>
      <c r="V216" s="184"/>
      <c r="W216" s="184"/>
      <c r="X216" s="184"/>
      <c r="Y216" s="184"/>
      <c r="Z216" s="184"/>
      <c r="AA216" s="184"/>
    </row>
    <row r="217">
      <c r="A217" s="184"/>
      <c r="B217" s="184"/>
      <c r="C217" s="194"/>
      <c r="D217" s="194"/>
      <c r="E217" s="194"/>
      <c r="F217" s="194"/>
      <c r="G217" s="194"/>
      <c r="H217" s="184"/>
      <c r="I217" s="194"/>
      <c r="J217" s="194"/>
      <c r="K217" s="194"/>
      <c r="L217" s="184"/>
      <c r="M217" s="184"/>
      <c r="N217" s="184"/>
      <c r="O217" s="184"/>
      <c r="P217" s="184"/>
      <c r="Q217" s="184"/>
      <c r="R217" s="184"/>
      <c r="S217" s="184"/>
      <c r="T217" s="184"/>
      <c r="U217" s="184"/>
      <c r="V217" s="184"/>
      <c r="W217" s="184"/>
      <c r="X217" s="184"/>
      <c r="Y217" s="184"/>
      <c r="Z217" s="184"/>
      <c r="AA217" s="184"/>
    </row>
    <row r="218">
      <c r="A218" s="184"/>
      <c r="B218" s="184"/>
      <c r="C218" s="194"/>
      <c r="D218" s="194"/>
      <c r="E218" s="194"/>
      <c r="F218" s="194"/>
      <c r="G218" s="194"/>
      <c r="H218" s="184"/>
      <c r="I218" s="194"/>
      <c r="J218" s="194"/>
      <c r="K218" s="194"/>
      <c r="L218" s="184"/>
      <c r="M218" s="184"/>
      <c r="N218" s="184"/>
      <c r="O218" s="184"/>
      <c r="P218" s="184"/>
      <c r="Q218" s="184"/>
      <c r="R218" s="184"/>
      <c r="S218" s="184"/>
      <c r="T218" s="184"/>
      <c r="U218" s="184"/>
      <c r="V218" s="184"/>
      <c r="W218" s="184"/>
      <c r="X218" s="184"/>
      <c r="Y218" s="184"/>
      <c r="Z218" s="184"/>
      <c r="AA218" s="184"/>
    </row>
    <row r="219">
      <c r="A219" s="184"/>
      <c r="B219" s="184"/>
      <c r="C219" s="194"/>
      <c r="D219" s="194"/>
      <c r="E219" s="194"/>
      <c r="F219" s="194"/>
      <c r="G219" s="194"/>
      <c r="H219" s="184"/>
      <c r="I219" s="194"/>
      <c r="J219" s="194"/>
      <c r="K219" s="194"/>
      <c r="L219" s="184"/>
      <c r="M219" s="184"/>
      <c r="N219" s="184"/>
      <c r="O219" s="184"/>
      <c r="P219" s="184"/>
      <c r="Q219" s="184"/>
      <c r="R219" s="184"/>
      <c r="S219" s="184"/>
      <c r="T219" s="184"/>
      <c r="U219" s="184"/>
      <c r="V219" s="184"/>
      <c r="W219" s="184"/>
      <c r="X219" s="184"/>
      <c r="Y219" s="184"/>
      <c r="Z219" s="184"/>
      <c r="AA219" s="184"/>
    </row>
    <row r="220">
      <c r="A220" s="184"/>
      <c r="B220" s="184"/>
      <c r="C220" s="194"/>
      <c r="D220" s="194"/>
      <c r="E220" s="194"/>
      <c r="F220" s="194"/>
      <c r="G220" s="194"/>
      <c r="H220" s="184"/>
      <c r="I220" s="194"/>
      <c r="J220" s="194"/>
      <c r="K220" s="194"/>
      <c r="L220" s="184"/>
      <c r="M220" s="184"/>
      <c r="N220" s="184"/>
      <c r="O220" s="184"/>
      <c r="P220" s="184"/>
      <c r="Q220" s="184"/>
      <c r="R220" s="184"/>
      <c r="S220" s="184"/>
      <c r="T220" s="184"/>
      <c r="U220" s="184"/>
      <c r="V220" s="184"/>
      <c r="W220" s="184"/>
      <c r="X220" s="184"/>
      <c r="Y220" s="184"/>
      <c r="Z220" s="184"/>
      <c r="AA220" s="184"/>
    </row>
    <row r="221">
      <c r="A221" s="184"/>
      <c r="B221" s="184"/>
      <c r="C221" s="194"/>
      <c r="D221" s="194"/>
      <c r="E221" s="194"/>
      <c r="F221" s="194"/>
      <c r="G221" s="194"/>
      <c r="H221" s="184"/>
      <c r="I221" s="194"/>
      <c r="J221" s="194"/>
      <c r="K221" s="194"/>
      <c r="L221" s="184"/>
      <c r="M221" s="184"/>
      <c r="N221" s="184"/>
      <c r="O221" s="184"/>
      <c r="P221" s="184"/>
      <c r="Q221" s="184"/>
      <c r="R221" s="184"/>
      <c r="S221" s="184"/>
      <c r="T221" s="184"/>
      <c r="U221" s="184"/>
      <c r="V221" s="184"/>
      <c r="W221" s="184"/>
      <c r="X221" s="184"/>
      <c r="Y221" s="184"/>
      <c r="Z221" s="184"/>
      <c r="AA221" s="184"/>
    </row>
    <row r="222">
      <c r="A222" s="184"/>
      <c r="B222" s="184"/>
      <c r="C222" s="194"/>
      <c r="D222" s="194"/>
      <c r="E222" s="194"/>
      <c r="F222" s="194"/>
      <c r="G222" s="194"/>
      <c r="H222" s="184"/>
      <c r="I222" s="194"/>
      <c r="J222" s="194"/>
      <c r="K222" s="194"/>
      <c r="L222" s="184"/>
      <c r="M222" s="184"/>
      <c r="N222" s="184"/>
      <c r="O222" s="184"/>
      <c r="P222" s="184"/>
      <c r="Q222" s="184"/>
      <c r="R222" s="184"/>
      <c r="S222" s="184"/>
      <c r="T222" s="184"/>
      <c r="U222" s="184"/>
      <c r="V222" s="184"/>
      <c r="W222" s="184"/>
      <c r="X222" s="184"/>
      <c r="Y222" s="184"/>
      <c r="Z222" s="184"/>
      <c r="AA222" s="184"/>
    </row>
    <row r="223">
      <c r="A223" s="184"/>
      <c r="B223" s="184"/>
      <c r="C223" s="194"/>
      <c r="D223" s="194"/>
      <c r="E223" s="194"/>
      <c r="F223" s="194"/>
      <c r="G223" s="194"/>
      <c r="H223" s="184"/>
      <c r="I223" s="194"/>
      <c r="J223" s="194"/>
      <c r="K223" s="194"/>
      <c r="L223" s="184"/>
      <c r="M223" s="184"/>
      <c r="N223" s="184"/>
      <c r="O223" s="184"/>
      <c r="P223" s="184"/>
      <c r="Q223" s="184"/>
      <c r="R223" s="184"/>
      <c r="S223" s="184"/>
      <c r="T223" s="184"/>
      <c r="U223" s="184"/>
      <c r="V223" s="184"/>
      <c r="W223" s="184"/>
      <c r="X223" s="184"/>
      <c r="Y223" s="184"/>
      <c r="Z223" s="184"/>
      <c r="AA223" s="184"/>
    </row>
    <row r="224">
      <c r="A224" s="184"/>
      <c r="B224" s="184"/>
      <c r="C224" s="194"/>
      <c r="D224" s="194"/>
      <c r="E224" s="194"/>
      <c r="F224" s="194"/>
      <c r="G224" s="194"/>
      <c r="H224" s="184"/>
      <c r="I224" s="194"/>
      <c r="J224" s="194"/>
      <c r="K224" s="194"/>
      <c r="L224" s="184"/>
      <c r="M224" s="184"/>
      <c r="N224" s="184"/>
      <c r="O224" s="184"/>
      <c r="P224" s="184"/>
      <c r="Q224" s="184"/>
      <c r="R224" s="184"/>
      <c r="S224" s="184"/>
      <c r="T224" s="184"/>
      <c r="U224" s="184"/>
      <c r="V224" s="184"/>
      <c r="W224" s="184"/>
      <c r="X224" s="184"/>
      <c r="Y224" s="184"/>
      <c r="Z224" s="184"/>
      <c r="AA224" s="184"/>
    </row>
    <row r="225">
      <c r="A225" s="184"/>
      <c r="B225" s="184"/>
      <c r="C225" s="194"/>
      <c r="D225" s="194"/>
      <c r="E225" s="194"/>
      <c r="F225" s="194"/>
      <c r="G225" s="194"/>
      <c r="H225" s="184"/>
      <c r="I225" s="194"/>
      <c r="J225" s="194"/>
      <c r="K225" s="194"/>
      <c r="L225" s="184"/>
      <c r="M225" s="184"/>
      <c r="N225" s="184"/>
      <c r="O225" s="184"/>
      <c r="P225" s="184"/>
      <c r="Q225" s="184"/>
      <c r="R225" s="184"/>
      <c r="S225" s="184"/>
      <c r="T225" s="184"/>
      <c r="U225" s="184"/>
      <c r="V225" s="184"/>
      <c r="W225" s="184"/>
      <c r="X225" s="184"/>
      <c r="Y225" s="184"/>
      <c r="Z225" s="184"/>
      <c r="AA225" s="184"/>
    </row>
    <row r="226">
      <c r="A226" s="184"/>
      <c r="B226" s="184"/>
      <c r="C226" s="194"/>
      <c r="D226" s="194"/>
      <c r="E226" s="194"/>
      <c r="F226" s="194"/>
      <c r="G226" s="194"/>
      <c r="H226" s="184"/>
      <c r="I226" s="194"/>
      <c r="J226" s="194"/>
      <c r="K226" s="194"/>
      <c r="L226" s="184"/>
      <c r="M226" s="184"/>
      <c r="N226" s="184"/>
      <c r="O226" s="184"/>
      <c r="P226" s="184"/>
      <c r="Q226" s="184"/>
      <c r="R226" s="184"/>
      <c r="S226" s="184"/>
      <c r="T226" s="184"/>
      <c r="U226" s="184"/>
      <c r="V226" s="184"/>
      <c r="W226" s="184"/>
      <c r="X226" s="184"/>
      <c r="Y226" s="184"/>
      <c r="Z226" s="184"/>
      <c r="AA226" s="184"/>
    </row>
    <row r="227">
      <c r="A227" s="184"/>
      <c r="B227" s="184"/>
      <c r="C227" s="194"/>
      <c r="D227" s="194"/>
      <c r="E227" s="194"/>
      <c r="F227" s="194"/>
      <c r="G227" s="194"/>
      <c r="H227" s="184"/>
      <c r="I227" s="194"/>
      <c r="J227" s="194"/>
      <c r="K227" s="194"/>
      <c r="L227" s="184"/>
      <c r="M227" s="184"/>
      <c r="N227" s="184"/>
      <c r="O227" s="184"/>
      <c r="P227" s="184"/>
      <c r="Q227" s="184"/>
      <c r="R227" s="184"/>
      <c r="S227" s="184"/>
      <c r="T227" s="184"/>
      <c r="U227" s="184"/>
      <c r="V227" s="184"/>
      <c r="W227" s="184"/>
      <c r="X227" s="184"/>
      <c r="Y227" s="184"/>
      <c r="Z227" s="184"/>
      <c r="AA227" s="184"/>
    </row>
    <row r="228">
      <c r="A228" s="184"/>
      <c r="B228" s="184"/>
      <c r="C228" s="194"/>
      <c r="D228" s="194"/>
      <c r="E228" s="194"/>
      <c r="F228" s="194"/>
      <c r="G228" s="194"/>
      <c r="H228" s="184"/>
      <c r="I228" s="194"/>
      <c r="J228" s="194"/>
      <c r="K228" s="194"/>
      <c r="L228" s="184"/>
      <c r="M228" s="184"/>
      <c r="N228" s="184"/>
      <c r="O228" s="184"/>
      <c r="P228" s="184"/>
      <c r="Q228" s="184"/>
      <c r="R228" s="184"/>
      <c r="S228" s="184"/>
      <c r="T228" s="184"/>
      <c r="U228" s="184"/>
      <c r="V228" s="184"/>
      <c r="W228" s="184"/>
      <c r="X228" s="184"/>
      <c r="Y228" s="184"/>
      <c r="Z228" s="184"/>
      <c r="AA228" s="184"/>
    </row>
    <row r="229">
      <c r="A229" s="184"/>
      <c r="B229" s="184"/>
      <c r="C229" s="194"/>
      <c r="D229" s="194"/>
      <c r="E229" s="194"/>
      <c r="F229" s="194"/>
      <c r="G229" s="194"/>
      <c r="H229" s="184"/>
      <c r="I229" s="194"/>
      <c r="J229" s="194"/>
      <c r="K229" s="194"/>
      <c r="L229" s="184"/>
      <c r="M229" s="184"/>
      <c r="N229" s="184"/>
      <c r="O229" s="184"/>
      <c r="P229" s="184"/>
      <c r="Q229" s="184"/>
      <c r="R229" s="184"/>
      <c r="S229" s="184"/>
      <c r="T229" s="184"/>
      <c r="U229" s="184"/>
      <c r="V229" s="184"/>
      <c r="W229" s="184"/>
      <c r="X229" s="184"/>
      <c r="Y229" s="184"/>
      <c r="Z229" s="184"/>
      <c r="AA229" s="184"/>
    </row>
    <row r="230">
      <c r="A230" s="184"/>
      <c r="B230" s="184"/>
      <c r="C230" s="194"/>
      <c r="D230" s="194"/>
      <c r="E230" s="194"/>
      <c r="F230" s="194"/>
      <c r="G230" s="194"/>
      <c r="H230" s="184"/>
      <c r="I230" s="194"/>
      <c r="J230" s="194"/>
      <c r="K230" s="194"/>
      <c r="L230" s="184"/>
      <c r="M230" s="184"/>
      <c r="N230" s="184"/>
      <c r="O230" s="184"/>
      <c r="P230" s="184"/>
      <c r="Q230" s="184"/>
      <c r="R230" s="184"/>
      <c r="S230" s="184"/>
      <c r="T230" s="184"/>
      <c r="U230" s="184"/>
      <c r="V230" s="184"/>
      <c r="W230" s="184"/>
      <c r="X230" s="184"/>
      <c r="Y230" s="184"/>
      <c r="Z230" s="184"/>
      <c r="AA230" s="184"/>
    </row>
    <row r="231">
      <c r="A231" s="184"/>
      <c r="B231" s="184"/>
      <c r="C231" s="194"/>
      <c r="D231" s="194"/>
      <c r="E231" s="194"/>
      <c r="F231" s="194"/>
      <c r="G231" s="194"/>
      <c r="H231" s="184"/>
      <c r="I231" s="194"/>
      <c r="J231" s="194"/>
      <c r="K231" s="194"/>
      <c r="L231" s="184"/>
      <c r="M231" s="184"/>
      <c r="N231" s="184"/>
      <c r="O231" s="184"/>
      <c r="P231" s="184"/>
      <c r="Q231" s="184"/>
      <c r="R231" s="184"/>
      <c r="S231" s="184"/>
      <c r="T231" s="184"/>
      <c r="U231" s="184"/>
      <c r="V231" s="184"/>
      <c r="W231" s="184"/>
      <c r="X231" s="184"/>
      <c r="Y231" s="184"/>
      <c r="Z231" s="184"/>
      <c r="AA231" s="184"/>
    </row>
    <row r="232">
      <c r="A232" s="184"/>
      <c r="B232" s="184"/>
      <c r="C232" s="194"/>
      <c r="D232" s="194"/>
      <c r="E232" s="194"/>
      <c r="F232" s="194"/>
      <c r="G232" s="194"/>
      <c r="H232" s="184"/>
      <c r="I232" s="194"/>
      <c r="J232" s="194"/>
      <c r="K232" s="194"/>
      <c r="L232" s="184"/>
      <c r="M232" s="184"/>
      <c r="N232" s="184"/>
      <c r="O232" s="184"/>
      <c r="P232" s="184"/>
      <c r="Q232" s="184"/>
      <c r="R232" s="184"/>
      <c r="S232" s="184"/>
      <c r="T232" s="184"/>
      <c r="U232" s="184"/>
      <c r="V232" s="184"/>
      <c r="W232" s="184"/>
      <c r="X232" s="184"/>
      <c r="Y232" s="184"/>
      <c r="Z232" s="184"/>
      <c r="AA232" s="184"/>
    </row>
    <row r="233">
      <c r="A233" s="184"/>
      <c r="B233" s="184"/>
      <c r="C233" s="194"/>
      <c r="D233" s="194"/>
      <c r="E233" s="194"/>
      <c r="F233" s="194"/>
      <c r="G233" s="194"/>
      <c r="H233" s="184"/>
      <c r="I233" s="194"/>
      <c r="J233" s="194"/>
      <c r="K233" s="194"/>
      <c r="L233" s="184"/>
      <c r="M233" s="184"/>
      <c r="N233" s="184"/>
      <c r="O233" s="184"/>
      <c r="P233" s="184"/>
      <c r="Q233" s="184"/>
      <c r="R233" s="184"/>
      <c r="S233" s="184"/>
      <c r="T233" s="184"/>
      <c r="U233" s="184"/>
      <c r="V233" s="184"/>
      <c r="W233" s="184"/>
      <c r="X233" s="184"/>
      <c r="Y233" s="184"/>
      <c r="Z233" s="184"/>
      <c r="AA233" s="184"/>
    </row>
    <row r="234">
      <c r="A234" s="184"/>
      <c r="B234" s="184"/>
      <c r="C234" s="194"/>
      <c r="D234" s="194"/>
      <c r="E234" s="194"/>
      <c r="F234" s="194"/>
      <c r="G234" s="194"/>
      <c r="H234" s="184"/>
      <c r="I234" s="194"/>
      <c r="J234" s="194"/>
      <c r="K234" s="194"/>
      <c r="L234" s="184"/>
      <c r="M234" s="184"/>
      <c r="N234" s="184"/>
      <c r="O234" s="184"/>
      <c r="P234" s="184"/>
      <c r="Q234" s="184"/>
      <c r="R234" s="184"/>
      <c r="S234" s="184"/>
      <c r="T234" s="184"/>
      <c r="U234" s="184"/>
      <c r="V234" s="184"/>
      <c r="W234" s="184"/>
      <c r="X234" s="184"/>
      <c r="Y234" s="184"/>
      <c r="Z234" s="184"/>
      <c r="AA234" s="184"/>
    </row>
    <row r="235">
      <c r="A235" s="184"/>
      <c r="B235" s="184"/>
      <c r="C235" s="194"/>
      <c r="D235" s="194"/>
      <c r="E235" s="194"/>
      <c r="F235" s="194"/>
      <c r="G235" s="194"/>
      <c r="H235" s="184"/>
      <c r="I235" s="194"/>
      <c r="J235" s="194"/>
      <c r="K235" s="194"/>
      <c r="L235" s="184"/>
      <c r="M235" s="184"/>
      <c r="N235" s="184"/>
      <c r="O235" s="184"/>
      <c r="P235" s="184"/>
      <c r="Q235" s="184"/>
      <c r="R235" s="184"/>
      <c r="S235" s="184"/>
      <c r="T235" s="184"/>
      <c r="U235" s="184"/>
      <c r="V235" s="184"/>
      <c r="W235" s="184"/>
      <c r="X235" s="184"/>
      <c r="Y235" s="184"/>
      <c r="Z235" s="184"/>
      <c r="AA235" s="184"/>
    </row>
    <row r="236">
      <c r="A236" s="184"/>
      <c r="B236" s="184"/>
      <c r="C236" s="194"/>
      <c r="D236" s="194"/>
      <c r="E236" s="194"/>
      <c r="F236" s="194"/>
      <c r="G236" s="194"/>
      <c r="H236" s="184"/>
      <c r="I236" s="194"/>
      <c r="J236" s="194"/>
      <c r="K236" s="194"/>
      <c r="L236" s="184"/>
      <c r="M236" s="184"/>
      <c r="N236" s="184"/>
      <c r="O236" s="184"/>
      <c r="P236" s="184"/>
      <c r="Q236" s="184"/>
      <c r="R236" s="184"/>
      <c r="S236" s="184"/>
      <c r="T236" s="184"/>
      <c r="U236" s="184"/>
      <c r="V236" s="184"/>
      <c r="W236" s="184"/>
      <c r="X236" s="184"/>
      <c r="Y236" s="184"/>
      <c r="Z236" s="184"/>
      <c r="AA236" s="184"/>
    </row>
    <row r="237">
      <c r="A237" s="184"/>
      <c r="B237" s="184"/>
      <c r="C237" s="194"/>
      <c r="D237" s="194"/>
      <c r="E237" s="194"/>
      <c r="F237" s="194"/>
      <c r="G237" s="194"/>
      <c r="H237" s="184"/>
      <c r="I237" s="194"/>
      <c r="J237" s="194"/>
      <c r="K237" s="194"/>
      <c r="L237" s="184"/>
      <c r="M237" s="184"/>
      <c r="N237" s="184"/>
      <c r="O237" s="184"/>
      <c r="P237" s="184"/>
      <c r="Q237" s="184"/>
      <c r="R237" s="184"/>
      <c r="S237" s="184"/>
      <c r="T237" s="184"/>
      <c r="U237" s="184"/>
      <c r="V237" s="184"/>
      <c r="W237" s="184"/>
      <c r="X237" s="184"/>
      <c r="Y237" s="184"/>
      <c r="Z237" s="184"/>
      <c r="AA237" s="184"/>
    </row>
    <row r="238">
      <c r="A238" s="184"/>
      <c r="B238" s="184"/>
      <c r="C238" s="194"/>
      <c r="D238" s="194"/>
      <c r="E238" s="194"/>
      <c r="F238" s="194"/>
      <c r="G238" s="194"/>
      <c r="H238" s="184"/>
      <c r="I238" s="194"/>
      <c r="J238" s="194"/>
      <c r="K238" s="194"/>
      <c r="L238" s="184"/>
      <c r="M238" s="184"/>
      <c r="N238" s="184"/>
      <c r="O238" s="184"/>
      <c r="P238" s="184"/>
      <c r="Q238" s="184"/>
      <c r="R238" s="184"/>
      <c r="S238" s="184"/>
      <c r="T238" s="184"/>
      <c r="U238" s="184"/>
      <c r="V238" s="184"/>
      <c r="W238" s="184"/>
      <c r="X238" s="184"/>
      <c r="Y238" s="184"/>
      <c r="Z238" s="184"/>
      <c r="AA238" s="184"/>
    </row>
    <row r="239">
      <c r="A239" s="184"/>
      <c r="B239" s="184"/>
      <c r="C239" s="194"/>
      <c r="D239" s="194"/>
      <c r="E239" s="194"/>
      <c r="F239" s="194"/>
      <c r="G239" s="194"/>
      <c r="H239" s="184"/>
      <c r="I239" s="194"/>
      <c r="J239" s="194"/>
      <c r="K239" s="194"/>
      <c r="L239" s="184"/>
      <c r="M239" s="184"/>
      <c r="N239" s="184"/>
      <c r="O239" s="184"/>
      <c r="P239" s="184"/>
      <c r="Q239" s="184"/>
      <c r="R239" s="184"/>
      <c r="S239" s="184"/>
      <c r="T239" s="184"/>
      <c r="U239" s="184"/>
      <c r="V239" s="184"/>
      <c r="W239" s="184"/>
      <c r="X239" s="184"/>
      <c r="Y239" s="184"/>
      <c r="Z239" s="184"/>
      <c r="AA239" s="184"/>
    </row>
    <row r="240">
      <c r="A240" s="184"/>
      <c r="B240" s="184"/>
      <c r="C240" s="194"/>
      <c r="D240" s="194"/>
      <c r="E240" s="194"/>
      <c r="F240" s="194"/>
      <c r="G240" s="194"/>
      <c r="H240" s="184"/>
      <c r="I240" s="194"/>
      <c r="J240" s="194"/>
      <c r="K240" s="194"/>
      <c r="L240" s="184"/>
      <c r="M240" s="184"/>
      <c r="N240" s="184"/>
      <c r="O240" s="184"/>
      <c r="P240" s="184"/>
      <c r="Q240" s="184"/>
      <c r="R240" s="184"/>
      <c r="S240" s="184"/>
      <c r="T240" s="184"/>
      <c r="U240" s="184"/>
      <c r="V240" s="184"/>
      <c r="W240" s="184"/>
      <c r="X240" s="184"/>
      <c r="Y240" s="184"/>
      <c r="Z240" s="184"/>
      <c r="AA240" s="184"/>
    </row>
    <row r="241">
      <c r="A241" s="184"/>
      <c r="B241" s="184"/>
      <c r="C241" s="194"/>
      <c r="D241" s="194"/>
      <c r="E241" s="194"/>
      <c r="F241" s="194"/>
      <c r="G241" s="194"/>
      <c r="H241" s="184"/>
      <c r="I241" s="194"/>
      <c r="J241" s="194"/>
      <c r="K241" s="194"/>
      <c r="L241" s="184"/>
      <c r="M241" s="184"/>
      <c r="N241" s="184"/>
      <c r="O241" s="184"/>
      <c r="P241" s="184"/>
      <c r="Q241" s="184"/>
      <c r="R241" s="184"/>
      <c r="S241" s="184"/>
      <c r="T241" s="184"/>
      <c r="U241" s="184"/>
      <c r="V241" s="184"/>
      <c r="W241" s="184"/>
      <c r="X241" s="184"/>
      <c r="Y241" s="184"/>
      <c r="Z241" s="184"/>
      <c r="AA241" s="184"/>
    </row>
    <row r="242">
      <c r="A242" s="184"/>
      <c r="B242" s="184"/>
      <c r="C242" s="194"/>
      <c r="D242" s="194"/>
      <c r="E242" s="194"/>
      <c r="F242" s="194"/>
      <c r="G242" s="194"/>
      <c r="H242" s="184"/>
      <c r="I242" s="194"/>
      <c r="J242" s="194"/>
      <c r="K242" s="194"/>
      <c r="L242" s="184"/>
      <c r="M242" s="184"/>
      <c r="N242" s="184"/>
      <c r="O242" s="184"/>
      <c r="P242" s="184"/>
      <c r="Q242" s="184"/>
      <c r="R242" s="184"/>
      <c r="S242" s="184"/>
      <c r="T242" s="184"/>
      <c r="U242" s="184"/>
      <c r="V242" s="184"/>
      <c r="W242" s="184"/>
      <c r="X242" s="184"/>
      <c r="Y242" s="184"/>
      <c r="Z242" s="184"/>
      <c r="AA242" s="184"/>
    </row>
    <row r="243">
      <c r="A243" s="184"/>
      <c r="B243" s="184"/>
      <c r="C243" s="194"/>
      <c r="D243" s="194"/>
      <c r="E243" s="194"/>
      <c r="F243" s="194"/>
      <c r="G243" s="194"/>
      <c r="H243" s="184"/>
      <c r="I243" s="194"/>
      <c r="J243" s="194"/>
      <c r="K243" s="194"/>
      <c r="L243" s="184"/>
      <c r="M243" s="184"/>
      <c r="N243" s="184"/>
      <c r="O243" s="184"/>
      <c r="P243" s="184"/>
      <c r="Q243" s="184"/>
      <c r="R243" s="184"/>
      <c r="S243" s="184"/>
      <c r="T243" s="184"/>
      <c r="U243" s="184"/>
      <c r="V243" s="184"/>
      <c r="W243" s="184"/>
      <c r="X243" s="184"/>
      <c r="Y243" s="184"/>
      <c r="Z243" s="184"/>
      <c r="AA243" s="184"/>
    </row>
    <row r="244">
      <c r="A244" s="184"/>
      <c r="B244" s="184"/>
      <c r="C244" s="194"/>
      <c r="D244" s="194"/>
      <c r="E244" s="194"/>
      <c r="F244" s="194"/>
      <c r="G244" s="194"/>
      <c r="H244" s="184"/>
      <c r="I244" s="194"/>
      <c r="J244" s="194"/>
      <c r="K244" s="194"/>
      <c r="L244" s="184"/>
      <c r="M244" s="184"/>
      <c r="N244" s="184"/>
      <c r="O244" s="184"/>
      <c r="P244" s="184"/>
      <c r="Q244" s="184"/>
      <c r="R244" s="184"/>
      <c r="S244" s="184"/>
      <c r="T244" s="184"/>
      <c r="U244" s="184"/>
      <c r="V244" s="184"/>
      <c r="W244" s="184"/>
      <c r="X244" s="184"/>
      <c r="Y244" s="184"/>
      <c r="Z244" s="184"/>
      <c r="AA244" s="184"/>
    </row>
    <row r="245">
      <c r="A245" s="184"/>
      <c r="B245" s="184"/>
      <c r="C245" s="194"/>
      <c r="D245" s="194"/>
      <c r="E245" s="194"/>
      <c r="F245" s="194"/>
      <c r="G245" s="194"/>
      <c r="H245" s="184"/>
      <c r="I245" s="194"/>
      <c r="J245" s="194"/>
      <c r="K245" s="194"/>
      <c r="L245" s="184"/>
      <c r="M245" s="184"/>
      <c r="N245" s="184"/>
      <c r="O245" s="184"/>
      <c r="P245" s="184"/>
      <c r="Q245" s="184"/>
      <c r="R245" s="184"/>
      <c r="S245" s="184"/>
      <c r="T245" s="184"/>
      <c r="U245" s="184"/>
      <c r="V245" s="184"/>
      <c r="W245" s="184"/>
      <c r="X245" s="184"/>
      <c r="Y245" s="184"/>
      <c r="Z245" s="184"/>
      <c r="AA245" s="184"/>
    </row>
    <row r="246">
      <c r="A246" s="184"/>
      <c r="B246" s="184"/>
      <c r="C246" s="194"/>
      <c r="D246" s="194"/>
      <c r="E246" s="194"/>
      <c r="F246" s="194"/>
      <c r="G246" s="194"/>
      <c r="H246" s="184"/>
      <c r="I246" s="194"/>
      <c r="J246" s="194"/>
      <c r="K246" s="194"/>
      <c r="L246" s="184"/>
      <c r="M246" s="184"/>
      <c r="N246" s="184"/>
      <c r="O246" s="184"/>
      <c r="P246" s="184"/>
      <c r="Q246" s="184"/>
      <c r="R246" s="184"/>
      <c r="S246" s="184"/>
      <c r="T246" s="184"/>
      <c r="U246" s="184"/>
      <c r="V246" s="184"/>
      <c r="W246" s="184"/>
      <c r="X246" s="184"/>
      <c r="Y246" s="184"/>
      <c r="Z246" s="184"/>
      <c r="AA246" s="184"/>
    </row>
    <row r="247">
      <c r="A247" s="184"/>
      <c r="B247" s="184"/>
      <c r="C247" s="194"/>
      <c r="D247" s="194"/>
      <c r="E247" s="194"/>
      <c r="F247" s="194"/>
      <c r="G247" s="194"/>
      <c r="H247" s="184"/>
      <c r="I247" s="194"/>
      <c r="J247" s="194"/>
      <c r="K247" s="194"/>
      <c r="L247" s="184"/>
      <c r="M247" s="184"/>
      <c r="N247" s="184"/>
      <c r="O247" s="184"/>
      <c r="P247" s="184"/>
      <c r="Q247" s="184"/>
      <c r="R247" s="184"/>
      <c r="S247" s="184"/>
      <c r="T247" s="184"/>
      <c r="U247" s="184"/>
      <c r="V247" s="184"/>
      <c r="W247" s="184"/>
      <c r="X247" s="184"/>
      <c r="Y247" s="184"/>
      <c r="Z247" s="184"/>
      <c r="AA247" s="184"/>
    </row>
    <row r="248">
      <c r="A248" s="184"/>
      <c r="B248" s="184"/>
      <c r="C248" s="194"/>
      <c r="D248" s="194"/>
      <c r="E248" s="194"/>
      <c r="F248" s="194"/>
      <c r="G248" s="194"/>
      <c r="H248" s="184"/>
      <c r="I248" s="194"/>
      <c r="J248" s="194"/>
      <c r="K248" s="194"/>
      <c r="L248" s="184"/>
      <c r="M248" s="184"/>
      <c r="N248" s="184"/>
      <c r="O248" s="184"/>
      <c r="P248" s="184"/>
      <c r="Q248" s="184"/>
      <c r="R248" s="184"/>
      <c r="S248" s="184"/>
      <c r="T248" s="184"/>
      <c r="U248" s="184"/>
      <c r="V248" s="184"/>
      <c r="W248" s="184"/>
      <c r="X248" s="184"/>
      <c r="Y248" s="184"/>
      <c r="Z248" s="184"/>
      <c r="AA248" s="184"/>
    </row>
    <row r="249">
      <c r="A249" s="184"/>
      <c r="B249" s="184"/>
      <c r="C249" s="194"/>
      <c r="D249" s="194"/>
      <c r="E249" s="194"/>
      <c r="F249" s="194"/>
      <c r="G249" s="194"/>
      <c r="H249" s="184"/>
      <c r="I249" s="194"/>
      <c r="J249" s="194"/>
      <c r="K249" s="194"/>
      <c r="L249" s="184"/>
      <c r="M249" s="184"/>
      <c r="N249" s="184"/>
      <c r="O249" s="184"/>
      <c r="P249" s="184"/>
      <c r="Q249" s="184"/>
      <c r="R249" s="184"/>
      <c r="S249" s="184"/>
      <c r="T249" s="184"/>
      <c r="U249" s="184"/>
      <c r="V249" s="184"/>
      <c r="W249" s="184"/>
      <c r="X249" s="184"/>
      <c r="Y249" s="184"/>
      <c r="Z249" s="184"/>
      <c r="AA249" s="184"/>
    </row>
    <row r="250">
      <c r="A250" s="184"/>
      <c r="B250" s="184"/>
      <c r="C250" s="194"/>
      <c r="D250" s="194"/>
      <c r="E250" s="194"/>
      <c r="F250" s="194"/>
      <c r="G250" s="194"/>
      <c r="H250" s="184"/>
      <c r="I250" s="194"/>
      <c r="J250" s="194"/>
      <c r="K250" s="194"/>
      <c r="L250" s="184"/>
      <c r="M250" s="184"/>
      <c r="N250" s="184"/>
      <c r="O250" s="184"/>
      <c r="P250" s="184"/>
      <c r="Q250" s="184"/>
      <c r="R250" s="184"/>
      <c r="S250" s="184"/>
      <c r="T250" s="184"/>
      <c r="U250" s="184"/>
      <c r="V250" s="184"/>
      <c r="W250" s="184"/>
      <c r="X250" s="184"/>
      <c r="Y250" s="184"/>
      <c r="Z250" s="184"/>
      <c r="AA250" s="184"/>
    </row>
    <row r="251">
      <c r="A251" s="184"/>
      <c r="B251" s="184"/>
      <c r="C251" s="194"/>
      <c r="D251" s="194"/>
      <c r="E251" s="194"/>
      <c r="F251" s="194"/>
      <c r="G251" s="194"/>
      <c r="H251" s="184"/>
      <c r="I251" s="194"/>
      <c r="J251" s="194"/>
      <c r="K251" s="194"/>
      <c r="L251" s="184"/>
      <c r="M251" s="184"/>
      <c r="N251" s="184"/>
      <c r="O251" s="184"/>
      <c r="P251" s="184"/>
      <c r="Q251" s="184"/>
      <c r="R251" s="184"/>
      <c r="S251" s="184"/>
      <c r="T251" s="184"/>
      <c r="U251" s="184"/>
      <c r="V251" s="184"/>
      <c r="W251" s="184"/>
      <c r="X251" s="184"/>
      <c r="Y251" s="184"/>
      <c r="Z251" s="184"/>
      <c r="AA251" s="184"/>
    </row>
    <row r="252">
      <c r="A252" s="184"/>
      <c r="B252" s="184"/>
      <c r="C252" s="194"/>
      <c r="D252" s="194"/>
      <c r="E252" s="194"/>
      <c r="F252" s="194"/>
      <c r="G252" s="194"/>
      <c r="H252" s="184"/>
      <c r="I252" s="194"/>
      <c r="J252" s="194"/>
      <c r="K252" s="194"/>
      <c r="L252" s="184"/>
      <c r="M252" s="184"/>
      <c r="N252" s="184"/>
      <c r="O252" s="184"/>
      <c r="P252" s="184"/>
      <c r="Q252" s="184"/>
      <c r="R252" s="184"/>
      <c r="S252" s="184"/>
      <c r="T252" s="184"/>
      <c r="U252" s="184"/>
      <c r="V252" s="184"/>
      <c r="W252" s="184"/>
      <c r="X252" s="184"/>
      <c r="Y252" s="184"/>
      <c r="Z252" s="184"/>
      <c r="AA252" s="184"/>
    </row>
    <row r="253">
      <c r="A253" s="184"/>
      <c r="B253" s="184"/>
      <c r="C253" s="194"/>
      <c r="D253" s="194"/>
      <c r="E253" s="194"/>
      <c r="F253" s="194"/>
      <c r="G253" s="194"/>
      <c r="H253" s="184"/>
      <c r="I253" s="194"/>
      <c r="J253" s="194"/>
      <c r="K253" s="194"/>
      <c r="L253" s="184"/>
      <c r="M253" s="184"/>
      <c r="N253" s="184"/>
      <c r="O253" s="184"/>
      <c r="P253" s="184"/>
      <c r="Q253" s="184"/>
      <c r="R253" s="184"/>
      <c r="S253" s="184"/>
      <c r="T253" s="184"/>
      <c r="U253" s="184"/>
      <c r="V253" s="184"/>
      <c r="W253" s="184"/>
      <c r="X253" s="184"/>
      <c r="Y253" s="184"/>
      <c r="Z253" s="184"/>
      <c r="AA253" s="184"/>
    </row>
    <row r="254">
      <c r="A254" s="184"/>
      <c r="B254" s="184"/>
      <c r="C254" s="194"/>
      <c r="D254" s="194"/>
      <c r="E254" s="194"/>
      <c r="F254" s="194"/>
      <c r="G254" s="194"/>
      <c r="H254" s="184"/>
      <c r="I254" s="194"/>
      <c r="J254" s="194"/>
      <c r="K254" s="194"/>
      <c r="L254" s="184"/>
      <c r="M254" s="184"/>
      <c r="N254" s="184"/>
      <c r="O254" s="184"/>
      <c r="P254" s="184"/>
      <c r="Q254" s="184"/>
      <c r="R254" s="184"/>
      <c r="S254" s="184"/>
      <c r="T254" s="184"/>
      <c r="U254" s="184"/>
      <c r="V254" s="184"/>
      <c r="W254" s="184"/>
      <c r="X254" s="184"/>
      <c r="Y254" s="184"/>
      <c r="Z254" s="184"/>
      <c r="AA254" s="184"/>
    </row>
    <row r="255">
      <c r="A255" s="184"/>
      <c r="B255" s="184"/>
      <c r="C255" s="194"/>
      <c r="D255" s="194"/>
      <c r="E255" s="194"/>
      <c r="F255" s="194"/>
      <c r="G255" s="194"/>
      <c r="H255" s="184"/>
      <c r="I255" s="194"/>
      <c r="J255" s="194"/>
      <c r="K255" s="194"/>
      <c r="L255" s="184"/>
      <c r="M255" s="184"/>
      <c r="N255" s="184"/>
      <c r="O255" s="184"/>
      <c r="P255" s="184"/>
      <c r="Q255" s="184"/>
      <c r="R255" s="184"/>
      <c r="S255" s="184"/>
      <c r="T255" s="184"/>
      <c r="U255" s="184"/>
      <c r="V255" s="184"/>
      <c r="W255" s="184"/>
      <c r="X255" s="184"/>
      <c r="Y255" s="184"/>
      <c r="Z255" s="184"/>
      <c r="AA255" s="184"/>
    </row>
    <row r="256">
      <c r="A256" s="184"/>
      <c r="B256" s="184"/>
      <c r="C256" s="194"/>
      <c r="D256" s="194"/>
      <c r="E256" s="194"/>
      <c r="F256" s="194"/>
      <c r="G256" s="194"/>
      <c r="H256" s="184"/>
      <c r="I256" s="194"/>
      <c r="J256" s="194"/>
      <c r="K256" s="194"/>
      <c r="L256" s="184"/>
      <c r="M256" s="184"/>
      <c r="N256" s="184"/>
      <c r="O256" s="184"/>
      <c r="P256" s="184"/>
      <c r="Q256" s="184"/>
      <c r="R256" s="184"/>
      <c r="S256" s="184"/>
      <c r="T256" s="184"/>
      <c r="U256" s="184"/>
      <c r="V256" s="184"/>
      <c r="W256" s="184"/>
      <c r="X256" s="184"/>
      <c r="Y256" s="184"/>
      <c r="Z256" s="184"/>
      <c r="AA256" s="184"/>
    </row>
    <row r="257">
      <c r="A257" s="184"/>
      <c r="B257" s="184"/>
      <c r="C257" s="194"/>
      <c r="D257" s="194"/>
      <c r="E257" s="194"/>
      <c r="F257" s="194"/>
      <c r="G257" s="194"/>
      <c r="H257" s="184"/>
      <c r="I257" s="194"/>
      <c r="J257" s="194"/>
      <c r="K257" s="194"/>
      <c r="L257" s="184"/>
      <c r="M257" s="184"/>
      <c r="N257" s="184"/>
      <c r="O257" s="184"/>
      <c r="P257" s="184"/>
      <c r="Q257" s="184"/>
      <c r="R257" s="184"/>
      <c r="S257" s="184"/>
      <c r="T257" s="184"/>
      <c r="U257" s="184"/>
      <c r="V257" s="184"/>
      <c r="W257" s="184"/>
      <c r="X257" s="184"/>
      <c r="Y257" s="184"/>
      <c r="Z257" s="184"/>
      <c r="AA257" s="184"/>
    </row>
    <row r="258">
      <c r="A258" s="184"/>
      <c r="B258" s="184"/>
      <c r="C258" s="194"/>
      <c r="D258" s="194"/>
      <c r="E258" s="194"/>
      <c r="F258" s="194"/>
      <c r="G258" s="194"/>
      <c r="H258" s="184"/>
      <c r="I258" s="194"/>
      <c r="J258" s="194"/>
      <c r="K258" s="194"/>
      <c r="L258" s="184"/>
      <c r="M258" s="184"/>
      <c r="N258" s="184"/>
      <c r="O258" s="184"/>
      <c r="P258" s="184"/>
      <c r="Q258" s="184"/>
      <c r="R258" s="184"/>
      <c r="S258" s="184"/>
      <c r="T258" s="184"/>
      <c r="U258" s="184"/>
      <c r="V258" s="184"/>
      <c r="W258" s="184"/>
      <c r="X258" s="184"/>
      <c r="Y258" s="184"/>
      <c r="Z258" s="184"/>
      <c r="AA258" s="184"/>
    </row>
    <row r="259">
      <c r="A259" s="184"/>
      <c r="B259" s="184"/>
      <c r="C259" s="194"/>
      <c r="D259" s="194"/>
      <c r="E259" s="194"/>
      <c r="F259" s="194"/>
      <c r="G259" s="194"/>
      <c r="H259" s="184"/>
      <c r="I259" s="194"/>
      <c r="J259" s="194"/>
      <c r="K259" s="194"/>
      <c r="L259" s="184"/>
      <c r="M259" s="184"/>
      <c r="N259" s="184"/>
      <c r="O259" s="184"/>
      <c r="P259" s="184"/>
      <c r="Q259" s="184"/>
      <c r="R259" s="184"/>
      <c r="S259" s="184"/>
      <c r="T259" s="184"/>
      <c r="U259" s="184"/>
      <c r="V259" s="184"/>
      <c r="W259" s="184"/>
      <c r="X259" s="184"/>
      <c r="Y259" s="184"/>
      <c r="Z259" s="184"/>
      <c r="AA259" s="184"/>
    </row>
    <row r="260">
      <c r="A260" s="184"/>
      <c r="B260" s="184"/>
      <c r="C260" s="194"/>
      <c r="D260" s="194"/>
      <c r="E260" s="194"/>
      <c r="F260" s="194"/>
      <c r="G260" s="194"/>
      <c r="H260" s="184"/>
      <c r="I260" s="194"/>
      <c r="J260" s="194"/>
      <c r="K260" s="194"/>
      <c r="L260" s="184"/>
      <c r="M260" s="184"/>
      <c r="N260" s="184"/>
      <c r="O260" s="184"/>
      <c r="P260" s="184"/>
      <c r="Q260" s="184"/>
      <c r="R260" s="184"/>
      <c r="S260" s="184"/>
      <c r="T260" s="184"/>
      <c r="U260" s="184"/>
      <c r="V260" s="184"/>
      <c r="W260" s="184"/>
      <c r="X260" s="184"/>
      <c r="Y260" s="184"/>
      <c r="Z260" s="184"/>
      <c r="AA260" s="184"/>
    </row>
    <row r="261">
      <c r="A261" s="184"/>
      <c r="B261" s="184"/>
      <c r="C261" s="194"/>
      <c r="D261" s="194"/>
      <c r="E261" s="194"/>
      <c r="F261" s="194"/>
      <c r="G261" s="194"/>
      <c r="H261" s="184"/>
      <c r="I261" s="194"/>
      <c r="J261" s="194"/>
      <c r="K261" s="194"/>
      <c r="L261" s="184"/>
      <c r="M261" s="184"/>
      <c r="N261" s="184"/>
      <c r="O261" s="184"/>
      <c r="P261" s="184"/>
      <c r="Q261" s="184"/>
      <c r="R261" s="184"/>
      <c r="S261" s="184"/>
      <c r="T261" s="184"/>
      <c r="U261" s="184"/>
      <c r="V261" s="184"/>
      <c r="W261" s="184"/>
      <c r="X261" s="184"/>
      <c r="Y261" s="184"/>
      <c r="Z261" s="184"/>
      <c r="AA261" s="184"/>
    </row>
    <row r="262">
      <c r="A262" s="184"/>
      <c r="B262" s="184"/>
      <c r="C262" s="194"/>
      <c r="D262" s="194"/>
      <c r="E262" s="194"/>
      <c r="F262" s="194"/>
      <c r="G262" s="194"/>
      <c r="H262" s="184"/>
      <c r="I262" s="194"/>
      <c r="J262" s="194"/>
      <c r="K262" s="194"/>
      <c r="L262" s="184"/>
      <c r="M262" s="184"/>
      <c r="N262" s="184"/>
      <c r="O262" s="184"/>
      <c r="P262" s="184"/>
      <c r="Q262" s="184"/>
      <c r="R262" s="184"/>
      <c r="S262" s="184"/>
      <c r="T262" s="184"/>
      <c r="U262" s="184"/>
      <c r="V262" s="184"/>
      <c r="W262" s="184"/>
      <c r="X262" s="184"/>
      <c r="Y262" s="184"/>
      <c r="Z262" s="184"/>
      <c r="AA262" s="184"/>
    </row>
    <row r="263">
      <c r="A263" s="184"/>
      <c r="B263" s="184"/>
      <c r="C263" s="194"/>
      <c r="D263" s="194"/>
      <c r="E263" s="194"/>
      <c r="F263" s="194"/>
      <c r="G263" s="194"/>
      <c r="H263" s="184"/>
      <c r="I263" s="194"/>
      <c r="J263" s="194"/>
      <c r="K263" s="194"/>
      <c r="L263" s="184"/>
      <c r="M263" s="184"/>
      <c r="N263" s="184"/>
      <c r="O263" s="184"/>
      <c r="P263" s="184"/>
      <c r="Q263" s="184"/>
      <c r="R263" s="184"/>
      <c r="S263" s="184"/>
      <c r="T263" s="184"/>
      <c r="U263" s="184"/>
      <c r="V263" s="184"/>
      <c r="W263" s="184"/>
      <c r="X263" s="184"/>
      <c r="Y263" s="184"/>
      <c r="Z263" s="184"/>
      <c r="AA263" s="184"/>
    </row>
    <row r="264">
      <c r="A264" s="184"/>
      <c r="B264" s="184"/>
      <c r="C264" s="194"/>
      <c r="D264" s="194"/>
      <c r="E264" s="194"/>
      <c r="F264" s="194"/>
      <c r="G264" s="194"/>
      <c r="H264" s="184"/>
      <c r="I264" s="194"/>
      <c r="J264" s="194"/>
      <c r="K264" s="194"/>
      <c r="L264" s="184"/>
      <c r="M264" s="184"/>
      <c r="N264" s="184"/>
      <c r="O264" s="184"/>
      <c r="P264" s="184"/>
      <c r="Q264" s="184"/>
      <c r="R264" s="184"/>
      <c r="S264" s="184"/>
      <c r="T264" s="184"/>
      <c r="U264" s="184"/>
      <c r="V264" s="184"/>
      <c r="W264" s="184"/>
      <c r="X264" s="184"/>
      <c r="Y264" s="184"/>
      <c r="Z264" s="184"/>
      <c r="AA264" s="184"/>
    </row>
    <row r="265">
      <c r="A265" s="184"/>
      <c r="B265" s="184"/>
      <c r="C265" s="194"/>
      <c r="D265" s="194"/>
      <c r="E265" s="194"/>
      <c r="F265" s="194"/>
      <c r="G265" s="194"/>
      <c r="H265" s="184"/>
      <c r="I265" s="194"/>
      <c r="J265" s="194"/>
      <c r="K265" s="194"/>
      <c r="L265" s="184"/>
      <c r="M265" s="184"/>
      <c r="N265" s="184"/>
      <c r="O265" s="184"/>
      <c r="P265" s="184"/>
      <c r="Q265" s="184"/>
      <c r="R265" s="184"/>
      <c r="S265" s="184"/>
      <c r="T265" s="184"/>
      <c r="U265" s="184"/>
      <c r="V265" s="184"/>
      <c r="W265" s="184"/>
      <c r="X265" s="184"/>
      <c r="Y265" s="184"/>
      <c r="Z265" s="184"/>
      <c r="AA265" s="184"/>
    </row>
    <row r="266">
      <c r="A266" s="184"/>
      <c r="B266" s="184"/>
      <c r="C266" s="194"/>
      <c r="D266" s="194"/>
      <c r="E266" s="194"/>
      <c r="F266" s="194"/>
      <c r="G266" s="194"/>
      <c r="H266" s="184"/>
      <c r="I266" s="194"/>
      <c r="J266" s="194"/>
      <c r="K266" s="194"/>
      <c r="L266" s="184"/>
      <c r="M266" s="184"/>
      <c r="N266" s="184"/>
      <c r="O266" s="184"/>
      <c r="P266" s="184"/>
      <c r="Q266" s="184"/>
      <c r="R266" s="184"/>
      <c r="S266" s="184"/>
      <c r="T266" s="184"/>
      <c r="U266" s="184"/>
      <c r="V266" s="184"/>
      <c r="W266" s="184"/>
      <c r="X266" s="184"/>
      <c r="Y266" s="184"/>
      <c r="Z266" s="184"/>
      <c r="AA266" s="184"/>
    </row>
    <row r="267">
      <c r="A267" s="184"/>
      <c r="B267" s="184"/>
      <c r="C267" s="194"/>
      <c r="D267" s="194"/>
      <c r="E267" s="194"/>
      <c r="F267" s="194"/>
      <c r="G267" s="194"/>
      <c r="H267" s="184"/>
      <c r="I267" s="194"/>
      <c r="J267" s="194"/>
      <c r="K267" s="194"/>
      <c r="L267" s="184"/>
      <c r="M267" s="184"/>
      <c r="N267" s="184"/>
      <c r="O267" s="184"/>
      <c r="P267" s="184"/>
      <c r="Q267" s="184"/>
      <c r="R267" s="184"/>
      <c r="S267" s="184"/>
      <c r="T267" s="184"/>
      <c r="U267" s="184"/>
      <c r="V267" s="184"/>
      <c r="W267" s="184"/>
      <c r="X267" s="184"/>
      <c r="Y267" s="184"/>
      <c r="Z267" s="184"/>
      <c r="AA267" s="184"/>
    </row>
    <row r="268">
      <c r="A268" s="184"/>
      <c r="B268" s="184"/>
      <c r="C268" s="194"/>
      <c r="D268" s="194"/>
      <c r="E268" s="194"/>
      <c r="F268" s="194"/>
      <c r="G268" s="194"/>
      <c r="H268" s="184"/>
      <c r="I268" s="194"/>
      <c r="J268" s="194"/>
      <c r="K268" s="194"/>
      <c r="L268" s="184"/>
      <c r="M268" s="184"/>
      <c r="N268" s="184"/>
      <c r="O268" s="184"/>
      <c r="P268" s="184"/>
      <c r="Q268" s="184"/>
      <c r="R268" s="184"/>
      <c r="S268" s="184"/>
      <c r="T268" s="184"/>
      <c r="U268" s="184"/>
      <c r="V268" s="184"/>
      <c r="W268" s="184"/>
      <c r="X268" s="184"/>
      <c r="Y268" s="184"/>
      <c r="Z268" s="184"/>
      <c r="AA268" s="184"/>
    </row>
    <row r="269">
      <c r="A269" s="184"/>
      <c r="B269" s="184"/>
      <c r="C269" s="194"/>
      <c r="D269" s="194"/>
      <c r="E269" s="194"/>
      <c r="F269" s="194"/>
      <c r="G269" s="194"/>
      <c r="H269" s="184"/>
      <c r="I269" s="194"/>
      <c r="J269" s="194"/>
      <c r="K269" s="194"/>
      <c r="L269" s="184"/>
      <c r="M269" s="184"/>
      <c r="N269" s="184"/>
      <c r="O269" s="184"/>
      <c r="P269" s="184"/>
      <c r="Q269" s="184"/>
      <c r="R269" s="184"/>
      <c r="S269" s="184"/>
      <c r="T269" s="184"/>
      <c r="U269" s="184"/>
      <c r="V269" s="184"/>
      <c r="W269" s="184"/>
      <c r="X269" s="184"/>
      <c r="Y269" s="184"/>
      <c r="Z269" s="184"/>
      <c r="AA269" s="184"/>
    </row>
    <row r="270">
      <c r="A270" s="184"/>
      <c r="B270" s="184"/>
      <c r="C270" s="194"/>
      <c r="D270" s="194"/>
      <c r="E270" s="194"/>
      <c r="F270" s="194"/>
      <c r="G270" s="194"/>
      <c r="H270" s="184"/>
      <c r="I270" s="194"/>
      <c r="J270" s="194"/>
      <c r="K270" s="194"/>
      <c r="L270" s="184"/>
      <c r="M270" s="184"/>
      <c r="N270" s="184"/>
      <c r="O270" s="184"/>
      <c r="P270" s="184"/>
      <c r="Q270" s="184"/>
      <c r="R270" s="184"/>
      <c r="S270" s="184"/>
      <c r="T270" s="184"/>
      <c r="U270" s="184"/>
      <c r="V270" s="184"/>
      <c r="W270" s="184"/>
      <c r="X270" s="184"/>
      <c r="Y270" s="184"/>
      <c r="Z270" s="184"/>
      <c r="AA270" s="184"/>
    </row>
    <row r="271">
      <c r="A271" s="184"/>
      <c r="B271" s="184"/>
      <c r="C271" s="194"/>
      <c r="D271" s="194"/>
      <c r="E271" s="194"/>
      <c r="F271" s="194"/>
      <c r="G271" s="194"/>
      <c r="H271" s="184"/>
      <c r="I271" s="194"/>
      <c r="J271" s="194"/>
      <c r="K271" s="194"/>
      <c r="L271" s="184"/>
      <c r="M271" s="184"/>
      <c r="N271" s="184"/>
      <c r="O271" s="184"/>
      <c r="P271" s="184"/>
      <c r="Q271" s="184"/>
      <c r="R271" s="184"/>
      <c r="S271" s="184"/>
      <c r="T271" s="184"/>
      <c r="U271" s="184"/>
      <c r="V271" s="184"/>
      <c r="W271" s="184"/>
      <c r="X271" s="184"/>
      <c r="Y271" s="184"/>
      <c r="Z271" s="184"/>
      <c r="AA271" s="184"/>
    </row>
    <row r="272">
      <c r="A272" s="184"/>
      <c r="B272" s="184"/>
      <c r="C272" s="194"/>
      <c r="D272" s="194"/>
      <c r="E272" s="194"/>
      <c r="F272" s="194"/>
      <c r="G272" s="194"/>
      <c r="H272" s="184"/>
      <c r="I272" s="194"/>
      <c r="J272" s="194"/>
      <c r="K272" s="194"/>
      <c r="L272" s="184"/>
      <c r="M272" s="184"/>
      <c r="N272" s="184"/>
      <c r="O272" s="184"/>
      <c r="P272" s="184"/>
      <c r="Q272" s="184"/>
      <c r="R272" s="184"/>
      <c r="S272" s="184"/>
      <c r="T272" s="184"/>
      <c r="U272" s="184"/>
      <c r="V272" s="184"/>
      <c r="W272" s="184"/>
      <c r="X272" s="184"/>
      <c r="Y272" s="184"/>
      <c r="Z272" s="184"/>
      <c r="AA272" s="184"/>
    </row>
    <row r="273">
      <c r="A273" s="184"/>
      <c r="B273" s="184"/>
      <c r="C273" s="194"/>
      <c r="D273" s="194"/>
      <c r="E273" s="194"/>
      <c r="F273" s="194"/>
      <c r="G273" s="194"/>
      <c r="H273" s="184"/>
      <c r="I273" s="194"/>
      <c r="J273" s="194"/>
      <c r="K273" s="194"/>
      <c r="L273" s="184"/>
      <c r="M273" s="184"/>
      <c r="N273" s="184"/>
      <c r="O273" s="184"/>
      <c r="P273" s="184"/>
      <c r="Q273" s="184"/>
      <c r="R273" s="184"/>
      <c r="S273" s="184"/>
      <c r="T273" s="184"/>
      <c r="U273" s="184"/>
      <c r="V273" s="184"/>
      <c r="W273" s="184"/>
      <c r="X273" s="184"/>
      <c r="Y273" s="184"/>
      <c r="Z273" s="184"/>
      <c r="AA273" s="184"/>
    </row>
    <row r="274">
      <c r="A274" s="184"/>
      <c r="B274" s="184"/>
      <c r="C274" s="194"/>
      <c r="D274" s="194"/>
      <c r="E274" s="194"/>
      <c r="F274" s="194"/>
      <c r="G274" s="194"/>
      <c r="H274" s="184"/>
      <c r="I274" s="194"/>
      <c r="J274" s="194"/>
      <c r="K274" s="194"/>
      <c r="L274" s="184"/>
      <c r="M274" s="184"/>
      <c r="N274" s="184"/>
      <c r="O274" s="184"/>
      <c r="P274" s="184"/>
      <c r="Q274" s="184"/>
      <c r="R274" s="184"/>
      <c r="S274" s="184"/>
      <c r="T274" s="184"/>
      <c r="U274" s="184"/>
      <c r="V274" s="184"/>
      <c r="W274" s="184"/>
      <c r="X274" s="184"/>
      <c r="Y274" s="184"/>
      <c r="Z274" s="184"/>
      <c r="AA274" s="184"/>
    </row>
    <row r="275">
      <c r="A275" s="184"/>
      <c r="B275" s="184"/>
      <c r="C275" s="194"/>
      <c r="D275" s="194"/>
      <c r="E275" s="194"/>
      <c r="F275" s="194"/>
      <c r="G275" s="194"/>
      <c r="H275" s="184"/>
      <c r="I275" s="194"/>
      <c r="J275" s="194"/>
      <c r="K275" s="194"/>
      <c r="L275" s="184"/>
      <c r="M275" s="184"/>
      <c r="N275" s="184"/>
      <c r="O275" s="184"/>
      <c r="P275" s="184"/>
      <c r="Q275" s="184"/>
      <c r="R275" s="184"/>
      <c r="S275" s="184"/>
      <c r="T275" s="184"/>
      <c r="U275" s="184"/>
      <c r="V275" s="184"/>
      <c r="W275" s="184"/>
      <c r="X275" s="184"/>
      <c r="Y275" s="184"/>
      <c r="Z275" s="184"/>
      <c r="AA275" s="184"/>
    </row>
    <row r="276">
      <c r="A276" s="184"/>
      <c r="B276" s="184"/>
      <c r="C276" s="194"/>
      <c r="D276" s="194"/>
      <c r="E276" s="194"/>
      <c r="F276" s="194"/>
      <c r="G276" s="194"/>
      <c r="H276" s="184"/>
      <c r="I276" s="194"/>
      <c r="J276" s="194"/>
      <c r="K276" s="194"/>
      <c r="L276" s="184"/>
      <c r="M276" s="184"/>
      <c r="N276" s="184"/>
      <c r="O276" s="184"/>
      <c r="P276" s="184"/>
      <c r="Q276" s="184"/>
      <c r="R276" s="184"/>
      <c r="S276" s="184"/>
      <c r="T276" s="184"/>
      <c r="U276" s="184"/>
      <c r="V276" s="184"/>
      <c r="W276" s="184"/>
      <c r="X276" s="184"/>
      <c r="Y276" s="184"/>
      <c r="Z276" s="184"/>
      <c r="AA276" s="184"/>
    </row>
    <row r="277">
      <c r="A277" s="184"/>
      <c r="B277" s="184"/>
      <c r="C277" s="194"/>
      <c r="D277" s="194"/>
      <c r="E277" s="194"/>
      <c r="F277" s="194"/>
      <c r="G277" s="194"/>
      <c r="H277" s="184"/>
      <c r="I277" s="194"/>
      <c r="J277" s="194"/>
      <c r="K277" s="194"/>
      <c r="L277" s="184"/>
      <c r="M277" s="184"/>
      <c r="N277" s="184"/>
      <c r="O277" s="184"/>
      <c r="P277" s="184"/>
      <c r="Q277" s="184"/>
      <c r="R277" s="184"/>
      <c r="S277" s="184"/>
      <c r="T277" s="184"/>
      <c r="U277" s="184"/>
      <c r="V277" s="184"/>
      <c r="W277" s="184"/>
      <c r="X277" s="184"/>
      <c r="Y277" s="184"/>
      <c r="Z277" s="184"/>
      <c r="AA277" s="184"/>
    </row>
    <row r="278">
      <c r="A278" s="184"/>
      <c r="B278" s="184"/>
      <c r="C278" s="194"/>
      <c r="D278" s="194"/>
      <c r="E278" s="194"/>
      <c r="F278" s="194"/>
      <c r="G278" s="194"/>
      <c r="H278" s="184"/>
      <c r="I278" s="194"/>
      <c r="J278" s="194"/>
      <c r="K278" s="194"/>
      <c r="L278" s="184"/>
      <c r="M278" s="184"/>
      <c r="N278" s="184"/>
      <c r="O278" s="184"/>
      <c r="P278" s="184"/>
      <c r="Q278" s="184"/>
      <c r="R278" s="184"/>
      <c r="S278" s="184"/>
      <c r="T278" s="184"/>
      <c r="U278" s="184"/>
      <c r="V278" s="184"/>
      <c r="W278" s="184"/>
      <c r="X278" s="184"/>
      <c r="Y278" s="184"/>
      <c r="Z278" s="184"/>
      <c r="AA278" s="184"/>
    </row>
    <row r="279">
      <c r="A279" s="184"/>
      <c r="B279" s="184"/>
      <c r="C279" s="194"/>
      <c r="D279" s="194"/>
      <c r="E279" s="194"/>
      <c r="F279" s="194"/>
      <c r="G279" s="194"/>
      <c r="H279" s="184"/>
      <c r="I279" s="194"/>
      <c r="J279" s="194"/>
      <c r="K279" s="194"/>
      <c r="L279" s="184"/>
      <c r="M279" s="184"/>
      <c r="N279" s="184"/>
      <c r="O279" s="184"/>
      <c r="P279" s="184"/>
      <c r="Q279" s="184"/>
      <c r="R279" s="184"/>
      <c r="S279" s="184"/>
      <c r="T279" s="184"/>
      <c r="U279" s="184"/>
      <c r="V279" s="184"/>
      <c r="W279" s="184"/>
      <c r="X279" s="184"/>
      <c r="Y279" s="184"/>
      <c r="Z279" s="184"/>
      <c r="AA279" s="184"/>
    </row>
    <row r="280">
      <c r="A280" s="184"/>
      <c r="B280" s="184"/>
      <c r="C280" s="194"/>
      <c r="D280" s="194"/>
      <c r="E280" s="194"/>
      <c r="F280" s="194"/>
      <c r="G280" s="194"/>
      <c r="H280" s="184"/>
      <c r="I280" s="194"/>
      <c r="J280" s="194"/>
      <c r="K280" s="194"/>
      <c r="L280" s="184"/>
      <c r="M280" s="184"/>
      <c r="N280" s="184"/>
      <c r="O280" s="184"/>
      <c r="P280" s="184"/>
      <c r="Q280" s="184"/>
      <c r="R280" s="184"/>
      <c r="S280" s="184"/>
      <c r="T280" s="184"/>
      <c r="U280" s="184"/>
      <c r="V280" s="184"/>
      <c r="W280" s="184"/>
      <c r="X280" s="184"/>
      <c r="Y280" s="184"/>
      <c r="Z280" s="184"/>
      <c r="AA280" s="184"/>
    </row>
    <row r="281">
      <c r="A281" s="184"/>
      <c r="B281" s="184"/>
      <c r="C281" s="194"/>
      <c r="D281" s="194"/>
      <c r="E281" s="194"/>
      <c r="F281" s="194"/>
      <c r="G281" s="194"/>
      <c r="H281" s="184"/>
      <c r="I281" s="194"/>
      <c r="J281" s="194"/>
      <c r="K281" s="194"/>
      <c r="L281" s="184"/>
      <c r="M281" s="184"/>
      <c r="N281" s="184"/>
      <c r="O281" s="184"/>
      <c r="P281" s="184"/>
      <c r="Q281" s="184"/>
      <c r="R281" s="184"/>
      <c r="S281" s="184"/>
      <c r="T281" s="184"/>
      <c r="U281" s="184"/>
      <c r="V281" s="184"/>
      <c r="W281" s="184"/>
      <c r="X281" s="184"/>
      <c r="Y281" s="184"/>
      <c r="Z281" s="184"/>
      <c r="AA281" s="184"/>
    </row>
    <row r="282">
      <c r="A282" s="184"/>
      <c r="B282" s="184"/>
      <c r="C282" s="194"/>
      <c r="D282" s="194"/>
      <c r="E282" s="194"/>
      <c r="F282" s="194"/>
      <c r="G282" s="194"/>
      <c r="H282" s="184"/>
      <c r="I282" s="194"/>
      <c r="J282" s="194"/>
      <c r="K282" s="194"/>
      <c r="L282" s="184"/>
      <c r="M282" s="184"/>
      <c r="N282" s="184"/>
      <c r="O282" s="184"/>
      <c r="P282" s="184"/>
      <c r="Q282" s="184"/>
      <c r="R282" s="184"/>
      <c r="S282" s="184"/>
      <c r="T282" s="184"/>
      <c r="U282" s="184"/>
      <c r="V282" s="184"/>
      <c r="W282" s="184"/>
      <c r="X282" s="184"/>
      <c r="Y282" s="184"/>
      <c r="Z282" s="184"/>
      <c r="AA282" s="184"/>
    </row>
    <row r="283">
      <c r="A283" s="184"/>
      <c r="B283" s="184"/>
      <c r="C283" s="194"/>
      <c r="D283" s="194"/>
      <c r="E283" s="194"/>
      <c r="F283" s="194"/>
      <c r="G283" s="194"/>
      <c r="H283" s="184"/>
      <c r="I283" s="194"/>
      <c r="J283" s="194"/>
      <c r="K283" s="194"/>
      <c r="L283" s="184"/>
      <c r="M283" s="184"/>
      <c r="N283" s="184"/>
      <c r="O283" s="184"/>
      <c r="P283" s="184"/>
      <c r="Q283" s="184"/>
      <c r="R283" s="184"/>
      <c r="S283" s="184"/>
      <c r="T283" s="184"/>
      <c r="U283" s="184"/>
      <c r="V283" s="184"/>
      <c r="W283" s="184"/>
      <c r="X283" s="184"/>
      <c r="Y283" s="184"/>
      <c r="Z283" s="184"/>
      <c r="AA283" s="184"/>
    </row>
    <row r="284">
      <c r="A284" s="184"/>
      <c r="B284" s="184"/>
      <c r="C284" s="194"/>
      <c r="D284" s="194"/>
      <c r="E284" s="194"/>
      <c r="F284" s="194"/>
      <c r="G284" s="194"/>
      <c r="H284" s="184"/>
      <c r="I284" s="194"/>
      <c r="J284" s="194"/>
      <c r="K284" s="194"/>
      <c r="L284" s="184"/>
      <c r="M284" s="184"/>
      <c r="N284" s="184"/>
      <c r="O284" s="184"/>
      <c r="P284" s="184"/>
      <c r="Q284" s="184"/>
      <c r="R284" s="184"/>
      <c r="S284" s="184"/>
      <c r="T284" s="184"/>
      <c r="U284" s="184"/>
      <c r="V284" s="184"/>
      <c r="W284" s="184"/>
      <c r="X284" s="184"/>
      <c r="Y284" s="184"/>
      <c r="Z284" s="184"/>
      <c r="AA284" s="184"/>
    </row>
    <row r="285">
      <c r="A285" s="184"/>
      <c r="B285" s="184"/>
      <c r="C285" s="194"/>
      <c r="D285" s="194"/>
      <c r="E285" s="194"/>
      <c r="F285" s="194"/>
      <c r="G285" s="194"/>
      <c r="H285" s="184"/>
      <c r="I285" s="194"/>
      <c r="J285" s="194"/>
      <c r="K285" s="194"/>
      <c r="L285" s="184"/>
      <c r="M285" s="184"/>
      <c r="N285" s="184"/>
      <c r="O285" s="184"/>
      <c r="P285" s="184"/>
      <c r="Q285" s="184"/>
      <c r="R285" s="184"/>
      <c r="S285" s="184"/>
      <c r="T285" s="184"/>
      <c r="U285" s="184"/>
      <c r="V285" s="184"/>
      <c r="W285" s="184"/>
      <c r="X285" s="184"/>
      <c r="Y285" s="184"/>
      <c r="Z285" s="184"/>
      <c r="AA285" s="184"/>
    </row>
    <row r="286">
      <c r="A286" s="184"/>
      <c r="B286" s="184"/>
      <c r="C286" s="194"/>
      <c r="D286" s="194"/>
      <c r="E286" s="194"/>
      <c r="F286" s="194"/>
      <c r="G286" s="194"/>
      <c r="H286" s="184"/>
      <c r="I286" s="194"/>
      <c r="J286" s="194"/>
      <c r="K286" s="194"/>
      <c r="L286" s="184"/>
      <c r="M286" s="184"/>
      <c r="N286" s="184"/>
      <c r="O286" s="184"/>
      <c r="P286" s="184"/>
      <c r="Q286" s="184"/>
      <c r="R286" s="184"/>
      <c r="S286" s="184"/>
      <c r="T286" s="184"/>
      <c r="U286" s="184"/>
      <c r="V286" s="184"/>
      <c r="W286" s="184"/>
      <c r="X286" s="184"/>
      <c r="Y286" s="184"/>
      <c r="Z286" s="184"/>
      <c r="AA286" s="184"/>
    </row>
    <row r="287">
      <c r="A287" s="184"/>
      <c r="B287" s="184"/>
      <c r="C287" s="194"/>
      <c r="D287" s="194"/>
      <c r="E287" s="194"/>
      <c r="F287" s="194"/>
      <c r="G287" s="194"/>
      <c r="H287" s="184"/>
      <c r="I287" s="194"/>
      <c r="J287" s="194"/>
      <c r="K287" s="194"/>
      <c r="L287" s="184"/>
      <c r="M287" s="184"/>
      <c r="N287" s="184"/>
      <c r="O287" s="184"/>
      <c r="P287" s="184"/>
      <c r="Q287" s="184"/>
      <c r="R287" s="184"/>
      <c r="S287" s="184"/>
      <c r="T287" s="184"/>
      <c r="U287" s="184"/>
      <c r="V287" s="184"/>
      <c r="W287" s="184"/>
      <c r="X287" s="184"/>
      <c r="Y287" s="184"/>
      <c r="Z287" s="184"/>
      <c r="AA287" s="184"/>
    </row>
    <row r="288">
      <c r="A288" s="184"/>
      <c r="B288" s="184"/>
      <c r="C288" s="194"/>
      <c r="D288" s="194"/>
      <c r="E288" s="194"/>
      <c r="F288" s="194"/>
      <c r="G288" s="194"/>
      <c r="H288" s="184"/>
      <c r="I288" s="194"/>
      <c r="J288" s="194"/>
      <c r="K288" s="194"/>
      <c r="L288" s="184"/>
      <c r="M288" s="184"/>
      <c r="N288" s="184"/>
      <c r="O288" s="184"/>
      <c r="P288" s="184"/>
      <c r="Q288" s="184"/>
      <c r="R288" s="184"/>
      <c r="S288" s="184"/>
      <c r="T288" s="184"/>
      <c r="U288" s="184"/>
      <c r="V288" s="184"/>
      <c r="W288" s="184"/>
      <c r="X288" s="184"/>
      <c r="Y288" s="184"/>
      <c r="Z288" s="184"/>
      <c r="AA288" s="184"/>
    </row>
    <row r="289">
      <c r="A289" s="184"/>
      <c r="B289" s="184"/>
      <c r="C289" s="194"/>
      <c r="D289" s="194"/>
      <c r="E289" s="194"/>
      <c r="F289" s="194"/>
      <c r="G289" s="194"/>
      <c r="H289" s="184"/>
      <c r="I289" s="194"/>
      <c r="J289" s="194"/>
      <c r="K289" s="194"/>
      <c r="L289" s="184"/>
      <c r="M289" s="184"/>
      <c r="N289" s="184"/>
      <c r="O289" s="184"/>
      <c r="P289" s="184"/>
      <c r="Q289" s="184"/>
      <c r="R289" s="184"/>
      <c r="S289" s="184"/>
      <c r="T289" s="184"/>
      <c r="U289" s="184"/>
      <c r="V289" s="184"/>
      <c r="W289" s="184"/>
      <c r="X289" s="184"/>
      <c r="Y289" s="184"/>
      <c r="Z289" s="184"/>
      <c r="AA289" s="184"/>
    </row>
    <row r="290">
      <c r="A290" s="184"/>
      <c r="B290" s="184"/>
      <c r="C290" s="194"/>
      <c r="D290" s="194"/>
      <c r="E290" s="194"/>
      <c r="F290" s="194"/>
      <c r="G290" s="194"/>
      <c r="H290" s="184"/>
      <c r="I290" s="194"/>
      <c r="J290" s="194"/>
      <c r="K290" s="194"/>
      <c r="L290" s="184"/>
      <c r="M290" s="184"/>
      <c r="N290" s="184"/>
      <c r="O290" s="184"/>
      <c r="P290" s="184"/>
      <c r="Q290" s="184"/>
      <c r="R290" s="184"/>
      <c r="S290" s="184"/>
      <c r="T290" s="184"/>
      <c r="U290" s="184"/>
      <c r="V290" s="184"/>
      <c r="W290" s="184"/>
      <c r="X290" s="184"/>
      <c r="Y290" s="184"/>
      <c r="Z290" s="184"/>
      <c r="AA290" s="184"/>
    </row>
    <row r="291">
      <c r="A291" s="184"/>
      <c r="B291" s="184"/>
      <c r="C291" s="194"/>
      <c r="D291" s="194"/>
      <c r="E291" s="194"/>
      <c r="F291" s="194"/>
      <c r="G291" s="194"/>
      <c r="H291" s="184"/>
      <c r="I291" s="194"/>
      <c r="J291" s="194"/>
      <c r="K291" s="194"/>
      <c r="L291" s="184"/>
      <c r="M291" s="184"/>
      <c r="N291" s="184"/>
      <c r="O291" s="184"/>
      <c r="P291" s="184"/>
      <c r="Q291" s="184"/>
      <c r="R291" s="184"/>
      <c r="S291" s="184"/>
      <c r="T291" s="184"/>
      <c r="U291" s="184"/>
      <c r="V291" s="184"/>
      <c r="W291" s="184"/>
      <c r="X291" s="184"/>
      <c r="Y291" s="184"/>
      <c r="Z291" s="184"/>
      <c r="AA291" s="184"/>
    </row>
    <row r="292">
      <c r="A292" s="184"/>
      <c r="B292" s="184"/>
      <c r="C292" s="194"/>
      <c r="D292" s="194"/>
      <c r="E292" s="194"/>
      <c r="F292" s="194"/>
      <c r="G292" s="194"/>
      <c r="H292" s="184"/>
      <c r="I292" s="194"/>
      <c r="J292" s="194"/>
      <c r="K292" s="194"/>
      <c r="L292" s="184"/>
      <c r="M292" s="184"/>
      <c r="N292" s="184"/>
      <c r="O292" s="184"/>
      <c r="P292" s="184"/>
      <c r="Q292" s="184"/>
      <c r="R292" s="184"/>
      <c r="S292" s="184"/>
      <c r="T292" s="184"/>
      <c r="U292" s="184"/>
      <c r="V292" s="184"/>
      <c r="W292" s="184"/>
      <c r="X292" s="184"/>
      <c r="Y292" s="184"/>
      <c r="Z292" s="184"/>
      <c r="AA292" s="184"/>
    </row>
    <row r="293">
      <c r="A293" s="184"/>
      <c r="B293" s="184"/>
      <c r="C293" s="194"/>
      <c r="D293" s="194"/>
      <c r="E293" s="194"/>
      <c r="F293" s="194"/>
      <c r="G293" s="194"/>
      <c r="H293" s="184"/>
      <c r="I293" s="194"/>
      <c r="J293" s="194"/>
      <c r="K293" s="194"/>
      <c r="L293" s="184"/>
      <c r="M293" s="184"/>
      <c r="N293" s="184"/>
      <c r="O293" s="184"/>
      <c r="P293" s="184"/>
      <c r="Q293" s="184"/>
      <c r="R293" s="184"/>
      <c r="S293" s="184"/>
      <c r="T293" s="184"/>
      <c r="U293" s="184"/>
      <c r="V293" s="184"/>
      <c r="W293" s="184"/>
      <c r="X293" s="184"/>
      <c r="Y293" s="184"/>
      <c r="Z293" s="184"/>
      <c r="AA293" s="184"/>
    </row>
    <row r="294">
      <c r="A294" s="184"/>
      <c r="B294" s="184"/>
      <c r="C294" s="194"/>
      <c r="D294" s="194"/>
      <c r="E294" s="194"/>
      <c r="F294" s="194"/>
      <c r="G294" s="194"/>
      <c r="H294" s="184"/>
      <c r="I294" s="194"/>
      <c r="J294" s="194"/>
      <c r="K294" s="194"/>
      <c r="L294" s="184"/>
      <c r="M294" s="184"/>
      <c r="N294" s="184"/>
      <c r="O294" s="184"/>
      <c r="P294" s="184"/>
      <c r="Q294" s="184"/>
      <c r="R294" s="184"/>
      <c r="S294" s="184"/>
      <c r="T294" s="184"/>
      <c r="U294" s="184"/>
      <c r="V294" s="184"/>
      <c r="W294" s="184"/>
      <c r="X294" s="184"/>
      <c r="Y294" s="184"/>
      <c r="Z294" s="184"/>
      <c r="AA294" s="184"/>
    </row>
    <row r="295">
      <c r="A295" s="184"/>
      <c r="B295" s="184"/>
      <c r="C295" s="194"/>
      <c r="D295" s="194"/>
      <c r="E295" s="194"/>
      <c r="F295" s="194"/>
      <c r="G295" s="194"/>
      <c r="H295" s="184"/>
      <c r="I295" s="194"/>
      <c r="J295" s="194"/>
      <c r="K295" s="194"/>
      <c r="L295" s="184"/>
      <c r="M295" s="184"/>
      <c r="N295" s="184"/>
      <c r="O295" s="184"/>
      <c r="P295" s="184"/>
      <c r="Q295" s="184"/>
      <c r="R295" s="184"/>
      <c r="S295" s="184"/>
      <c r="T295" s="184"/>
      <c r="U295" s="184"/>
      <c r="V295" s="184"/>
      <c r="W295" s="184"/>
      <c r="X295" s="184"/>
      <c r="Y295" s="184"/>
      <c r="Z295" s="184"/>
      <c r="AA295" s="184"/>
    </row>
    <row r="296">
      <c r="A296" s="184"/>
      <c r="B296" s="184"/>
      <c r="C296" s="194"/>
      <c r="D296" s="194"/>
      <c r="E296" s="194"/>
      <c r="F296" s="194"/>
      <c r="G296" s="194"/>
      <c r="H296" s="184"/>
      <c r="I296" s="194"/>
      <c r="J296" s="194"/>
      <c r="K296" s="194"/>
      <c r="L296" s="184"/>
      <c r="M296" s="184"/>
      <c r="N296" s="184"/>
      <c r="O296" s="184"/>
      <c r="P296" s="184"/>
      <c r="Q296" s="184"/>
      <c r="R296" s="184"/>
      <c r="S296" s="184"/>
      <c r="T296" s="184"/>
      <c r="U296" s="184"/>
      <c r="V296" s="184"/>
      <c r="W296" s="184"/>
      <c r="X296" s="184"/>
      <c r="Y296" s="184"/>
      <c r="Z296" s="184"/>
      <c r="AA296" s="184"/>
    </row>
    <row r="297">
      <c r="A297" s="184"/>
      <c r="B297" s="184"/>
      <c r="C297" s="194"/>
      <c r="D297" s="194"/>
      <c r="E297" s="194"/>
      <c r="F297" s="194"/>
      <c r="G297" s="194"/>
      <c r="H297" s="184"/>
      <c r="I297" s="194"/>
      <c r="J297" s="194"/>
      <c r="K297" s="194"/>
      <c r="L297" s="184"/>
      <c r="M297" s="184"/>
      <c r="N297" s="184"/>
      <c r="O297" s="184"/>
      <c r="P297" s="184"/>
      <c r="Q297" s="184"/>
      <c r="R297" s="184"/>
      <c r="S297" s="184"/>
      <c r="T297" s="184"/>
      <c r="U297" s="184"/>
      <c r="V297" s="184"/>
      <c r="W297" s="184"/>
      <c r="X297" s="184"/>
      <c r="Y297" s="184"/>
      <c r="Z297" s="184"/>
      <c r="AA297" s="184"/>
    </row>
    <row r="298">
      <c r="A298" s="184"/>
      <c r="B298" s="184"/>
      <c r="C298" s="194"/>
      <c r="D298" s="194"/>
      <c r="E298" s="194"/>
      <c r="F298" s="194"/>
      <c r="G298" s="194"/>
      <c r="H298" s="184"/>
      <c r="I298" s="194"/>
      <c r="J298" s="194"/>
      <c r="K298" s="194"/>
      <c r="L298" s="184"/>
      <c r="M298" s="184"/>
      <c r="N298" s="184"/>
      <c r="O298" s="184"/>
      <c r="P298" s="184"/>
      <c r="Q298" s="184"/>
      <c r="R298" s="184"/>
      <c r="S298" s="184"/>
      <c r="T298" s="184"/>
      <c r="U298" s="184"/>
      <c r="V298" s="184"/>
      <c r="W298" s="184"/>
      <c r="X298" s="184"/>
      <c r="Y298" s="184"/>
      <c r="Z298" s="184"/>
      <c r="AA298" s="184"/>
    </row>
    <row r="299">
      <c r="A299" s="184"/>
      <c r="B299" s="184"/>
      <c r="C299" s="194"/>
      <c r="D299" s="194"/>
      <c r="E299" s="194"/>
      <c r="F299" s="194"/>
      <c r="G299" s="194"/>
      <c r="H299" s="184"/>
      <c r="I299" s="194"/>
      <c r="J299" s="194"/>
      <c r="K299" s="194"/>
      <c r="L299" s="184"/>
      <c r="M299" s="184"/>
      <c r="N299" s="184"/>
      <c r="O299" s="184"/>
      <c r="P299" s="184"/>
      <c r="Q299" s="184"/>
      <c r="R299" s="184"/>
      <c r="S299" s="184"/>
      <c r="T299" s="184"/>
      <c r="U299" s="184"/>
      <c r="V299" s="184"/>
      <c r="W299" s="184"/>
      <c r="X299" s="184"/>
      <c r="Y299" s="184"/>
      <c r="Z299" s="184"/>
      <c r="AA299" s="184"/>
    </row>
    <row r="300">
      <c r="A300" s="184"/>
      <c r="B300" s="184"/>
      <c r="C300" s="194"/>
      <c r="D300" s="194"/>
      <c r="E300" s="194"/>
      <c r="F300" s="194"/>
      <c r="G300" s="194"/>
      <c r="H300" s="184"/>
      <c r="I300" s="194"/>
      <c r="J300" s="194"/>
      <c r="K300" s="194"/>
      <c r="L300" s="184"/>
      <c r="M300" s="184"/>
      <c r="N300" s="184"/>
      <c r="O300" s="184"/>
      <c r="P300" s="184"/>
      <c r="Q300" s="184"/>
      <c r="R300" s="184"/>
      <c r="S300" s="184"/>
      <c r="T300" s="184"/>
      <c r="U300" s="184"/>
      <c r="V300" s="184"/>
      <c r="W300" s="184"/>
      <c r="X300" s="184"/>
      <c r="Y300" s="184"/>
      <c r="Z300" s="184"/>
      <c r="AA300" s="184"/>
    </row>
    <row r="301">
      <c r="A301" s="184"/>
      <c r="B301" s="184"/>
      <c r="C301" s="194"/>
      <c r="D301" s="194"/>
      <c r="E301" s="194"/>
      <c r="F301" s="194"/>
      <c r="G301" s="194"/>
      <c r="H301" s="184"/>
      <c r="I301" s="194"/>
      <c r="J301" s="194"/>
      <c r="K301" s="194"/>
      <c r="L301" s="184"/>
      <c r="M301" s="184"/>
      <c r="N301" s="184"/>
      <c r="O301" s="184"/>
      <c r="P301" s="184"/>
      <c r="Q301" s="184"/>
      <c r="R301" s="184"/>
      <c r="S301" s="184"/>
      <c r="T301" s="184"/>
      <c r="U301" s="184"/>
      <c r="V301" s="184"/>
      <c r="W301" s="184"/>
      <c r="X301" s="184"/>
      <c r="Y301" s="184"/>
      <c r="Z301" s="184"/>
      <c r="AA301" s="184"/>
    </row>
    <row r="302">
      <c r="A302" s="184"/>
      <c r="B302" s="184"/>
      <c r="C302" s="194"/>
      <c r="D302" s="194"/>
      <c r="E302" s="194"/>
      <c r="F302" s="194"/>
      <c r="G302" s="194"/>
      <c r="H302" s="184"/>
      <c r="I302" s="194"/>
      <c r="J302" s="194"/>
      <c r="K302" s="194"/>
      <c r="L302" s="184"/>
      <c r="M302" s="184"/>
      <c r="N302" s="184"/>
      <c r="O302" s="184"/>
      <c r="P302" s="184"/>
      <c r="Q302" s="184"/>
      <c r="R302" s="184"/>
      <c r="S302" s="184"/>
      <c r="T302" s="184"/>
      <c r="U302" s="184"/>
      <c r="V302" s="184"/>
      <c r="W302" s="184"/>
      <c r="X302" s="184"/>
      <c r="Y302" s="184"/>
      <c r="Z302" s="184"/>
      <c r="AA302" s="184"/>
    </row>
    <row r="303">
      <c r="A303" s="184"/>
      <c r="B303" s="184"/>
      <c r="C303" s="194"/>
      <c r="D303" s="194"/>
      <c r="E303" s="194"/>
      <c r="F303" s="194"/>
      <c r="G303" s="194"/>
      <c r="H303" s="184"/>
      <c r="I303" s="194"/>
      <c r="J303" s="194"/>
      <c r="K303" s="194"/>
      <c r="L303" s="184"/>
      <c r="M303" s="184"/>
      <c r="N303" s="184"/>
      <c r="O303" s="184"/>
      <c r="P303" s="184"/>
      <c r="Q303" s="184"/>
      <c r="R303" s="184"/>
      <c r="S303" s="184"/>
      <c r="T303" s="184"/>
      <c r="U303" s="184"/>
      <c r="V303" s="184"/>
      <c r="W303" s="184"/>
      <c r="X303" s="184"/>
      <c r="Y303" s="184"/>
      <c r="Z303" s="184"/>
      <c r="AA303" s="184"/>
    </row>
    <row r="304">
      <c r="A304" s="184"/>
      <c r="B304" s="184"/>
      <c r="C304" s="194"/>
      <c r="D304" s="194"/>
      <c r="E304" s="194"/>
      <c r="F304" s="194"/>
      <c r="G304" s="194"/>
      <c r="H304" s="184"/>
      <c r="I304" s="194"/>
      <c r="J304" s="194"/>
      <c r="K304" s="194"/>
      <c r="L304" s="184"/>
      <c r="M304" s="184"/>
      <c r="N304" s="184"/>
      <c r="O304" s="184"/>
      <c r="P304" s="184"/>
      <c r="Q304" s="184"/>
      <c r="R304" s="184"/>
      <c r="S304" s="184"/>
      <c r="T304" s="184"/>
      <c r="U304" s="184"/>
      <c r="V304" s="184"/>
      <c r="W304" s="184"/>
      <c r="X304" s="184"/>
      <c r="Y304" s="184"/>
      <c r="Z304" s="184"/>
      <c r="AA304" s="184"/>
    </row>
    <row r="305">
      <c r="A305" s="184"/>
      <c r="B305" s="184"/>
      <c r="C305" s="194"/>
      <c r="D305" s="194"/>
      <c r="E305" s="194"/>
      <c r="F305" s="194"/>
      <c r="G305" s="194"/>
      <c r="H305" s="184"/>
      <c r="I305" s="194"/>
      <c r="J305" s="194"/>
      <c r="K305" s="194"/>
      <c r="L305" s="184"/>
      <c r="M305" s="184"/>
      <c r="N305" s="184"/>
      <c r="O305" s="184"/>
      <c r="P305" s="184"/>
      <c r="Q305" s="184"/>
      <c r="R305" s="184"/>
      <c r="S305" s="184"/>
      <c r="T305" s="184"/>
      <c r="U305" s="184"/>
      <c r="V305" s="184"/>
      <c r="W305" s="184"/>
      <c r="X305" s="184"/>
      <c r="Y305" s="184"/>
      <c r="Z305" s="184"/>
      <c r="AA305" s="184"/>
    </row>
    <row r="306">
      <c r="A306" s="184"/>
      <c r="B306" s="184"/>
      <c r="C306" s="194"/>
      <c r="D306" s="194"/>
      <c r="E306" s="194"/>
      <c r="F306" s="194"/>
      <c r="G306" s="194"/>
      <c r="H306" s="184"/>
      <c r="I306" s="194"/>
      <c r="J306" s="194"/>
      <c r="K306" s="194"/>
      <c r="L306" s="184"/>
      <c r="M306" s="184"/>
      <c r="N306" s="184"/>
      <c r="O306" s="184"/>
      <c r="P306" s="184"/>
      <c r="Q306" s="184"/>
      <c r="R306" s="184"/>
      <c r="S306" s="184"/>
      <c r="T306" s="184"/>
      <c r="U306" s="184"/>
      <c r="V306" s="184"/>
      <c r="W306" s="184"/>
      <c r="X306" s="184"/>
      <c r="Y306" s="184"/>
      <c r="Z306" s="184"/>
      <c r="AA306" s="184"/>
    </row>
    <row r="307">
      <c r="A307" s="184"/>
      <c r="B307" s="184"/>
      <c r="C307" s="194"/>
      <c r="D307" s="194"/>
      <c r="E307" s="194"/>
      <c r="F307" s="194"/>
      <c r="G307" s="194"/>
      <c r="H307" s="184"/>
      <c r="I307" s="194"/>
      <c r="J307" s="194"/>
      <c r="K307" s="194"/>
      <c r="L307" s="184"/>
      <c r="M307" s="184"/>
      <c r="N307" s="184"/>
      <c r="O307" s="184"/>
      <c r="P307" s="184"/>
      <c r="Q307" s="184"/>
      <c r="R307" s="184"/>
      <c r="S307" s="184"/>
      <c r="T307" s="184"/>
      <c r="U307" s="184"/>
      <c r="V307" s="184"/>
      <c r="W307" s="184"/>
      <c r="X307" s="184"/>
      <c r="Y307" s="184"/>
      <c r="Z307" s="184"/>
      <c r="AA307" s="184"/>
    </row>
    <row r="308">
      <c r="A308" s="184"/>
      <c r="B308" s="184"/>
      <c r="C308" s="194"/>
      <c r="D308" s="194"/>
      <c r="E308" s="194"/>
      <c r="F308" s="194"/>
      <c r="G308" s="194"/>
      <c r="H308" s="184"/>
      <c r="I308" s="194"/>
      <c r="J308" s="194"/>
      <c r="K308" s="194"/>
      <c r="L308" s="184"/>
      <c r="M308" s="184"/>
      <c r="N308" s="184"/>
      <c r="O308" s="184"/>
      <c r="P308" s="184"/>
      <c r="Q308" s="184"/>
      <c r="R308" s="184"/>
      <c r="S308" s="184"/>
      <c r="T308" s="184"/>
      <c r="U308" s="184"/>
      <c r="V308" s="184"/>
      <c r="W308" s="184"/>
      <c r="X308" s="184"/>
      <c r="Y308" s="184"/>
      <c r="Z308" s="184"/>
      <c r="AA308" s="184"/>
    </row>
    <row r="309">
      <c r="A309" s="184"/>
      <c r="B309" s="184"/>
      <c r="C309" s="194"/>
      <c r="D309" s="194"/>
      <c r="E309" s="194"/>
      <c r="F309" s="194"/>
      <c r="G309" s="194"/>
      <c r="H309" s="184"/>
      <c r="I309" s="194"/>
      <c r="J309" s="194"/>
      <c r="K309" s="194"/>
      <c r="L309" s="184"/>
      <c r="M309" s="184"/>
      <c r="N309" s="184"/>
      <c r="O309" s="184"/>
      <c r="P309" s="184"/>
      <c r="Q309" s="184"/>
      <c r="R309" s="184"/>
      <c r="S309" s="184"/>
      <c r="T309" s="184"/>
      <c r="U309" s="184"/>
      <c r="V309" s="184"/>
      <c r="W309" s="184"/>
      <c r="X309" s="184"/>
      <c r="Y309" s="184"/>
      <c r="Z309" s="184"/>
      <c r="AA309" s="184"/>
    </row>
    <row r="310">
      <c r="A310" s="184"/>
      <c r="B310" s="184"/>
      <c r="C310" s="194"/>
      <c r="D310" s="194"/>
      <c r="E310" s="194"/>
      <c r="F310" s="194"/>
      <c r="G310" s="194"/>
      <c r="H310" s="184"/>
      <c r="I310" s="194"/>
      <c r="J310" s="194"/>
      <c r="K310" s="194"/>
      <c r="L310" s="184"/>
      <c r="M310" s="184"/>
      <c r="N310" s="184"/>
      <c r="O310" s="184"/>
      <c r="P310" s="184"/>
      <c r="Q310" s="184"/>
      <c r="R310" s="184"/>
      <c r="S310" s="184"/>
      <c r="T310" s="184"/>
      <c r="U310" s="184"/>
      <c r="V310" s="184"/>
      <c r="W310" s="184"/>
      <c r="X310" s="184"/>
      <c r="Y310" s="184"/>
      <c r="Z310" s="184"/>
      <c r="AA310" s="184"/>
    </row>
    <row r="311">
      <c r="A311" s="184"/>
      <c r="B311" s="184"/>
      <c r="C311" s="194"/>
      <c r="D311" s="194"/>
      <c r="E311" s="194"/>
      <c r="F311" s="194"/>
      <c r="G311" s="194"/>
      <c r="H311" s="184"/>
      <c r="I311" s="194"/>
      <c r="J311" s="194"/>
      <c r="K311" s="194"/>
      <c r="L311" s="184"/>
      <c r="M311" s="184"/>
      <c r="N311" s="184"/>
      <c r="O311" s="184"/>
      <c r="P311" s="184"/>
      <c r="Q311" s="184"/>
      <c r="R311" s="184"/>
      <c r="S311" s="184"/>
      <c r="T311" s="184"/>
      <c r="U311" s="184"/>
      <c r="V311" s="184"/>
      <c r="W311" s="184"/>
      <c r="X311" s="184"/>
      <c r="Y311" s="184"/>
      <c r="Z311" s="184"/>
      <c r="AA311" s="184"/>
    </row>
    <row r="312">
      <c r="A312" s="184"/>
      <c r="B312" s="184"/>
      <c r="C312" s="194"/>
      <c r="D312" s="194"/>
      <c r="E312" s="194"/>
      <c r="F312" s="194"/>
      <c r="G312" s="194"/>
      <c r="H312" s="184"/>
      <c r="I312" s="194"/>
      <c r="J312" s="194"/>
      <c r="K312" s="194"/>
      <c r="L312" s="184"/>
      <c r="M312" s="184"/>
      <c r="N312" s="184"/>
      <c r="O312" s="184"/>
      <c r="P312" s="184"/>
      <c r="Q312" s="184"/>
      <c r="R312" s="184"/>
      <c r="S312" s="184"/>
      <c r="T312" s="184"/>
      <c r="U312" s="184"/>
      <c r="V312" s="184"/>
      <c r="W312" s="184"/>
      <c r="X312" s="184"/>
      <c r="Y312" s="184"/>
      <c r="Z312" s="184"/>
      <c r="AA312" s="184"/>
    </row>
    <row r="313">
      <c r="A313" s="184"/>
      <c r="B313" s="184"/>
      <c r="C313" s="194"/>
      <c r="D313" s="194"/>
      <c r="E313" s="194"/>
      <c r="F313" s="194"/>
      <c r="G313" s="194"/>
      <c r="H313" s="184"/>
      <c r="I313" s="194"/>
      <c r="J313" s="194"/>
      <c r="K313" s="194"/>
      <c r="L313" s="184"/>
      <c r="M313" s="184"/>
      <c r="N313" s="184"/>
      <c r="O313" s="184"/>
      <c r="P313" s="184"/>
      <c r="Q313" s="184"/>
      <c r="R313" s="184"/>
      <c r="S313" s="184"/>
      <c r="T313" s="184"/>
      <c r="U313" s="184"/>
      <c r="V313" s="184"/>
      <c r="W313" s="184"/>
      <c r="X313" s="184"/>
      <c r="Y313" s="184"/>
      <c r="Z313" s="184"/>
      <c r="AA313" s="184"/>
    </row>
    <row r="314">
      <c r="A314" s="184"/>
      <c r="B314" s="184"/>
      <c r="C314" s="194"/>
      <c r="D314" s="194"/>
      <c r="E314" s="194"/>
      <c r="F314" s="194"/>
      <c r="G314" s="194"/>
      <c r="H314" s="184"/>
      <c r="I314" s="194"/>
      <c r="J314" s="194"/>
      <c r="K314" s="194"/>
      <c r="L314" s="184"/>
      <c r="M314" s="184"/>
      <c r="N314" s="184"/>
      <c r="O314" s="184"/>
      <c r="P314" s="184"/>
      <c r="Q314" s="184"/>
      <c r="R314" s="184"/>
      <c r="S314" s="184"/>
      <c r="T314" s="184"/>
      <c r="U314" s="184"/>
      <c r="V314" s="184"/>
      <c r="W314" s="184"/>
      <c r="X314" s="184"/>
      <c r="Y314" s="184"/>
      <c r="Z314" s="184"/>
      <c r="AA314" s="184"/>
    </row>
    <row r="315">
      <c r="A315" s="184"/>
      <c r="B315" s="184"/>
      <c r="C315" s="194"/>
      <c r="D315" s="194"/>
      <c r="E315" s="194"/>
      <c r="F315" s="194"/>
      <c r="G315" s="194"/>
      <c r="H315" s="184"/>
      <c r="I315" s="194"/>
      <c r="J315" s="194"/>
      <c r="K315" s="194"/>
      <c r="L315" s="184"/>
      <c r="M315" s="184"/>
      <c r="N315" s="184"/>
      <c r="O315" s="184"/>
      <c r="P315" s="184"/>
      <c r="Q315" s="184"/>
      <c r="R315" s="184"/>
      <c r="S315" s="184"/>
      <c r="T315" s="184"/>
      <c r="U315" s="184"/>
      <c r="V315" s="184"/>
      <c r="W315" s="184"/>
      <c r="X315" s="184"/>
      <c r="Y315" s="184"/>
      <c r="Z315" s="184"/>
      <c r="AA315" s="184"/>
    </row>
    <row r="316">
      <c r="A316" s="184"/>
      <c r="B316" s="184"/>
      <c r="C316" s="194"/>
      <c r="D316" s="194"/>
      <c r="E316" s="194"/>
      <c r="F316" s="194"/>
      <c r="G316" s="194"/>
      <c r="H316" s="184"/>
      <c r="I316" s="194"/>
      <c r="J316" s="194"/>
      <c r="K316" s="194"/>
      <c r="L316" s="184"/>
      <c r="M316" s="184"/>
      <c r="N316" s="184"/>
      <c r="O316" s="184"/>
      <c r="P316" s="184"/>
      <c r="Q316" s="184"/>
      <c r="R316" s="184"/>
      <c r="S316" s="184"/>
      <c r="T316" s="184"/>
      <c r="U316" s="184"/>
      <c r="V316" s="184"/>
      <c r="W316" s="184"/>
      <c r="X316" s="184"/>
      <c r="Y316" s="184"/>
      <c r="Z316" s="184"/>
      <c r="AA316" s="184"/>
    </row>
    <row r="317">
      <c r="A317" s="184"/>
      <c r="B317" s="184"/>
      <c r="C317" s="194"/>
      <c r="D317" s="194"/>
      <c r="E317" s="194"/>
      <c r="F317" s="194"/>
      <c r="G317" s="194"/>
      <c r="H317" s="184"/>
      <c r="I317" s="194"/>
      <c r="J317" s="194"/>
      <c r="K317" s="194"/>
      <c r="L317" s="184"/>
      <c r="M317" s="184"/>
      <c r="N317" s="184"/>
      <c r="O317" s="184"/>
      <c r="P317" s="184"/>
      <c r="Q317" s="184"/>
      <c r="R317" s="184"/>
      <c r="S317" s="184"/>
      <c r="T317" s="184"/>
      <c r="U317" s="184"/>
      <c r="V317" s="184"/>
      <c r="W317" s="184"/>
      <c r="X317" s="184"/>
      <c r="Y317" s="184"/>
      <c r="Z317" s="184"/>
      <c r="AA317" s="184"/>
    </row>
    <row r="318">
      <c r="A318" s="184"/>
      <c r="B318" s="184"/>
      <c r="C318" s="194"/>
      <c r="D318" s="194"/>
      <c r="E318" s="194"/>
      <c r="F318" s="194"/>
      <c r="G318" s="194"/>
      <c r="H318" s="184"/>
      <c r="I318" s="194"/>
      <c r="J318" s="194"/>
      <c r="K318" s="194"/>
      <c r="L318" s="184"/>
      <c r="M318" s="184"/>
      <c r="N318" s="184"/>
      <c r="O318" s="184"/>
      <c r="P318" s="184"/>
      <c r="Q318" s="184"/>
      <c r="R318" s="184"/>
      <c r="S318" s="184"/>
      <c r="T318" s="184"/>
      <c r="U318" s="184"/>
      <c r="V318" s="184"/>
      <c r="W318" s="184"/>
      <c r="X318" s="184"/>
      <c r="Y318" s="184"/>
      <c r="Z318" s="184"/>
      <c r="AA318" s="184"/>
    </row>
    <row r="319">
      <c r="A319" s="184"/>
      <c r="B319" s="184"/>
      <c r="C319" s="194"/>
      <c r="D319" s="194"/>
      <c r="E319" s="194"/>
      <c r="F319" s="194"/>
      <c r="G319" s="194"/>
      <c r="H319" s="184"/>
      <c r="I319" s="194"/>
      <c r="J319" s="194"/>
      <c r="K319" s="194"/>
      <c r="L319" s="184"/>
      <c r="M319" s="184"/>
      <c r="N319" s="184"/>
      <c r="O319" s="184"/>
      <c r="P319" s="184"/>
      <c r="Q319" s="184"/>
      <c r="R319" s="184"/>
      <c r="S319" s="184"/>
      <c r="T319" s="184"/>
      <c r="U319" s="184"/>
      <c r="V319" s="184"/>
      <c r="W319" s="184"/>
      <c r="X319" s="184"/>
      <c r="Y319" s="184"/>
      <c r="Z319" s="184"/>
      <c r="AA319" s="184"/>
    </row>
    <row r="320">
      <c r="A320" s="184"/>
      <c r="B320" s="184"/>
      <c r="C320" s="194"/>
      <c r="D320" s="194"/>
      <c r="E320" s="194"/>
      <c r="F320" s="194"/>
      <c r="G320" s="194"/>
      <c r="H320" s="184"/>
      <c r="I320" s="194"/>
      <c r="J320" s="194"/>
      <c r="K320" s="194"/>
      <c r="L320" s="184"/>
      <c r="M320" s="184"/>
      <c r="N320" s="184"/>
      <c r="O320" s="184"/>
      <c r="P320" s="184"/>
      <c r="Q320" s="184"/>
      <c r="R320" s="184"/>
      <c r="S320" s="184"/>
      <c r="T320" s="184"/>
      <c r="U320" s="184"/>
      <c r="V320" s="184"/>
      <c r="W320" s="184"/>
      <c r="X320" s="184"/>
      <c r="Y320" s="184"/>
      <c r="Z320" s="184"/>
      <c r="AA320" s="184"/>
    </row>
    <row r="321">
      <c r="A321" s="184"/>
      <c r="B321" s="184"/>
      <c r="C321" s="194"/>
      <c r="D321" s="194"/>
      <c r="E321" s="194"/>
      <c r="F321" s="194"/>
      <c r="G321" s="194"/>
      <c r="H321" s="184"/>
      <c r="I321" s="194"/>
      <c r="J321" s="194"/>
      <c r="K321" s="194"/>
      <c r="L321" s="184"/>
      <c r="M321" s="184"/>
      <c r="N321" s="184"/>
      <c r="O321" s="184"/>
      <c r="P321" s="184"/>
      <c r="Q321" s="184"/>
      <c r="R321" s="184"/>
      <c r="S321" s="184"/>
      <c r="T321" s="184"/>
      <c r="U321" s="184"/>
      <c r="V321" s="184"/>
      <c r="W321" s="184"/>
      <c r="X321" s="184"/>
      <c r="Y321" s="184"/>
      <c r="Z321" s="184"/>
      <c r="AA321" s="184"/>
    </row>
    <row r="322">
      <c r="A322" s="184"/>
      <c r="B322" s="184"/>
      <c r="C322" s="194"/>
      <c r="D322" s="194"/>
      <c r="E322" s="194"/>
      <c r="F322" s="194"/>
      <c r="G322" s="194"/>
      <c r="H322" s="184"/>
      <c r="I322" s="194"/>
      <c r="J322" s="194"/>
      <c r="K322" s="194"/>
      <c r="L322" s="184"/>
      <c r="M322" s="184"/>
      <c r="N322" s="184"/>
      <c r="O322" s="184"/>
      <c r="P322" s="184"/>
      <c r="Q322" s="184"/>
      <c r="R322" s="184"/>
      <c r="S322" s="184"/>
      <c r="T322" s="184"/>
      <c r="U322" s="184"/>
      <c r="V322" s="184"/>
      <c r="W322" s="184"/>
      <c r="X322" s="184"/>
      <c r="Y322" s="184"/>
      <c r="Z322" s="184"/>
      <c r="AA322" s="184"/>
    </row>
    <row r="323">
      <c r="A323" s="184"/>
      <c r="B323" s="184"/>
      <c r="C323" s="194"/>
      <c r="D323" s="194"/>
      <c r="E323" s="194"/>
      <c r="F323" s="194"/>
      <c r="G323" s="194"/>
      <c r="H323" s="184"/>
      <c r="I323" s="194"/>
      <c r="J323" s="194"/>
      <c r="K323" s="194"/>
      <c r="L323" s="184"/>
      <c r="M323" s="184"/>
      <c r="N323" s="184"/>
      <c r="O323" s="184"/>
      <c r="P323" s="184"/>
      <c r="Q323" s="184"/>
      <c r="R323" s="184"/>
      <c r="S323" s="184"/>
      <c r="T323" s="184"/>
      <c r="U323" s="184"/>
      <c r="V323" s="184"/>
      <c r="W323" s="184"/>
      <c r="X323" s="184"/>
      <c r="Y323" s="184"/>
      <c r="Z323" s="184"/>
      <c r="AA323" s="184"/>
    </row>
    <row r="324">
      <c r="A324" s="184"/>
      <c r="B324" s="184"/>
      <c r="C324" s="194"/>
      <c r="D324" s="194"/>
      <c r="E324" s="194"/>
      <c r="F324" s="194"/>
      <c r="G324" s="194"/>
      <c r="H324" s="184"/>
      <c r="I324" s="194"/>
      <c r="J324" s="194"/>
      <c r="K324" s="194"/>
      <c r="L324" s="184"/>
      <c r="M324" s="184"/>
      <c r="N324" s="184"/>
      <c r="O324" s="184"/>
      <c r="P324" s="184"/>
      <c r="Q324" s="184"/>
      <c r="R324" s="184"/>
      <c r="S324" s="184"/>
      <c r="T324" s="184"/>
      <c r="U324" s="184"/>
      <c r="V324" s="184"/>
      <c r="W324" s="184"/>
      <c r="X324" s="184"/>
      <c r="Y324" s="184"/>
      <c r="Z324" s="184"/>
      <c r="AA324" s="184"/>
    </row>
    <row r="325">
      <c r="A325" s="184"/>
      <c r="B325" s="184"/>
      <c r="C325" s="194"/>
      <c r="D325" s="194"/>
      <c r="E325" s="194"/>
      <c r="F325" s="194"/>
      <c r="G325" s="194"/>
      <c r="H325" s="184"/>
      <c r="I325" s="194"/>
      <c r="J325" s="194"/>
      <c r="K325" s="194"/>
      <c r="L325" s="184"/>
      <c r="M325" s="184"/>
      <c r="N325" s="184"/>
      <c r="O325" s="184"/>
      <c r="P325" s="184"/>
      <c r="Q325" s="184"/>
      <c r="R325" s="184"/>
      <c r="S325" s="184"/>
      <c r="T325" s="184"/>
      <c r="U325" s="184"/>
      <c r="V325" s="184"/>
      <c r="W325" s="184"/>
      <c r="X325" s="184"/>
      <c r="Y325" s="184"/>
      <c r="Z325" s="184"/>
      <c r="AA325" s="184"/>
    </row>
    <row r="326">
      <c r="A326" s="184"/>
      <c r="B326" s="184"/>
      <c r="C326" s="194"/>
      <c r="D326" s="194"/>
      <c r="E326" s="194"/>
      <c r="F326" s="194"/>
      <c r="G326" s="194"/>
      <c r="H326" s="184"/>
      <c r="I326" s="194"/>
      <c r="J326" s="194"/>
      <c r="K326" s="194"/>
      <c r="L326" s="184"/>
      <c r="M326" s="184"/>
      <c r="N326" s="184"/>
      <c r="O326" s="184"/>
      <c r="P326" s="184"/>
      <c r="Q326" s="184"/>
      <c r="R326" s="184"/>
      <c r="S326" s="184"/>
      <c r="T326" s="184"/>
      <c r="U326" s="184"/>
      <c r="V326" s="184"/>
      <c r="W326" s="184"/>
      <c r="X326" s="184"/>
      <c r="Y326" s="184"/>
      <c r="Z326" s="184"/>
      <c r="AA326" s="184"/>
    </row>
    <row r="327">
      <c r="A327" s="184"/>
      <c r="B327" s="184"/>
      <c r="C327" s="194"/>
      <c r="D327" s="194"/>
      <c r="E327" s="194"/>
      <c r="F327" s="194"/>
      <c r="G327" s="194"/>
      <c r="H327" s="184"/>
      <c r="I327" s="194"/>
      <c r="J327" s="194"/>
      <c r="K327" s="194"/>
      <c r="L327" s="184"/>
      <c r="M327" s="184"/>
      <c r="N327" s="184"/>
      <c r="O327" s="184"/>
      <c r="P327" s="184"/>
      <c r="Q327" s="184"/>
      <c r="R327" s="184"/>
      <c r="S327" s="184"/>
      <c r="T327" s="184"/>
      <c r="U327" s="184"/>
      <c r="V327" s="184"/>
      <c r="W327" s="184"/>
      <c r="X327" s="184"/>
      <c r="Y327" s="184"/>
      <c r="Z327" s="184"/>
      <c r="AA327" s="184"/>
    </row>
    <row r="328">
      <c r="A328" s="184"/>
      <c r="B328" s="184"/>
      <c r="C328" s="194"/>
      <c r="D328" s="194"/>
      <c r="E328" s="194"/>
      <c r="F328" s="194"/>
      <c r="G328" s="194"/>
      <c r="H328" s="184"/>
      <c r="I328" s="194"/>
      <c r="J328" s="194"/>
      <c r="K328" s="194"/>
      <c r="L328" s="184"/>
      <c r="M328" s="184"/>
      <c r="N328" s="184"/>
      <c r="O328" s="184"/>
      <c r="P328" s="184"/>
      <c r="Q328" s="184"/>
      <c r="R328" s="184"/>
      <c r="S328" s="184"/>
      <c r="T328" s="184"/>
      <c r="U328" s="184"/>
      <c r="V328" s="184"/>
      <c r="W328" s="184"/>
      <c r="X328" s="184"/>
      <c r="Y328" s="184"/>
      <c r="Z328" s="184"/>
      <c r="AA328" s="184"/>
    </row>
    <row r="329">
      <c r="A329" s="184"/>
      <c r="B329" s="184"/>
      <c r="C329" s="194"/>
      <c r="D329" s="194"/>
      <c r="E329" s="194"/>
      <c r="F329" s="194"/>
      <c r="G329" s="194"/>
      <c r="H329" s="184"/>
      <c r="I329" s="194"/>
      <c r="J329" s="194"/>
      <c r="K329" s="194"/>
      <c r="L329" s="184"/>
      <c r="M329" s="184"/>
      <c r="N329" s="184"/>
      <c r="O329" s="184"/>
      <c r="P329" s="184"/>
      <c r="Q329" s="184"/>
      <c r="R329" s="184"/>
      <c r="S329" s="184"/>
      <c r="T329" s="184"/>
      <c r="U329" s="184"/>
      <c r="V329" s="184"/>
      <c r="W329" s="184"/>
      <c r="X329" s="184"/>
      <c r="Y329" s="184"/>
      <c r="Z329" s="184"/>
      <c r="AA329" s="184"/>
    </row>
    <row r="330">
      <c r="A330" s="184"/>
      <c r="B330" s="184"/>
      <c r="C330" s="194"/>
      <c r="D330" s="194"/>
      <c r="E330" s="194"/>
      <c r="F330" s="194"/>
      <c r="G330" s="194"/>
      <c r="H330" s="184"/>
      <c r="I330" s="194"/>
      <c r="J330" s="194"/>
      <c r="K330" s="194"/>
      <c r="L330" s="184"/>
      <c r="M330" s="184"/>
      <c r="N330" s="184"/>
      <c r="O330" s="184"/>
      <c r="P330" s="184"/>
      <c r="Q330" s="184"/>
      <c r="R330" s="184"/>
      <c r="S330" s="184"/>
      <c r="T330" s="184"/>
      <c r="U330" s="184"/>
      <c r="V330" s="184"/>
      <c r="W330" s="184"/>
      <c r="X330" s="184"/>
      <c r="Y330" s="184"/>
      <c r="Z330" s="184"/>
      <c r="AA330" s="184"/>
    </row>
    <row r="331">
      <c r="A331" s="184"/>
      <c r="B331" s="184"/>
      <c r="C331" s="194"/>
      <c r="D331" s="194"/>
      <c r="E331" s="194"/>
      <c r="F331" s="194"/>
      <c r="G331" s="194"/>
      <c r="H331" s="184"/>
      <c r="I331" s="194"/>
      <c r="J331" s="194"/>
      <c r="K331" s="194"/>
      <c r="L331" s="184"/>
      <c r="M331" s="184"/>
      <c r="N331" s="184"/>
      <c r="O331" s="184"/>
      <c r="P331" s="184"/>
      <c r="Q331" s="184"/>
      <c r="R331" s="184"/>
      <c r="S331" s="184"/>
      <c r="T331" s="184"/>
      <c r="U331" s="184"/>
      <c r="V331" s="184"/>
      <c r="W331" s="184"/>
      <c r="X331" s="184"/>
      <c r="Y331" s="184"/>
      <c r="Z331" s="184"/>
      <c r="AA331" s="184"/>
    </row>
    <row r="332">
      <c r="A332" s="184"/>
      <c r="B332" s="184"/>
      <c r="C332" s="194"/>
      <c r="D332" s="194"/>
      <c r="E332" s="194"/>
      <c r="F332" s="194"/>
      <c r="G332" s="194"/>
      <c r="H332" s="184"/>
      <c r="I332" s="194"/>
      <c r="J332" s="194"/>
      <c r="K332" s="194"/>
      <c r="L332" s="184"/>
      <c r="M332" s="184"/>
      <c r="N332" s="184"/>
      <c r="O332" s="184"/>
      <c r="P332" s="184"/>
      <c r="Q332" s="184"/>
      <c r="R332" s="184"/>
      <c r="S332" s="184"/>
      <c r="T332" s="184"/>
      <c r="U332" s="184"/>
      <c r="V332" s="184"/>
      <c r="W332" s="184"/>
      <c r="X332" s="184"/>
      <c r="Y332" s="184"/>
      <c r="Z332" s="184"/>
      <c r="AA332" s="184"/>
    </row>
    <row r="333">
      <c r="A333" s="184"/>
      <c r="B333" s="184"/>
      <c r="C333" s="194"/>
      <c r="D333" s="194"/>
      <c r="E333" s="194"/>
      <c r="F333" s="194"/>
      <c r="G333" s="194"/>
      <c r="H333" s="184"/>
      <c r="I333" s="194"/>
      <c r="J333" s="194"/>
      <c r="K333" s="194"/>
      <c r="L333" s="184"/>
      <c r="M333" s="184"/>
      <c r="N333" s="184"/>
      <c r="O333" s="184"/>
      <c r="P333" s="184"/>
      <c r="Q333" s="184"/>
      <c r="R333" s="184"/>
      <c r="S333" s="184"/>
      <c r="T333" s="184"/>
      <c r="U333" s="184"/>
      <c r="V333" s="184"/>
      <c r="W333" s="184"/>
      <c r="X333" s="184"/>
      <c r="Y333" s="184"/>
      <c r="Z333" s="184"/>
      <c r="AA333" s="184"/>
    </row>
    <row r="334">
      <c r="A334" s="184"/>
      <c r="B334" s="184"/>
      <c r="C334" s="194"/>
      <c r="D334" s="194"/>
      <c r="E334" s="194"/>
      <c r="F334" s="194"/>
      <c r="G334" s="194"/>
      <c r="H334" s="184"/>
      <c r="I334" s="194"/>
      <c r="J334" s="194"/>
      <c r="K334" s="194"/>
      <c r="L334" s="184"/>
      <c r="M334" s="184"/>
      <c r="N334" s="184"/>
      <c r="O334" s="184"/>
      <c r="P334" s="184"/>
      <c r="Q334" s="184"/>
      <c r="R334" s="184"/>
      <c r="S334" s="184"/>
      <c r="T334" s="184"/>
      <c r="U334" s="184"/>
      <c r="V334" s="184"/>
      <c r="W334" s="184"/>
      <c r="X334" s="184"/>
      <c r="Y334" s="184"/>
      <c r="Z334" s="184"/>
      <c r="AA334" s="184"/>
    </row>
    <row r="335">
      <c r="A335" s="184"/>
      <c r="B335" s="184"/>
      <c r="C335" s="194"/>
      <c r="D335" s="194"/>
      <c r="E335" s="194"/>
      <c r="F335" s="194"/>
      <c r="G335" s="194"/>
      <c r="H335" s="184"/>
      <c r="I335" s="194"/>
      <c r="J335" s="194"/>
      <c r="K335" s="194"/>
      <c r="L335" s="184"/>
      <c r="M335" s="184"/>
      <c r="N335" s="184"/>
      <c r="O335" s="184"/>
      <c r="P335" s="184"/>
      <c r="Q335" s="184"/>
      <c r="R335" s="184"/>
      <c r="S335" s="184"/>
      <c r="T335" s="184"/>
      <c r="U335" s="184"/>
      <c r="V335" s="184"/>
      <c r="W335" s="184"/>
      <c r="X335" s="184"/>
      <c r="Y335" s="184"/>
      <c r="Z335" s="184"/>
      <c r="AA335" s="184"/>
    </row>
    <row r="336">
      <c r="A336" s="184"/>
      <c r="B336" s="184"/>
      <c r="C336" s="194"/>
      <c r="D336" s="194"/>
      <c r="E336" s="194"/>
      <c r="F336" s="194"/>
      <c r="G336" s="194"/>
      <c r="H336" s="184"/>
      <c r="I336" s="194"/>
      <c r="J336" s="194"/>
      <c r="K336" s="194"/>
      <c r="L336" s="184"/>
      <c r="M336" s="184"/>
      <c r="N336" s="184"/>
      <c r="O336" s="184"/>
      <c r="P336" s="184"/>
      <c r="Q336" s="184"/>
      <c r="R336" s="184"/>
      <c r="S336" s="184"/>
      <c r="T336" s="184"/>
      <c r="U336" s="184"/>
      <c r="V336" s="184"/>
      <c r="W336" s="184"/>
      <c r="X336" s="184"/>
      <c r="Y336" s="184"/>
      <c r="Z336" s="184"/>
      <c r="AA336" s="184"/>
    </row>
    <row r="337">
      <c r="A337" s="184"/>
      <c r="B337" s="184"/>
      <c r="C337" s="194"/>
      <c r="D337" s="194"/>
      <c r="E337" s="194"/>
      <c r="F337" s="194"/>
      <c r="G337" s="194"/>
      <c r="H337" s="184"/>
      <c r="I337" s="194"/>
      <c r="J337" s="194"/>
      <c r="K337" s="194"/>
      <c r="L337" s="184"/>
      <c r="M337" s="184"/>
      <c r="N337" s="184"/>
      <c r="O337" s="184"/>
      <c r="P337" s="184"/>
      <c r="Q337" s="184"/>
      <c r="R337" s="184"/>
      <c r="S337" s="184"/>
      <c r="T337" s="184"/>
      <c r="U337" s="184"/>
      <c r="V337" s="184"/>
      <c r="W337" s="184"/>
      <c r="X337" s="184"/>
      <c r="Y337" s="184"/>
      <c r="Z337" s="184"/>
      <c r="AA337" s="184"/>
    </row>
    <row r="338">
      <c r="A338" s="184"/>
      <c r="B338" s="184"/>
      <c r="C338" s="194"/>
      <c r="D338" s="194"/>
      <c r="E338" s="194"/>
      <c r="F338" s="194"/>
      <c r="G338" s="194"/>
      <c r="H338" s="184"/>
      <c r="I338" s="194"/>
      <c r="J338" s="194"/>
      <c r="K338" s="194"/>
      <c r="L338" s="184"/>
      <c r="M338" s="184"/>
      <c r="N338" s="184"/>
      <c r="O338" s="184"/>
      <c r="P338" s="184"/>
      <c r="Q338" s="184"/>
      <c r="R338" s="184"/>
      <c r="S338" s="184"/>
      <c r="T338" s="184"/>
      <c r="U338" s="184"/>
      <c r="V338" s="184"/>
      <c r="W338" s="184"/>
      <c r="X338" s="184"/>
      <c r="Y338" s="184"/>
      <c r="Z338" s="184"/>
      <c r="AA338" s="184"/>
    </row>
    <row r="339">
      <c r="A339" s="184"/>
      <c r="B339" s="184"/>
      <c r="C339" s="194"/>
      <c r="D339" s="194"/>
      <c r="E339" s="194"/>
      <c r="F339" s="194"/>
      <c r="G339" s="194"/>
      <c r="H339" s="184"/>
      <c r="I339" s="194"/>
      <c r="J339" s="194"/>
      <c r="K339" s="194"/>
      <c r="L339" s="184"/>
      <c r="M339" s="184"/>
      <c r="N339" s="184"/>
      <c r="O339" s="184"/>
      <c r="P339" s="184"/>
      <c r="Q339" s="184"/>
      <c r="R339" s="184"/>
      <c r="S339" s="184"/>
      <c r="T339" s="184"/>
      <c r="U339" s="184"/>
      <c r="V339" s="184"/>
      <c r="W339" s="184"/>
      <c r="X339" s="184"/>
      <c r="Y339" s="184"/>
      <c r="Z339" s="184"/>
      <c r="AA339" s="184"/>
    </row>
    <row r="340">
      <c r="A340" s="184"/>
      <c r="B340" s="184"/>
      <c r="C340" s="194"/>
      <c r="D340" s="194"/>
      <c r="E340" s="194"/>
      <c r="F340" s="194"/>
      <c r="G340" s="194"/>
      <c r="H340" s="184"/>
      <c r="I340" s="194"/>
      <c r="J340" s="194"/>
      <c r="K340" s="194"/>
      <c r="L340" s="184"/>
      <c r="M340" s="184"/>
      <c r="N340" s="184"/>
      <c r="O340" s="184"/>
      <c r="P340" s="184"/>
      <c r="Q340" s="184"/>
      <c r="R340" s="184"/>
      <c r="S340" s="184"/>
      <c r="T340" s="184"/>
      <c r="U340" s="184"/>
      <c r="V340" s="184"/>
      <c r="W340" s="184"/>
      <c r="X340" s="184"/>
      <c r="Y340" s="184"/>
      <c r="Z340" s="184"/>
      <c r="AA340" s="184"/>
    </row>
    <row r="341">
      <c r="A341" s="184"/>
      <c r="B341" s="184"/>
      <c r="C341" s="194"/>
      <c r="D341" s="194"/>
      <c r="E341" s="194"/>
      <c r="F341" s="194"/>
      <c r="G341" s="194"/>
      <c r="H341" s="184"/>
      <c r="I341" s="194"/>
      <c r="J341" s="194"/>
      <c r="K341" s="194"/>
      <c r="L341" s="184"/>
      <c r="M341" s="184"/>
      <c r="N341" s="184"/>
      <c r="O341" s="184"/>
      <c r="P341" s="184"/>
      <c r="Q341" s="184"/>
      <c r="R341" s="184"/>
      <c r="S341" s="184"/>
      <c r="T341" s="184"/>
      <c r="U341" s="184"/>
      <c r="V341" s="184"/>
      <c r="W341" s="184"/>
      <c r="X341" s="184"/>
      <c r="Y341" s="184"/>
      <c r="Z341" s="184"/>
      <c r="AA341" s="184"/>
    </row>
    <row r="342">
      <c r="A342" s="184"/>
      <c r="B342" s="184"/>
      <c r="C342" s="194"/>
      <c r="D342" s="194"/>
      <c r="E342" s="194"/>
      <c r="F342" s="194"/>
      <c r="G342" s="194"/>
      <c r="H342" s="184"/>
      <c r="I342" s="194"/>
      <c r="J342" s="194"/>
      <c r="K342" s="194"/>
      <c r="L342" s="184"/>
      <c r="M342" s="184"/>
      <c r="N342" s="184"/>
      <c r="O342" s="184"/>
      <c r="P342" s="184"/>
      <c r="Q342" s="184"/>
      <c r="R342" s="184"/>
      <c r="S342" s="184"/>
      <c r="T342" s="184"/>
      <c r="U342" s="184"/>
      <c r="V342" s="184"/>
      <c r="W342" s="184"/>
      <c r="X342" s="184"/>
      <c r="Y342" s="184"/>
      <c r="Z342" s="184"/>
      <c r="AA342" s="184"/>
    </row>
    <row r="343">
      <c r="A343" s="184"/>
      <c r="B343" s="184"/>
      <c r="C343" s="194"/>
      <c r="D343" s="194"/>
      <c r="E343" s="194"/>
      <c r="F343" s="194"/>
      <c r="G343" s="194"/>
      <c r="H343" s="184"/>
      <c r="I343" s="194"/>
      <c r="J343" s="194"/>
      <c r="K343" s="194"/>
      <c r="L343" s="184"/>
      <c r="M343" s="184"/>
      <c r="N343" s="184"/>
      <c r="O343" s="184"/>
      <c r="P343" s="184"/>
      <c r="Q343" s="184"/>
      <c r="R343" s="184"/>
      <c r="S343" s="184"/>
      <c r="T343" s="184"/>
      <c r="U343" s="184"/>
      <c r="V343" s="184"/>
      <c r="W343" s="184"/>
      <c r="X343" s="184"/>
      <c r="Y343" s="184"/>
      <c r="Z343" s="184"/>
      <c r="AA343" s="184"/>
    </row>
    <row r="344">
      <c r="A344" s="184"/>
      <c r="B344" s="184"/>
      <c r="C344" s="194"/>
      <c r="D344" s="194"/>
      <c r="E344" s="194"/>
      <c r="F344" s="194"/>
      <c r="G344" s="194"/>
      <c r="H344" s="184"/>
      <c r="I344" s="194"/>
      <c r="J344" s="194"/>
      <c r="K344" s="194"/>
      <c r="L344" s="184"/>
      <c r="M344" s="184"/>
      <c r="N344" s="184"/>
      <c r="O344" s="184"/>
      <c r="P344" s="184"/>
      <c r="Q344" s="184"/>
      <c r="R344" s="184"/>
      <c r="S344" s="184"/>
      <c r="T344" s="184"/>
      <c r="U344" s="184"/>
      <c r="V344" s="184"/>
      <c r="W344" s="184"/>
      <c r="X344" s="184"/>
      <c r="Y344" s="184"/>
      <c r="Z344" s="184"/>
      <c r="AA344" s="184"/>
    </row>
    <row r="345">
      <c r="A345" s="184"/>
      <c r="B345" s="184"/>
      <c r="C345" s="194"/>
      <c r="D345" s="194"/>
      <c r="E345" s="194"/>
      <c r="F345" s="194"/>
      <c r="G345" s="194"/>
      <c r="H345" s="184"/>
      <c r="I345" s="194"/>
      <c r="J345" s="194"/>
      <c r="K345" s="194"/>
      <c r="L345" s="184"/>
      <c r="M345" s="184"/>
      <c r="N345" s="184"/>
      <c r="O345" s="184"/>
      <c r="P345" s="184"/>
      <c r="Q345" s="184"/>
      <c r="R345" s="184"/>
      <c r="S345" s="184"/>
      <c r="T345" s="184"/>
      <c r="U345" s="184"/>
      <c r="V345" s="184"/>
      <c r="W345" s="184"/>
      <c r="X345" s="184"/>
      <c r="Y345" s="184"/>
      <c r="Z345" s="184"/>
      <c r="AA345" s="184"/>
    </row>
    <row r="346">
      <c r="A346" s="184"/>
      <c r="B346" s="184"/>
      <c r="C346" s="194"/>
      <c r="D346" s="194"/>
      <c r="E346" s="194"/>
      <c r="F346" s="194"/>
      <c r="G346" s="194"/>
      <c r="H346" s="184"/>
      <c r="I346" s="194"/>
      <c r="J346" s="194"/>
      <c r="K346" s="194"/>
      <c r="L346" s="184"/>
      <c r="M346" s="184"/>
      <c r="N346" s="184"/>
      <c r="O346" s="184"/>
      <c r="P346" s="184"/>
      <c r="Q346" s="184"/>
      <c r="R346" s="184"/>
      <c r="S346" s="184"/>
      <c r="T346" s="184"/>
      <c r="U346" s="184"/>
      <c r="V346" s="184"/>
      <c r="W346" s="184"/>
      <c r="X346" s="184"/>
      <c r="Y346" s="184"/>
      <c r="Z346" s="184"/>
      <c r="AA346" s="184"/>
    </row>
    <row r="347">
      <c r="A347" s="184"/>
      <c r="B347" s="184"/>
      <c r="C347" s="194"/>
      <c r="D347" s="194"/>
      <c r="E347" s="194"/>
      <c r="F347" s="194"/>
      <c r="G347" s="194"/>
      <c r="H347" s="184"/>
      <c r="I347" s="194"/>
      <c r="J347" s="194"/>
      <c r="K347" s="194"/>
      <c r="L347" s="184"/>
      <c r="M347" s="184"/>
      <c r="N347" s="184"/>
      <c r="O347" s="184"/>
      <c r="P347" s="184"/>
      <c r="Q347" s="184"/>
      <c r="R347" s="184"/>
      <c r="S347" s="184"/>
      <c r="T347" s="184"/>
      <c r="U347" s="184"/>
      <c r="V347" s="184"/>
      <c r="W347" s="184"/>
      <c r="X347" s="184"/>
      <c r="Y347" s="184"/>
      <c r="Z347" s="184"/>
      <c r="AA347" s="184"/>
    </row>
    <row r="348">
      <c r="A348" s="184"/>
      <c r="B348" s="184"/>
      <c r="C348" s="194"/>
      <c r="D348" s="194"/>
      <c r="E348" s="194"/>
      <c r="F348" s="194"/>
      <c r="G348" s="194"/>
      <c r="H348" s="184"/>
      <c r="I348" s="194"/>
      <c r="J348" s="194"/>
      <c r="K348" s="194"/>
      <c r="L348" s="184"/>
      <c r="M348" s="184"/>
      <c r="N348" s="184"/>
      <c r="O348" s="184"/>
      <c r="P348" s="184"/>
      <c r="Q348" s="184"/>
      <c r="R348" s="184"/>
      <c r="S348" s="184"/>
      <c r="T348" s="184"/>
      <c r="U348" s="184"/>
      <c r="V348" s="184"/>
      <c r="W348" s="184"/>
      <c r="X348" s="184"/>
      <c r="Y348" s="184"/>
      <c r="Z348" s="184"/>
      <c r="AA348" s="184"/>
    </row>
    <row r="349">
      <c r="A349" s="184"/>
      <c r="B349" s="184"/>
      <c r="C349" s="194"/>
      <c r="D349" s="194"/>
      <c r="E349" s="194"/>
      <c r="F349" s="194"/>
      <c r="G349" s="194"/>
      <c r="H349" s="184"/>
      <c r="I349" s="194"/>
      <c r="J349" s="194"/>
      <c r="K349" s="194"/>
      <c r="L349" s="184"/>
      <c r="M349" s="184"/>
      <c r="N349" s="184"/>
      <c r="O349" s="184"/>
      <c r="P349" s="184"/>
      <c r="Q349" s="184"/>
      <c r="R349" s="184"/>
      <c r="S349" s="184"/>
      <c r="T349" s="184"/>
      <c r="U349" s="184"/>
      <c r="V349" s="184"/>
      <c r="W349" s="184"/>
      <c r="X349" s="184"/>
      <c r="Y349" s="184"/>
      <c r="Z349" s="184"/>
      <c r="AA349" s="184"/>
    </row>
    <row r="350">
      <c r="A350" s="184"/>
      <c r="B350" s="184"/>
      <c r="C350" s="194"/>
      <c r="D350" s="194"/>
      <c r="E350" s="194"/>
      <c r="F350" s="194"/>
      <c r="G350" s="194"/>
      <c r="H350" s="184"/>
      <c r="I350" s="194"/>
      <c r="J350" s="194"/>
      <c r="K350" s="194"/>
      <c r="L350" s="184"/>
      <c r="M350" s="184"/>
      <c r="N350" s="184"/>
      <c r="O350" s="184"/>
      <c r="P350" s="184"/>
      <c r="Q350" s="184"/>
      <c r="R350" s="184"/>
      <c r="S350" s="184"/>
      <c r="T350" s="184"/>
      <c r="U350" s="184"/>
      <c r="V350" s="184"/>
      <c r="W350" s="184"/>
      <c r="X350" s="184"/>
      <c r="Y350" s="184"/>
      <c r="Z350" s="184"/>
      <c r="AA350" s="184"/>
    </row>
    <row r="351">
      <c r="A351" s="184"/>
      <c r="B351" s="184"/>
      <c r="C351" s="194"/>
      <c r="D351" s="194"/>
      <c r="E351" s="194"/>
      <c r="F351" s="194"/>
      <c r="G351" s="194"/>
      <c r="H351" s="184"/>
      <c r="I351" s="194"/>
      <c r="J351" s="194"/>
      <c r="K351" s="194"/>
      <c r="L351" s="184"/>
      <c r="M351" s="184"/>
      <c r="N351" s="184"/>
      <c r="O351" s="184"/>
      <c r="P351" s="184"/>
      <c r="Q351" s="184"/>
      <c r="R351" s="184"/>
      <c r="S351" s="184"/>
      <c r="T351" s="184"/>
      <c r="U351" s="184"/>
      <c r="V351" s="184"/>
      <c r="W351" s="184"/>
      <c r="X351" s="184"/>
      <c r="Y351" s="184"/>
      <c r="Z351" s="184"/>
      <c r="AA351" s="184"/>
    </row>
    <row r="352">
      <c r="A352" s="184"/>
      <c r="B352" s="184"/>
      <c r="C352" s="194"/>
      <c r="D352" s="194"/>
      <c r="E352" s="194"/>
      <c r="F352" s="194"/>
      <c r="G352" s="194"/>
      <c r="H352" s="184"/>
      <c r="I352" s="194"/>
      <c r="J352" s="194"/>
      <c r="K352" s="194"/>
      <c r="L352" s="184"/>
      <c r="M352" s="184"/>
      <c r="N352" s="184"/>
      <c r="O352" s="184"/>
      <c r="P352" s="184"/>
      <c r="Q352" s="184"/>
      <c r="R352" s="184"/>
      <c r="S352" s="184"/>
      <c r="T352" s="184"/>
      <c r="U352" s="184"/>
      <c r="V352" s="184"/>
      <c r="W352" s="184"/>
      <c r="X352" s="184"/>
      <c r="Y352" s="184"/>
      <c r="Z352" s="184"/>
      <c r="AA352" s="184"/>
    </row>
    <row r="353">
      <c r="A353" s="184"/>
      <c r="B353" s="184"/>
      <c r="C353" s="194"/>
      <c r="D353" s="194"/>
      <c r="E353" s="194"/>
      <c r="F353" s="194"/>
      <c r="G353" s="194"/>
      <c r="H353" s="184"/>
      <c r="I353" s="194"/>
      <c r="J353" s="194"/>
      <c r="K353" s="194"/>
      <c r="L353" s="184"/>
      <c r="M353" s="184"/>
      <c r="N353" s="184"/>
      <c r="O353" s="184"/>
      <c r="P353" s="184"/>
      <c r="Q353" s="184"/>
      <c r="R353" s="184"/>
      <c r="S353" s="184"/>
      <c r="T353" s="184"/>
      <c r="U353" s="184"/>
      <c r="V353" s="184"/>
      <c r="W353" s="184"/>
      <c r="X353" s="184"/>
      <c r="Y353" s="184"/>
      <c r="Z353" s="184"/>
      <c r="AA353" s="184"/>
    </row>
    <row r="354">
      <c r="A354" s="184"/>
      <c r="B354" s="184"/>
      <c r="C354" s="194"/>
      <c r="D354" s="194"/>
      <c r="E354" s="194"/>
      <c r="F354" s="194"/>
      <c r="G354" s="194"/>
      <c r="H354" s="184"/>
      <c r="I354" s="194"/>
      <c r="J354" s="194"/>
      <c r="K354" s="194"/>
      <c r="L354" s="184"/>
      <c r="M354" s="184"/>
      <c r="N354" s="184"/>
      <c r="O354" s="184"/>
      <c r="P354" s="184"/>
      <c r="Q354" s="184"/>
      <c r="R354" s="184"/>
      <c r="S354" s="184"/>
      <c r="T354" s="184"/>
      <c r="U354" s="184"/>
      <c r="V354" s="184"/>
      <c r="W354" s="184"/>
      <c r="X354" s="184"/>
      <c r="Y354" s="184"/>
      <c r="Z354" s="184"/>
      <c r="AA354" s="184"/>
    </row>
    <row r="355">
      <c r="A355" s="184"/>
      <c r="B355" s="184"/>
      <c r="C355" s="194"/>
      <c r="D355" s="194"/>
      <c r="E355" s="194"/>
      <c r="F355" s="194"/>
      <c r="G355" s="194"/>
      <c r="H355" s="184"/>
      <c r="I355" s="194"/>
      <c r="J355" s="194"/>
      <c r="K355" s="194"/>
      <c r="L355" s="184"/>
      <c r="M355" s="184"/>
      <c r="N355" s="184"/>
      <c r="O355" s="184"/>
      <c r="P355" s="184"/>
      <c r="Q355" s="184"/>
      <c r="R355" s="184"/>
      <c r="S355" s="184"/>
      <c r="T355" s="184"/>
      <c r="U355" s="184"/>
      <c r="V355" s="184"/>
      <c r="W355" s="184"/>
      <c r="X355" s="184"/>
      <c r="Y355" s="184"/>
      <c r="Z355" s="184"/>
      <c r="AA355" s="184"/>
    </row>
    <row r="356">
      <c r="A356" s="184"/>
      <c r="B356" s="184"/>
      <c r="C356" s="194"/>
      <c r="D356" s="194"/>
      <c r="E356" s="194"/>
      <c r="F356" s="194"/>
      <c r="G356" s="194"/>
      <c r="H356" s="184"/>
      <c r="I356" s="194"/>
      <c r="J356" s="194"/>
      <c r="K356" s="194"/>
      <c r="L356" s="184"/>
      <c r="M356" s="184"/>
      <c r="N356" s="184"/>
      <c r="O356" s="184"/>
      <c r="P356" s="184"/>
      <c r="Q356" s="184"/>
      <c r="R356" s="184"/>
      <c r="S356" s="184"/>
      <c r="T356" s="184"/>
      <c r="U356" s="184"/>
      <c r="V356" s="184"/>
      <c r="W356" s="184"/>
      <c r="X356" s="184"/>
      <c r="Y356" s="184"/>
      <c r="Z356" s="184"/>
      <c r="AA356" s="184"/>
    </row>
    <row r="357">
      <c r="A357" s="184"/>
      <c r="B357" s="184"/>
      <c r="C357" s="194"/>
      <c r="D357" s="194"/>
      <c r="E357" s="194"/>
      <c r="F357" s="194"/>
      <c r="G357" s="194"/>
      <c r="H357" s="184"/>
      <c r="I357" s="194"/>
      <c r="J357" s="194"/>
      <c r="K357" s="194"/>
      <c r="L357" s="184"/>
      <c r="M357" s="184"/>
      <c r="N357" s="184"/>
      <c r="O357" s="184"/>
      <c r="P357" s="184"/>
      <c r="Q357" s="184"/>
      <c r="R357" s="184"/>
      <c r="S357" s="184"/>
      <c r="T357" s="184"/>
      <c r="U357" s="184"/>
      <c r="V357" s="184"/>
      <c r="W357" s="184"/>
      <c r="X357" s="184"/>
      <c r="Y357" s="184"/>
      <c r="Z357" s="184"/>
      <c r="AA357" s="184"/>
    </row>
    <row r="358">
      <c r="A358" s="184"/>
      <c r="B358" s="184"/>
      <c r="C358" s="194"/>
      <c r="D358" s="194"/>
      <c r="E358" s="194"/>
      <c r="F358" s="194"/>
      <c r="G358" s="194"/>
      <c r="H358" s="184"/>
      <c r="I358" s="194"/>
      <c r="J358" s="194"/>
      <c r="K358" s="194"/>
      <c r="L358" s="184"/>
      <c r="M358" s="184"/>
      <c r="N358" s="184"/>
      <c r="O358" s="184"/>
      <c r="P358" s="184"/>
      <c r="Q358" s="184"/>
      <c r="R358" s="184"/>
      <c r="S358" s="184"/>
      <c r="T358" s="184"/>
      <c r="U358" s="184"/>
      <c r="V358" s="184"/>
      <c r="W358" s="184"/>
      <c r="X358" s="184"/>
      <c r="Y358" s="184"/>
      <c r="Z358" s="184"/>
      <c r="AA358" s="184"/>
    </row>
    <row r="359">
      <c r="A359" s="184"/>
      <c r="B359" s="184"/>
      <c r="C359" s="194"/>
      <c r="D359" s="194"/>
      <c r="E359" s="194"/>
      <c r="F359" s="194"/>
      <c r="G359" s="194"/>
      <c r="H359" s="184"/>
      <c r="I359" s="194"/>
      <c r="J359" s="194"/>
      <c r="K359" s="194"/>
      <c r="L359" s="184"/>
      <c r="M359" s="184"/>
      <c r="N359" s="184"/>
      <c r="O359" s="184"/>
      <c r="P359" s="184"/>
      <c r="Q359" s="184"/>
      <c r="R359" s="184"/>
      <c r="S359" s="184"/>
      <c r="T359" s="184"/>
      <c r="U359" s="184"/>
      <c r="V359" s="184"/>
      <c r="W359" s="184"/>
      <c r="X359" s="184"/>
      <c r="Y359" s="184"/>
      <c r="Z359" s="184"/>
      <c r="AA359" s="184"/>
    </row>
    <row r="360">
      <c r="A360" s="184"/>
      <c r="B360" s="184"/>
      <c r="C360" s="194"/>
      <c r="D360" s="194"/>
      <c r="E360" s="194"/>
      <c r="F360" s="194"/>
      <c r="G360" s="194"/>
      <c r="H360" s="184"/>
      <c r="I360" s="194"/>
      <c r="J360" s="194"/>
      <c r="K360" s="194"/>
      <c r="L360" s="184"/>
      <c r="M360" s="184"/>
      <c r="N360" s="184"/>
      <c r="O360" s="184"/>
      <c r="P360" s="184"/>
      <c r="Q360" s="184"/>
      <c r="R360" s="184"/>
      <c r="S360" s="184"/>
      <c r="T360" s="184"/>
      <c r="U360" s="184"/>
      <c r="V360" s="184"/>
      <c r="W360" s="184"/>
      <c r="X360" s="184"/>
      <c r="Y360" s="184"/>
      <c r="Z360" s="184"/>
      <c r="AA360" s="184"/>
    </row>
    <row r="361">
      <c r="A361" s="184"/>
      <c r="B361" s="184"/>
      <c r="C361" s="194"/>
      <c r="D361" s="194"/>
      <c r="E361" s="194"/>
      <c r="F361" s="194"/>
      <c r="G361" s="194"/>
      <c r="H361" s="184"/>
      <c r="I361" s="194"/>
      <c r="J361" s="194"/>
      <c r="K361" s="194"/>
      <c r="L361" s="184"/>
      <c r="M361" s="184"/>
      <c r="N361" s="184"/>
      <c r="O361" s="184"/>
      <c r="P361" s="184"/>
      <c r="Q361" s="184"/>
      <c r="R361" s="184"/>
      <c r="S361" s="184"/>
      <c r="T361" s="184"/>
      <c r="U361" s="184"/>
      <c r="V361" s="184"/>
      <c r="W361" s="184"/>
      <c r="X361" s="184"/>
      <c r="Y361" s="184"/>
      <c r="Z361" s="184"/>
      <c r="AA361" s="184"/>
    </row>
    <row r="362">
      <c r="A362" s="184"/>
      <c r="B362" s="184"/>
      <c r="C362" s="194"/>
      <c r="D362" s="194"/>
      <c r="E362" s="194"/>
      <c r="F362" s="194"/>
      <c r="G362" s="194"/>
      <c r="H362" s="184"/>
      <c r="I362" s="194"/>
      <c r="J362" s="194"/>
      <c r="K362" s="194"/>
      <c r="L362" s="184"/>
      <c r="M362" s="184"/>
      <c r="N362" s="184"/>
      <c r="O362" s="184"/>
      <c r="P362" s="184"/>
      <c r="Q362" s="184"/>
      <c r="R362" s="184"/>
      <c r="S362" s="184"/>
      <c r="T362" s="184"/>
      <c r="U362" s="184"/>
      <c r="V362" s="184"/>
      <c r="W362" s="184"/>
      <c r="X362" s="184"/>
      <c r="Y362" s="184"/>
      <c r="Z362" s="184"/>
      <c r="AA362" s="184"/>
    </row>
    <row r="363">
      <c r="A363" s="184"/>
      <c r="B363" s="184"/>
      <c r="C363" s="194"/>
      <c r="D363" s="194"/>
      <c r="E363" s="194"/>
      <c r="F363" s="194"/>
      <c r="G363" s="194"/>
      <c r="H363" s="184"/>
      <c r="I363" s="194"/>
      <c r="J363" s="194"/>
      <c r="K363" s="194"/>
      <c r="L363" s="184"/>
      <c r="M363" s="184"/>
      <c r="N363" s="184"/>
      <c r="O363" s="184"/>
      <c r="P363" s="184"/>
      <c r="Q363" s="184"/>
      <c r="R363" s="184"/>
      <c r="S363" s="184"/>
      <c r="T363" s="184"/>
      <c r="U363" s="184"/>
      <c r="V363" s="184"/>
      <c r="W363" s="184"/>
      <c r="X363" s="184"/>
      <c r="Y363" s="184"/>
      <c r="Z363" s="184"/>
      <c r="AA363" s="184"/>
    </row>
    <row r="364">
      <c r="A364" s="184"/>
      <c r="B364" s="184"/>
      <c r="C364" s="194"/>
      <c r="D364" s="194"/>
      <c r="E364" s="194"/>
      <c r="F364" s="194"/>
      <c r="G364" s="194"/>
      <c r="H364" s="184"/>
      <c r="I364" s="194"/>
      <c r="J364" s="194"/>
      <c r="K364" s="194"/>
      <c r="L364" s="184"/>
      <c r="M364" s="184"/>
      <c r="N364" s="184"/>
      <c r="O364" s="184"/>
      <c r="P364" s="184"/>
      <c r="Q364" s="184"/>
      <c r="R364" s="184"/>
      <c r="S364" s="184"/>
      <c r="T364" s="184"/>
      <c r="U364" s="184"/>
      <c r="V364" s="184"/>
      <c r="W364" s="184"/>
      <c r="X364" s="184"/>
      <c r="Y364" s="184"/>
      <c r="Z364" s="184"/>
      <c r="AA364" s="184"/>
    </row>
    <row r="365">
      <c r="A365" s="184"/>
      <c r="B365" s="184"/>
      <c r="C365" s="194"/>
      <c r="D365" s="194"/>
      <c r="E365" s="194"/>
      <c r="F365" s="194"/>
      <c r="G365" s="194"/>
      <c r="H365" s="184"/>
      <c r="I365" s="194"/>
      <c r="J365" s="194"/>
      <c r="K365" s="194"/>
      <c r="L365" s="184"/>
      <c r="M365" s="184"/>
      <c r="N365" s="184"/>
      <c r="O365" s="184"/>
      <c r="P365" s="184"/>
      <c r="Q365" s="184"/>
      <c r="R365" s="184"/>
      <c r="S365" s="184"/>
      <c r="T365" s="184"/>
      <c r="U365" s="184"/>
      <c r="V365" s="184"/>
      <c r="W365" s="184"/>
      <c r="X365" s="184"/>
      <c r="Y365" s="184"/>
      <c r="Z365" s="184"/>
      <c r="AA365" s="184"/>
    </row>
    <row r="366">
      <c r="A366" s="184"/>
      <c r="B366" s="184"/>
      <c r="C366" s="194"/>
      <c r="D366" s="194"/>
      <c r="E366" s="194"/>
      <c r="F366" s="194"/>
      <c r="G366" s="194"/>
      <c r="H366" s="184"/>
      <c r="I366" s="194"/>
      <c r="J366" s="194"/>
      <c r="K366" s="194"/>
      <c r="L366" s="184"/>
      <c r="M366" s="184"/>
      <c r="N366" s="184"/>
      <c r="O366" s="184"/>
      <c r="P366" s="184"/>
      <c r="Q366" s="184"/>
      <c r="R366" s="184"/>
      <c r="S366" s="184"/>
      <c r="T366" s="184"/>
      <c r="U366" s="184"/>
      <c r="V366" s="184"/>
      <c r="W366" s="184"/>
      <c r="X366" s="184"/>
      <c r="Y366" s="184"/>
      <c r="Z366" s="184"/>
      <c r="AA366" s="184"/>
    </row>
    <row r="367">
      <c r="A367" s="184"/>
      <c r="B367" s="184"/>
      <c r="C367" s="194"/>
      <c r="D367" s="194"/>
      <c r="E367" s="194"/>
      <c r="F367" s="194"/>
      <c r="G367" s="194"/>
      <c r="H367" s="184"/>
      <c r="I367" s="194"/>
      <c r="J367" s="194"/>
      <c r="K367" s="194"/>
      <c r="L367" s="184"/>
      <c r="M367" s="184"/>
      <c r="N367" s="184"/>
      <c r="O367" s="184"/>
      <c r="P367" s="184"/>
      <c r="Q367" s="184"/>
      <c r="R367" s="184"/>
      <c r="S367" s="184"/>
      <c r="T367" s="184"/>
      <c r="U367" s="184"/>
      <c r="V367" s="184"/>
      <c r="W367" s="184"/>
      <c r="X367" s="184"/>
      <c r="Y367" s="184"/>
      <c r="Z367" s="184"/>
      <c r="AA367" s="184"/>
    </row>
    <row r="368">
      <c r="A368" s="184"/>
      <c r="B368" s="184"/>
      <c r="C368" s="194"/>
      <c r="D368" s="194"/>
      <c r="E368" s="194"/>
      <c r="F368" s="194"/>
      <c r="G368" s="194"/>
      <c r="H368" s="184"/>
      <c r="I368" s="194"/>
      <c r="J368" s="194"/>
      <c r="K368" s="194"/>
      <c r="L368" s="184"/>
      <c r="M368" s="184"/>
      <c r="N368" s="184"/>
      <c r="O368" s="184"/>
      <c r="P368" s="184"/>
      <c r="Q368" s="184"/>
      <c r="R368" s="184"/>
      <c r="S368" s="184"/>
      <c r="T368" s="184"/>
      <c r="U368" s="184"/>
      <c r="V368" s="184"/>
      <c r="W368" s="184"/>
      <c r="X368" s="184"/>
      <c r="Y368" s="184"/>
      <c r="Z368" s="184"/>
      <c r="AA368" s="184"/>
    </row>
    <row r="369">
      <c r="A369" s="184"/>
      <c r="B369" s="184"/>
      <c r="C369" s="194"/>
      <c r="D369" s="194"/>
      <c r="E369" s="194"/>
      <c r="F369" s="194"/>
      <c r="G369" s="194"/>
      <c r="H369" s="184"/>
      <c r="I369" s="194"/>
      <c r="J369" s="194"/>
      <c r="K369" s="194"/>
      <c r="L369" s="184"/>
      <c r="M369" s="184"/>
      <c r="N369" s="184"/>
      <c r="O369" s="184"/>
      <c r="P369" s="184"/>
      <c r="Q369" s="184"/>
      <c r="R369" s="184"/>
      <c r="S369" s="184"/>
      <c r="T369" s="184"/>
      <c r="U369" s="184"/>
      <c r="V369" s="184"/>
      <c r="W369" s="184"/>
      <c r="X369" s="184"/>
      <c r="Y369" s="184"/>
      <c r="Z369" s="184"/>
      <c r="AA369" s="184"/>
    </row>
    <row r="370">
      <c r="A370" s="184"/>
      <c r="B370" s="184"/>
      <c r="C370" s="194"/>
      <c r="D370" s="194"/>
      <c r="E370" s="194"/>
      <c r="F370" s="194"/>
      <c r="G370" s="194"/>
      <c r="H370" s="184"/>
      <c r="I370" s="194"/>
      <c r="J370" s="194"/>
      <c r="K370" s="194"/>
      <c r="L370" s="184"/>
      <c r="M370" s="184"/>
      <c r="N370" s="184"/>
      <c r="O370" s="184"/>
      <c r="P370" s="184"/>
      <c r="Q370" s="184"/>
      <c r="R370" s="184"/>
      <c r="S370" s="184"/>
      <c r="T370" s="184"/>
      <c r="U370" s="184"/>
      <c r="V370" s="184"/>
      <c r="W370" s="184"/>
      <c r="X370" s="184"/>
      <c r="Y370" s="184"/>
      <c r="Z370" s="184"/>
      <c r="AA370" s="184"/>
    </row>
    <row r="371">
      <c r="A371" s="184"/>
      <c r="B371" s="184"/>
      <c r="C371" s="194"/>
      <c r="D371" s="194"/>
      <c r="E371" s="194"/>
      <c r="F371" s="194"/>
      <c r="G371" s="194"/>
      <c r="H371" s="184"/>
      <c r="I371" s="194"/>
      <c r="J371" s="194"/>
      <c r="K371" s="194"/>
      <c r="L371" s="184"/>
      <c r="M371" s="184"/>
      <c r="N371" s="184"/>
      <c r="O371" s="184"/>
      <c r="P371" s="184"/>
      <c r="Q371" s="184"/>
      <c r="R371" s="184"/>
      <c r="S371" s="184"/>
      <c r="T371" s="184"/>
      <c r="U371" s="184"/>
      <c r="V371" s="184"/>
      <c r="W371" s="184"/>
      <c r="X371" s="184"/>
      <c r="Y371" s="184"/>
      <c r="Z371" s="184"/>
      <c r="AA371" s="184"/>
    </row>
    <row r="372">
      <c r="A372" s="184"/>
      <c r="B372" s="184"/>
      <c r="C372" s="194"/>
      <c r="D372" s="194"/>
      <c r="E372" s="194"/>
      <c r="F372" s="194"/>
      <c r="G372" s="194"/>
      <c r="H372" s="184"/>
      <c r="I372" s="194"/>
      <c r="J372" s="194"/>
      <c r="K372" s="194"/>
      <c r="L372" s="184"/>
      <c r="M372" s="184"/>
      <c r="N372" s="184"/>
      <c r="O372" s="184"/>
      <c r="P372" s="184"/>
      <c r="Q372" s="184"/>
      <c r="R372" s="184"/>
      <c r="S372" s="184"/>
      <c r="T372" s="184"/>
      <c r="U372" s="184"/>
      <c r="V372" s="184"/>
      <c r="W372" s="184"/>
      <c r="X372" s="184"/>
      <c r="Y372" s="184"/>
      <c r="Z372" s="184"/>
      <c r="AA372" s="184"/>
    </row>
    <row r="373">
      <c r="A373" s="184"/>
      <c r="B373" s="184"/>
      <c r="C373" s="194"/>
      <c r="D373" s="194"/>
      <c r="E373" s="194"/>
      <c r="F373" s="194"/>
      <c r="G373" s="194"/>
      <c r="H373" s="184"/>
      <c r="I373" s="194"/>
      <c r="J373" s="194"/>
      <c r="K373" s="194"/>
      <c r="L373" s="184"/>
      <c r="M373" s="184"/>
      <c r="N373" s="184"/>
      <c r="O373" s="184"/>
      <c r="P373" s="184"/>
      <c r="Q373" s="184"/>
      <c r="R373" s="184"/>
      <c r="S373" s="184"/>
      <c r="T373" s="184"/>
      <c r="U373" s="184"/>
      <c r="V373" s="184"/>
      <c r="W373" s="184"/>
      <c r="X373" s="184"/>
      <c r="Y373" s="184"/>
      <c r="Z373" s="184"/>
      <c r="AA373" s="184"/>
    </row>
    <row r="374">
      <c r="A374" s="184"/>
      <c r="B374" s="184"/>
      <c r="C374" s="194"/>
      <c r="D374" s="194"/>
      <c r="E374" s="194"/>
      <c r="F374" s="194"/>
      <c r="G374" s="194"/>
      <c r="H374" s="184"/>
      <c r="I374" s="194"/>
      <c r="J374" s="194"/>
      <c r="K374" s="194"/>
      <c r="L374" s="184"/>
      <c r="M374" s="184"/>
      <c r="N374" s="184"/>
      <c r="O374" s="184"/>
      <c r="P374" s="184"/>
      <c r="Q374" s="184"/>
      <c r="R374" s="184"/>
      <c r="S374" s="184"/>
      <c r="T374" s="184"/>
      <c r="U374" s="184"/>
      <c r="V374" s="184"/>
      <c r="W374" s="184"/>
      <c r="X374" s="184"/>
      <c r="Y374" s="184"/>
      <c r="Z374" s="184"/>
      <c r="AA374" s="184"/>
    </row>
    <row r="375">
      <c r="A375" s="184"/>
      <c r="B375" s="184"/>
      <c r="C375" s="194"/>
      <c r="D375" s="194"/>
      <c r="E375" s="194"/>
      <c r="F375" s="194"/>
      <c r="G375" s="194"/>
      <c r="H375" s="184"/>
      <c r="I375" s="194"/>
      <c r="J375" s="194"/>
      <c r="K375" s="194"/>
      <c r="L375" s="184"/>
      <c r="M375" s="184"/>
      <c r="N375" s="184"/>
      <c r="O375" s="184"/>
      <c r="P375" s="184"/>
      <c r="Q375" s="184"/>
      <c r="R375" s="184"/>
      <c r="S375" s="184"/>
      <c r="T375" s="184"/>
      <c r="U375" s="184"/>
      <c r="V375" s="184"/>
      <c r="W375" s="184"/>
      <c r="X375" s="184"/>
      <c r="Y375" s="184"/>
      <c r="Z375" s="184"/>
      <c r="AA375" s="184"/>
    </row>
    <row r="376">
      <c r="A376" s="184"/>
      <c r="B376" s="184"/>
      <c r="C376" s="194"/>
      <c r="D376" s="194"/>
      <c r="E376" s="194"/>
      <c r="F376" s="194"/>
      <c r="G376" s="194"/>
      <c r="H376" s="184"/>
      <c r="I376" s="194"/>
      <c r="J376" s="194"/>
      <c r="K376" s="194"/>
      <c r="L376" s="184"/>
      <c r="M376" s="184"/>
      <c r="N376" s="184"/>
      <c r="O376" s="184"/>
      <c r="P376" s="184"/>
      <c r="Q376" s="184"/>
      <c r="R376" s="184"/>
      <c r="S376" s="184"/>
      <c r="T376" s="184"/>
      <c r="U376" s="184"/>
      <c r="V376" s="184"/>
      <c r="W376" s="184"/>
      <c r="X376" s="184"/>
      <c r="Y376" s="184"/>
      <c r="Z376" s="184"/>
      <c r="AA376" s="184"/>
    </row>
    <row r="377">
      <c r="A377" s="184"/>
      <c r="B377" s="184"/>
      <c r="C377" s="194"/>
      <c r="D377" s="194"/>
      <c r="E377" s="194"/>
      <c r="F377" s="194"/>
      <c r="G377" s="194"/>
      <c r="H377" s="184"/>
      <c r="I377" s="194"/>
      <c r="J377" s="194"/>
      <c r="K377" s="194"/>
      <c r="L377" s="184"/>
      <c r="M377" s="184"/>
      <c r="N377" s="184"/>
      <c r="O377" s="184"/>
      <c r="P377" s="184"/>
      <c r="Q377" s="184"/>
      <c r="R377" s="184"/>
      <c r="S377" s="184"/>
      <c r="T377" s="184"/>
      <c r="U377" s="184"/>
      <c r="V377" s="184"/>
      <c r="W377" s="184"/>
      <c r="X377" s="184"/>
      <c r="Y377" s="184"/>
      <c r="Z377" s="184"/>
      <c r="AA377" s="184"/>
    </row>
    <row r="378">
      <c r="A378" s="184"/>
      <c r="B378" s="184"/>
      <c r="C378" s="194"/>
      <c r="D378" s="194"/>
      <c r="E378" s="194"/>
      <c r="F378" s="194"/>
      <c r="G378" s="194"/>
      <c r="H378" s="184"/>
      <c r="I378" s="194"/>
      <c r="J378" s="194"/>
      <c r="K378" s="194"/>
      <c r="L378" s="184"/>
      <c r="M378" s="184"/>
      <c r="N378" s="184"/>
      <c r="O378" s="184"/>
      <c r="P378" s="184"/>
      <c r="Q378" s="184"/>
      <c r="R378" s="184"/>
      <c r="S378" s="184"/>
      <c r="T378" s="184"/>
      <c r="U378" s="184"/>
      <c r="V378" s="184"/>
      <c r="W378" s="184"/>
      <c r="X378" s="184"/>
      <c r="Y378" s="184"/>
      <c r="Z378" s="184"/>
      <c r="AA378" s="184"/>
    </row>
    <row r="379">
      <c r="A379" s="184"/>
      <c r="B379" s="184"/>
      <c r="C379" s="194"/>
      <c r="D379" s="194"/>
      <c r="E379" s="194"/>
      <c r="F379" s="194"/>
      <c r="G379" s="194"/>
      <c r="H379" s="184"/>
      <c r="I379" s="194"/>
      <c r="J379" s="194"/>
      <c r="K379" s="194"/>
      <c r="L379" s="184"/>
      <c r="M379" s="184"/>
      <c r="N379" s="184"/>
      <c r="O379" s="184"/>
      <c r="P379" s="184"/>
      <c r="Q379" s="184"/>
      <c r="R379" s="184"/>
      <c r="S379" s="184"/>
      <c r="T379" s="184"/>
      <c r="U379" s="184"/>
      <c r="V379" s="184"/>
      <c r="W379" s="184"/>
      <c r="X379" s="184"/>
      <c r="Y379" s="184"/>
      <c r="Z379" s="184"/>
      <c r="AA379" s="184"/>
    </row>
    <row r="380">
      <c r="A380" s="184"/>
      <c r="B380" s="184"/>
      <c r="C380" s="194"/>
      <c r="D380" s="194"/>
      <c r="E380" s="194"/>
      <c r="F380" s="194"/>
      <c r="G380" s="194"/>
      <c r="H380" s="184"/>
      <c r="I380" s="194"/>
      <c r="J380" s="194"/>
      <c r="K380" s="194"/>
      <c r="L380" s="184"/>
      <c r="M380" s="184"/>
      <c r="N380" s="184"/>
      <c r="O380" s="184"/>
      <c r="P380" s="184"/>
      <c r="Q380" s="184"/>
      <c r="R380" s="184"/>
      <c r="S380" s="184"/>
      <c r="T380" s="184"/>
      <c r="U380" s="184"/>
      <c r="V380" s="184"/>
      <c r="W380" s="184"/>
      <c r="X380" s="184"/>
      <c r="Y380" s="184"/>
      <c r="Z380" s="184"/>
      <c r="AA380" s="184"/>
    </row>
    <row r="381">
      <c r="A381" s="184"/>
      <c r="B381" s="184"/>
      <c r="C381" s="194"/>
      <c r="D381" s="194"/>
      <c r="E381" s="194"/>
      <c r="F381" s="194"/>
      <c r="G381" s="194"/>
      <c r="H381" s="184"/>
      <c r="I381" s="194"/>
      <c r="J381" s="194"/>
      <c r="K381" s="194"/>
      <c r="L381" s="184"/>
      <c r="M381" s="184"/>
      <c r="N381" s="184"/>
      <c r="O381" s="184"/>
      <c r="P381" s="184"/>
      <c r="Q381" s="184"/>
      <c r="R381" s="184"/>
      <c r="S381" s="184"/>
      <c r="T381" s="184"/>
      <c r="U381" s="184"/>
      <c r="V381" s="184"/>
      <c r="W381" s="184"/>
      <c r="X381" s="184"/>
      <c r="Y381" s="184"/>
      <c r="Z381" s="184"/>
      <c r="AA381" s="184"/>
    </row>
    <row r="382">
      <c r="A382" s="184"/>
      <c r="B382" s="184"/>
      <c r="C382" s="194"/>
      <c r="D382" s="194"/>
      <c r="E382" s="194"/>
      <c r="F382" s="194"/>
      <c r="G382" s="194"/>
      <c r="H382" s="184"/>
      <c r="I382" s="194"/>
      <c r="J382" s="194"/>
      <c r="K382" s="194"/>
      <c r="L382" s="184"/>
      <c r="M382" s="184"/>
      <c r="N382" s="184"/>
      <c r="O382" s="184"/>
      <c r="P382" s="184"/>
      <c r="Q382" s="184"/>
      <c r="R382" s="184"/>
      <c r="S382" s="184"/>
      <c r="T382" s="184"/>
      <c r="U382" s="184"/>
      <c r="V382" s="184"/>
      <c r="W382" s="184"/>
      <c r="X382" s="184"/>
      <c r="Y382" s="184"/>
      <c r="Z382" s="184"/>
      <c r="AA382" s="184"/>
    </row>
    <row r="383">
      <c r="A383" s="184"/>
      <c r="B383" s="184"/>
      <c r="C383" s="194"/>
      <c r="D383" s="194"/>
      <c r="E383" s="194"/>
      <c r="F383" s="194"/>
      <c r="G383" s="194"/>
      <c r="H383" s="184"/>
      <c r="I383" s="194"/>
      <c r="J383" s="194"/>
      <c r="K383" s="194"/>
      <c r="L383" s="184"/>
      <c r="M383" s="184"/>
      <c r="N383" s="184"/>
      <c r="O383" s="184"/>
      <c r="P383" s="184"/>
      <c r="Q383" s="184"/>
      <c r="R383" s="184"/>
      <c r="S383" s="184"/>
      <c r="T383" s="184"/>
      <c r="U383" s="184"/>
      <c r="V383" s="184"/>
      <c r="W383" s="184"/>
      <c r="X383" s="184"/>
      <c r="Y383" s="184"/>
      <c r="Z383" s="184"/>
      <c r="AA383" s="184"/>
    </row>
    <row r="384">
      <c r="A384" s="184"/>
      <c r="B384" s="184"/>
      <c r="C384" s="194"/>
      <c r="D384" s="194"/>
      <c r="E384" s="194"/>
      <c r="F384" s="194"/>
      <c r="G384" s="194"/>
      <c r="H384" s="184"/>
      <c r="I384" s="194"/>
      <c r="J384" s="194"/>
      <c r="K384" s="194"/>
      <c r="L384" s="184"/>
      <c r="M384" s="184"/>
      <c r="N384" s="184"/>
      <c r="O384" s="184"/>
      <c r="P384" s="184"/>
      <c r="Q384" s="184"/>
      <c r="R384" s="184"/>
      <c r="S384" s="184"/>
      <c r="T384" s="184"/>
      <c r="U384" s="184"/>
      <c r="V384" s="184"/>
      <c r="W384" s="184"/>
      <c r="X384" s="184"/>
      <c r="Y384" s="184"/>
      <c r="Z384" s="184"/>
      <c r="AA384" s="184"/>
    </row>
    <row r="385">
      <c r="A385" s="184"/>
      <c r="B385" s="184"/>
      <c r="C385" s="194"/>
      <c r="D385" s="194"/>
      <c r="E385" s="194"/>
      <c r="F385" s="194"/>
      <c r="G385" s="194"/>
      <c r="H385" s="184"/>
      <c r="I385" s="194"/>
      <c r="J385" s="194"/>
      <c r="K385" s="194"/>
      <c r="L385" s="184"/>
      <c r="M385" s="184"/>
      <c r="N385" s="184"/>
      <c r="O385" s="184"/>
      <c r="P385" s="184"/>
      <c r="Q385" s="184"/>
      <c r="R385" s="184"/>
      <c r="S385" s="184"/>
      <c r="T385" s="184"/>
      <c r="U385" s="184"/>
      <c r="V385" s="184"/>
      <c r="W385" s="184"/>
      <c r="X385" s="184"/>
      <c r="Y385" s="184"/>
      <c r="Z385" s="184"/>
      <c r="AA385" s="184"/>
    </row>
    <row r="386">
      <c r="A386" s="184"/>
      <c r="B386" s="184"/>
      <c r="C386" s="194"/>
      <c r="D386" s="194"/>
      <c r="E386" s="194"/>
      <c r="F386" s="194"/>
      <c r="G386" s="194"/>
      <c r="H386" s="184"/>
      <c r="I386" s="194"/>
      <c r="J386" s="194"/>
      <c r="K386" s="194"/>
      <c r="L386" s="184"/>
      <c r="M386" s="184"/>
      <c r="N386" s="184"/>
      <c r="O386" s="184"/>
      <c r="P386" s="184"/>
      <c r="Q386" s="184"/>
      <c r="R386" s="184"/>
      <c r="S386" s="184"/>
      <c r="T386" s="184"/>
      <c r="U386" s="184"/>
      <c r="V386" s="184"/>
      <c r="W386" s="184"/>
      <c r="X386" s="184"/>
      <c r="Y386" s="184"/>
      <c r="Z386" s="184"/>
      <c r="AA386" s="184"/>
    </row>
    <row r="387">
      <c r="A387" s="184"/>
      <c r="B387" s="184"/>
      <c r="C387" s="194"/>
      <c r="D387" s="194"/>
      <c r="E387" s="194"/>
      <c r="F387" s="194"/>
      <c r="G387" s="194"/>
      <c r="H387" s="184"/>
      <c r="I387" s="194"/>
      <c r="J387" s="194"/>
      <c r="K387" s="194"/>
      <c r="L387" s="184"/>
      <c r="M387" s="184"/>
      <c r="N387" s="184"/>
      <c r="O387" s="184"/>
      <c r="P387" s="184"/>
      <c r="Q387" s="184"/>
      <c r="R387" s="184"/>
      <c r="S387" s="184"/>
      <c r="T387" s="184"/>
      <c r="U387" s="184"/>
      <c r="V387" s="184"/>
      <c r="W387" s="184"/>
      <c r="X387" s="184"/>
      <c r="Y387" s="184"/>
      <c r="Z387" s="184"/>
      <c r="AA387" s="184"/>
    </row>
    <row r="388">
      <c r="A388" s="184"/>
      <c r="B388" s="184"/>
      <c r="C388" s="194"/>
      <c r="D388" s="194"/>
      <c r="E388" s="194"/>
      <c r="F388" s="194"/>
      <c r="G388" s="194"/>
      <c r="H388" s="184"/>
      <c r="I388" s="194"/>
      <c r="J388" s="194"/>
      <c r="K388" s="194"/>
      <c r="L388" s="184"/>
      <c r="M388" s="184"/>
      <c r="N388" s="184"/>
      <c r="O388" s="184"/>
      <c r="P388" s="184"/>
      <c r="Q388" s="184"/>
      <c r="R388" s="184"/>
      <c r="S388" s="184"/>
      <c r="T388" s="184"/>
      <c r="U388" s="184"/>
      <c r="V388" s="184"/>
      <c r="W388" s="184"/>
      <c r="X388" s="184"/>
      <c r="Y388" s="184"/>
      <c r="Z388" s="184"/>
      <c r="AA388" s="184"/>
    </row>
    <row r="389">
      <c r="A389" s="184"/>
      <c r="B389" s="184"/>
      <c r="C389" s="194"/>
      <c r="D389" s="194"/>
      <c r="E389" s="194"/>
      <c r="F389" s="194"/>
      <c r="G389" s="194"/>
      <c r="H389" s="184"/>
      <c r="I389" s="194"/>
      <c r="J389" s="194"/>
      <c r="K389" s="194"/>
      <c r="L389" s="184"/>
      <c r="M389" s="184"/>
      <c r="N389" s="184"/>
      <c r="O389" s="184"/>
      <c r="P389" s="184"/>
      <c r="Q389" s="184"/>
      <c r="R389" s="184"/>
      <c r="S389" s="184"/>
      <c r="T389" s="184"/>
      <c r="U389" s="184"/>
      <c r="V389" s="184"/>
      <c r="W389" s="184"/>
      <c r="X389" s="184"/>
      <c r="Y389" s="184"/>
      <c r="Z389" s="184"/>
      <c r="AA389" s="184"/>
    </row>
    <row r="390">
      <c r="A390" s="184"/>
      <c r="B390" s="184"/>
      <c r="C390" s="194"/>
      <c r="D390" s="194"/>
      <c r="E390" s="194"/>
      <c r="F390" s="194"/>
      <c r="G390" s="194"/>
      <c r="H390" s="184"/>
      <c r="I390" s="194"/>
      <c r="J390" s="194"/>
      <c r="K390" s="194"/>
      <c r="L390" s="184"/>
      <c r="M390" s="184"/>
      <c r="N390" s="184"/>
      <c r="O390" s="184"/>
      <c r="P390" s="184"/>
      <c r="Q390" s="184"/>
      <c r="R390" s="184"/>
      <c r="S390" s="184"/>
      <c r="T390" s="184"/>
      <c r="U390" s="184"/>
      <c r="V390" s="184"/>
      <c r="W390" s="184"/>
      <c r="X390" s="184"/>
      <c r="Y390" s="184"/>
      <c r="Z390" s="184"/>
      <c r="AA390" s="184"/>
    </row>
    <row r="391">
      <c r="A391" s="184"/>
      <c r="B391" s="184"/>
      <c r="C391" s="194"/>
      <c r="D391" s="194"/>
      <c r="E391" s="194"/>
      <c r="F391" s="194"/>
      <c r="G391" s="194"/>
      <c r="H391" s="184"/>
      <c r="I391" s="194"/>
      <c r="J391" s="194"/>
      <c r="K391" s="194"/>
      <c r="L391" s="184"/>
      <c r="M391" s="184"/>
      <c r="N391" s="184"/>
      <c r="O391" s="184"/>
      <c r="P391" s="184"/>
      <c r="Q391" s="184"/>
      <c r="R391" s="184"/>
      <c r="S391" s="184"/>
      <c r="T391" s="184"/>
      <c r="U391" s="184"/>
      <c r="V391" s="184"/>
      <c r="W391" s="184"/>
      <c r="X391" s="184"/>
      <c r="Y391" s="184"/>
      <c r="Z391" s="184"/>
      <c r="AA391" s="184"/>
    </row>
    <row r="392">
      <c r="A392" s="184"/>
      <c r="B392" s="184"/>
      <c r="C392" s="194"/>
      <c r="D392" s="194"/>
      <c r="E392" s="194"/>
      <c r="F392" s="194"/>
      <c r="G392" s="194"/>
      <c r="H392" s="184"/>
      <c r="I392" s="194"/>
      <c r="J392" s="194"/>
      <c r="K392" s="194"/>
      <c r="L392" s="184"/>
      <c r="M392" s="184"/>
      <c r="N392" s="184"/>
      <c r="O392" s="184"/>
      <c r="P392" s="184"/>
      <c r="Q392" s="184"/>
      <c r="R392" s="184"/>
      <c r="S392" s="184"/>
      <c r="T392" s="184"/>
      <c r="U392" s="184"/>
      <c r="V392" s="184"/>
      <c r="W392" s="184"/>
      <c r="X392" s="184"/>
      <c r="Y392" s="184"/>
      <c r="Z392" s="184"/>
      <c r="AA392" s="184"/>
    </row>
    <row r="393">
      <c r="A393" s="184"/>
      <c r="B393" s="184"/>
      <c r="C393" s="194"/>
      <c r="D393" s="194"/>
      <c r="E393" s="194"/>
      <c r="F393" s="194"/>
      <c r="G393" s="194"/>
      <c r="H393" s="184"/>
      <c r="I393" s="194"/>
      <c r="J393" s="194"/>
      <c r="K393" s="194"/>
      <c r="L393" s="184"/>
      <c r="M393" s="184"/>
      <c r="N393" s="184"/>
      <c r="O393" s="184"/>
      <c r="P393" s="184"/>
      <c r="Q393" s="184"/>
      <c r="R393" s="184"/>
      <c r="S393" s="184"/>
      <c r="T393" s="184"/>
      <c r="U393" s="184"/>
      <c r="V393" s="184"/>
      <c r="W393" s="184"/>
      <c r="X393" s="184"/>
      <c r="Y393" s="184"/>
      <c r="Z393" s="184"/>
      <c r="AA393" s="184"/>
    </row>
    <row r="394">
      <c r="A394" s="184"/>
      <c r="B394" s="184"/>
      <c r="C394" s="194"/>
      <c r="D394" s="194"/>
      <c r="E394" s="194"/>
      <c r="F394" s="194"/>
      <c r="G394" s="194"/>
      <c r="H394" s="184"/>
      <c r="I394" s="194"/>
      <c r="J394" s="194"/>
      <c r="K394" s="194"/>
      <c r="L394" s="184"/>
      <c r="M394" s="184"/>
      <c r="N394" s="184"/>
      <c r="O394" s="184"/>
      <c r="P394" s="184"/>
      <c r="Q394" s="184"/>
      <c r="R394" s="184"/>
      <c r="S394" s="184"/>
      <c r="T394" s="184"/>
      <c r="U394" s="184"/>
      <c r="V394" s="184"/>
      <c r="W394" s="184"/>
      <c r="X394" s="184"/>
      <c r="Y394" s="184"/>
      <c r="Z394" s="184"/>
      <c r="AA394" s="184"/>
    </row>
    <row r="395">
      <c r="A395" s="184"/>
      <c r="B395" s="184"/>
      <c r="C395" s="194"/>
      <c r="D395" s="194"/>
      <c r="E395" s="194"/>
      <c r="F395" s="194"/>
      <c r="G395" s="194"/>
      <c r="H395" s="184"/>
      <c r="I395" s="194"/>
      <c r="J395" s="194"/>
      <c r="K395" s="194"/>
      <c r="L395" s="184"/>
      <c r="M395" s="184"/>
      <c r="N395" s="184"/>
      <c r="O395" s="184"/>
      <c r="P395" s="184"/>
      <c r="Q395" s="184"/>
      <c r="R395" s="184"/>
      <c r="S395" s="184"/>
      <c r="T395" s="184"/>
      <c r="U395" s="184"/>
      <c r="V395" s="184"/>
      <c r="W395" s="184"/>
      <c r="X395" s="184"/>
      <c r="Y395" s="184"/>
      <c r="Z395" s="184"/>
      <c r="AA395" s="184"/>
    </row>
    <row r="396">
      <c r="A396" s="184"/>
      <c r="B396" s="184"/>
      <c r="C396" s="194"/>
      <c r="D396" s="194"/>
      <c r="E396" s="194"/>
      <c r="F396" s="194"/>
      <c r="G396" s="194"/>
      <c r="H396" s="184"/>
      <c r="I396" s="194"/>
      <c r="J396" s="194"/>
      <c r="K396" s="194"/>
      <c r="L396" s="184"/>
      <c r="M396" s="184"/>
      <c r="N396" s="184"/>
      <c r="O396" s="184"/>
      <c r="P396" s="184"/>
      <c r="Q396" s="184"/>
      <c r="R396" s="184"/>
      <c r="S396" s="184"/>
      <c r="T396" s="184"/>
      <c r="U396" s="184"/>
      <c r="V396" s="184"/>
      <c r="W396" s="184"/>
      <c r="X396" s="184"/>
      <c r="Y396" s="184"/>
      <c r="Z396" s="184"/>
      <c r="AA396" s="184"/>
    </row>
    <row r="397">
      <c r="A397" s="184"/>
      <c r="B397" s="184"/>
      <c r="C397" s="194"/>
      <c r="D397" s="194"/>
      <c r="E397" s="194"/>
      <c r="F397" s="194"/>
      <c r="G397" s="194"/>
      <c r="H397" s="184"/>
      <c r="I397" s="194"/>
      <c r="J397" s="194"/>
      <c r="K397" s="194"/>
      <c r="L397" s="184"/>
      <c r="M397" s="184"/>
      <c r="N397" s="184"/>
      <c r="O397" s="184"/>
      <c r="P397" s="184"/>
      <c r="Q397" s="184"/>
      <c r="R397" s="184"/>
      <c r="S397" s="184"/>
      <c r="T397" s="184"/>
      <c r="U397" s="184"/>
      <c r="V397" s="184"/>
      <c r="W397" s="184"/>
      <c r="X397" s="184"/>
      <c r="Y397" s="184"/>
      <c r="Z397" s="184"/>
      <c r="AA397" s="184"/>
    </row>
    <row r="398">
      <c r="A398" s="184"/>
      <c r="B398" s="184"/>
      <c r="C398" s="194"/>
      <c r="D398" s="194"/>
      <c r="E398" s="194"/>
      <c r="F398" s="194"/>
      <c r="G398" s="194"/>
      <c r="H398" s="184"/>
      <c r="I398" s="194"/>
      <c r="J398" s="194"/>
      <c r="K398" s="194"/>
      <c r="L398" s="184"/>
      <c r="M398" s="184"/>
      <c r="N398" s="184"/>
      <c r="O398" s="184"/>
      <c r="P398" s="184"/>
      <c r="Q398" s="184"/>
      <c r="R398" s="184"/>
      <c r="S398" s="184"/>
      <c r="T398" s="184"/>
      <c r="U398" s="184"/>
      <c r="V398" s="184"/>
      <c r="W398" s="184"/>
      <c r="X398" s="184"/>
      <c r="Y398" s="184"/>
      <c r="Z398" s="184"/>
      <c r="AA398" s="184"/>
    </row>
    <row r="399">
      <c r="A399" s="184"/>
      <c r="B399" s="184"/>
      <c r="C399" s="194"/>
      <c r="D399" s="194"/>
      <c r="E399" s="194"/>
      <c r="F399" s="194"/>
      <c r="G399" s="194"/>
      <c r="H399" s="184"/>
      <c r="I399" s="194"/>
      <c r="J399" s="194"/>
      <c r="K399" s="194"/>
      <c r="L399" s="184"/>
      <c r="M399" s="184"/>
      <c r="N399" s="184"/>
      <c r="O399" s="184"/>
      <c r="P399" s="184"/>
      <c r="Q399" s="184"/>
      <c r="R399" s="184"/>
      <c r="S399" s="184"/>
      <c r="T399" s="184"/>
      <c r="U399" s="184"/>
      <c r="V399" s="184"/>
      <c r="W399" s="184"/>
      <c r="X399" s="184"/>
      <c r="Y399" s="184"/>
      <c r="Z399" s="184"/>
      <c r="AA399" s="184"/>
    </row>
    <row r="400">
      <c r="A400" s="184"/>
      <c r="B400" s="184"/>
      <c r="C400" s="194"/>
      <c r="D400" s="194"/>
      <c r="E400" s="194"/>
      <c r="F400" s="194"/>
      <c r="G400" s="194"/>
      <c r="H400" s="184"/>
      <c r="I400" s="194"/>
      <c r="J400" s="194"/>
      <c r="K400" s="194"/>
      <c r="L400" s="184"/>
      <c r="M400" s="184"/>
      <c r="N400" s="184"/>
      <c r="O400" s="184"/>
      <c r="P400" s="184"/>
      <c r="Q400" s="184"/>
      <c r="R400" s="184"/>
      <c r="S400" s="184"/>
      <c r="T400" s="184"/>
      <c r="U400" s="184"/>
      <c r="V400" s="184"/>
      <c r="W400" s="184"/>
      <c r="X400" s="184"/>
      <c r="Y400" s="184"/>
      <c r="Z400" s="184"/>
      <c r="AA400" s="184"/>
    </row>
    <row r="401">
      <c r="A401" s="184"/>
      <c r="B401" s="184"/>
      <c r="C401" s="194"/>
      <c r="D401" s="194"/>
      <c r="E401" s="194"/>
      <c r="F401" s="194"/>
      <c r="G401" s="194"/>
      <c r="H401" s="184"/>
      <c r="I401" s="194"/>
      <c r="J401" s="194"/>
      <c r="K401" s="194"/>
      <c r="L401" s="184"/>
      <c r="M401" s="184"/>
      <c r="N401" s="184"/>
      <c r="O401" s="184"/>
      <c r="P401" s="184"/>
      <c r="Q401" s="184"/>
      <c r="R401" s="184"/>
      <c r="S401" s="184"/>
      <c r="T401" s="184"/>
      <c r="U401" s="184"/>
      <c r="V401" s="184"/>
      <c r="W401" s="184"/>
      <c r="X401" s="184"/>
      <c r="Y401" s="184"/>
      <c r="Z401" s="184"/>
      <c r="AA401" s="184"/>
    </row>
    <row r="402">
      <c r="A402" s="184"/>
      <c r="B402" s="184"/>
      <c r="C402" s="194"/>
      <c r="D402" s="194"/>
      <c r="E402" s="194"/>
      <c r="F402" s="194"/>
      <c r="G402" s="194"/>
      <c r="H402" s="184"/>
      <c r="I402" s="194"/>
      <c r="J402" s="194"/>
      <c r="K402" s="194"/>
      <c r="L402" s="184"/>
      <c r="M402" s="184"/>
      <c r="N402" s="184"/>
      <c r="O402" s="184"/>
      <c r="P402" s="184"/>
      <c r="Q402" s="184"/>
      <c r="R402" s="184"/>
      <c r="S402" s="184"/>
      <c r="T402" s="184"/>
      <c r="U402" s="184"/>
      <c r="V402" s="184"/>
      <c r="W402" s="184"/>
      <c r="X402" s="184"/>
      <c r="Y402" s="184"/>
      <c r="Z402" s="184"/>
      <c r="AA402" s="184"/>
    </row>
    <row r="403">
      <c r="A403" s="184"/>
      <c r="B403" s="184"/>
      <c r="C403" s="194"/>
      <c r="D403" s="194"/>
      <c r="E403" s="194"/>
      <c r="F403" s="194"/>
      <c r="G403" s="194"/>
      <c r="H403" s="184"/>
      <c r="I403" s="194"/>
      <c r="J403" s="194"/>
      <c r="K403" s="194"/>
      <c r="L403" s="184"/>
      <c r="M403" s="184"/>
      <c r="N403" s="184"/>
      <c r="O403" s="184"/>
      <c r="P403" s="184"/>
      <c r="Q403" s="184"/>
      <c r="R403" s="184"/>
      <c r="S403" s="184"/>
      <c r="T403" s="184"/>
      <c r="U403" s="184"/>
      <c r="V403" s="184"/>
      <c r="W403" s="184"/>
      <c r="X403" s="184"/>
      <c r="Y403" s="184"/>
      <c r="Z403" s="184"/>
      <c r="AA403" s="184"/>
    </row>
    <row r="404">
      <c r="A404" s="184"/>
      <c r="B404" s="184"/>
      <c r="C404" s="194"/>
      <c r="D404" s="194"/>
      <c r="E404" s="194"/>
      <c r="F404" s="194"/>
      <c r="G404" s="194"/>
      <c r="H404" s="184"/>
      <c r="I404" s="194"/>
      <c r="J404" s="194"/>
      <c r="K404" s="194"/>
      <c r="L404" s="184"/>
      <c r="M404" s="184"/>
      <c r="N404" s="184"/>
      <c r="O404" s="184"/>
      <c r="P404" s="184"/>
      <c r="Q404" s="184"/>
      <c r="R404" s="184"/>
      <c r="S404" s="184"/>
      <c r="T404" s="184"/>
      <c r="U404" s="184"/>
      <c r="V404" s="184"/>
      <c r="W404" s="184"/>
      <c r="X404" s="184"/>
      <c r="Y404" s="184"/>
      <c r="Z404" s="184"/>
      <c r="AA404" s="184"/>
    </row>
    <row r="405">
      <c r="A405" s="184"/>
      <c r="B405" s="184"/>
      <c r="C405" s="194"/>
      <c r="D405" s="194"/>
      <c r="E405" s="194"/>
      <c r="F405" s="194"/>
      <c r="G405" s="194"/>
      <c r="H405" s="184"/>
      <c r="I405" s="194"/>
      <c r="J405" s="194"/>
      <c r="K405" s="194"/>
      <c r="L405" s="184"/>
      <c r="M405" s="184"/>
      <c r="N405" s="184"/>
      <c r="O405" s="184"/>
      <c r="P405" s="184"/>
      <c r="Q405" s="184"/>
      <c r="R405" s="184"/>
      <c r="S405" s="184"/>
      <c r="T405" s="184"/>
      <c r="U405" s="184"/>
      <c r="V405" s="184"/>
      <c r="W405" s="184"/>
      <c r="X405" s="184"/>
      <c r="Y405" s="184"/>
      <c r="Z405" s="184"/>
      <c r="AA405" s="184"/>
    </row>
    <row r="406">
      <c r="A406" s="184"/>
      <c r="B406" s="184"/>
      <c r="C406" s="194"/>
      <c r="D406" s="194"/>
      <c r="E406" s="194"/>
      <c r="F406" s="194"/>
      <c r="G406" s="194"/>
      <c r="H406" s="184"/>
      <c r="I406" s="194"/>
      <c r="J406" s="194"/>
      <c r="K406" s="194"/>
      <c r="L406" s="184"/>
      <c r="M406" s="184"/>
      <c r="N406" s="184"/>
      <c r="O406" s="184"/>
      <c r="P406" s="184"/>
      <c r="Q406" s="184"/>
      <c r="R406" s="184"/>
      <c r="S406" s="184"/>
      <c r="T406" s="184"/>
      <c r="U406" s="184"/>
      <c r="V406" s="184"/>
      <c r="W406" s="184"/>
      <c r="X406" s="184"/>
      <c r="Y406" s="184"/>
      <c r="Z406" s="184"/>
      <c r="AA406" s="184"/>
    </row>
    <row r="407">
      <c r="A407" s="184"/>
      <c r="B407" s="184"/>
      <c r="C407" s="194"/>
      <c r="D407" s="194"/>
      <c r="E407" s="194"/>
      <c r="F407" s="194"/>
      <c r="G407" s="194"/>
      <c r="H407" s="184"/>
      <c r="I407" s="194"/>
      <c r="J407" s="194"/>
      <c r="K407" s="194"/>
      <c r="L407" s="184"/>
      <c r="M407" s="184"/>
      <c r="N407" s="184"/>
      <c r="O407" s="184"/>
      <c r="P407" s="184"/>
      <c r="Q407" s="184"/>
      <c r="R407" s="184"/>
      <c r="S407" s="184"/>
      <c r="T407" s="184"/>
      <c r="U407" s="184"/>
      <c r="V407" s="184"/>
      <c r="W407" s="184"/>
      <c r="X407" s="184"/>
      <c r="Y407" s="184"/>
      <c r="Z407" s="184"/>
      <c r="AA407" s="184"/>
    </row>
    <row r="408">
      <c r="A408" s="184"/>
      <c r="B408" s="184"/>
      <c r="C408" s="194"/>
      <c r="D408" s="194"/>
      <c r="E408" s="194"/>
      <c r="F408" s="194"/>
      <c r="G408" s="194"/>
      <c r="H408" s="184"/>
      <c r="I408" s="194"/>
      <c r="J408" s="194"/>
      <c r="K408" s="194"/>
      <c r="L408" s="184"/>
      <c r="M408" s="184"/>
      <c r="N408" s="184"/>
      <c r="O408" s="184"/>
      <c r="P408" s="184"/>
      <c r="Q408" s="184"/>
      <c r="R408" s="184"/>
      <c r="S408" s="184"/>
      <c r="T408" s="184"/>
      <c r="U408" s="184"/>
      <c r="V408" s="184"/>
      <c r="W408" s="184"/>
      <c r="X408" s="184"/>
      <c r="Y408" s="184"/>
      <c r="Z408" s="184"/>
      <c r="AA408" s="184"/>
    </row>
    <row r="409">
      <c r="A409" s="184"/>
      <c r="B409" s="184"/>
      <c r="C409" s="194"/>
      <c r="D409" s="194"/>
      <c r="E409" s="194"/>
      <c r="F409" s="194"/>
      <c r="G409" s="194"/>
      <c r="H409" s="184"/>
      <c r="I409" s="194"/>
      <c r="J409" s="194"/>
      <c r="K409" s="194"/>
      <c r="L409" s="184"/>
      <c r="M409" s="184"/>
      <c r="N409" s="184"/>
      <c r="O409" s="184"/>
      <c r="P409" s="184"/>
      <c r="Q409" s="184"/>
      <c r="R409" s="184"/>
      <c r="S409" s="184"/>
      <c r="T409" s="184"/>
      <c r="U409" s="184"/>
      <c r="V409" s="184"/>
      <c r="W409" s="184"/>
      <c r="X409" s="184"/>
      <c r="Y409" s="184"/>
      <c r="Z409" s="184"/>
      <c r="AA409" s="184"/>
    </row>
    <row r="410">
      <c r="A410" s="184"/>
      <c r="B410" s="184"/>
      <c r="C410" s="194"/>
      <c r="D410" s="194"/>
      <c r="E410" s="194"/>
      <c r="F410" s="194"/>
      <c r="G410" s="194"/>
      <c r="H410" s="184"/>
      <c r="I410" s="194"/>
      <c r="J410" s="194"/>
      <c r="K410" s="194"/>
      <c r="L410" s="184"/>
      <c r="M410" s="184"/>
      <c r="N410" s="184"/>
      <c r="O410" s="184"/>
      <c r="P410" s="184"/>
      <c r="Q410" s="184"/>
      <c r="R410" s="184"/>
      <c r="S410" s="184"/>
      <c r="T410" s="184"/>
      <c r="U410" s="184"/>
      <c r="V410" s="184"/>
      <c r="W410" s="184"/>
      <c r="X410" s="184"/>
      <c r="Y410" s="184"/>
      <c r="Z410" s="184"/>
      <c r="AA410" s="184"/>
    </row>
    <row r="411">
      <c r="A411" s="184"/>
      <c r="B411" s="184"/>
      <c r="C411" s="194"/>
      <c r="D411" s="194"/>
      <c r="E411" s="194"/>
      <c r="F411" s="194"/>
      <c r="G411" s="194"/>
      <c r="H411" s="184"/>
      <c r="I411" s="194"/>
      <c r="J411" s="194"/>
      <c r="K411" s="194"/>
      <c r="L411" s="184"/>
      <c r="M411" s="184"/>
      <c r="N411" s="184"/>
      <c r="O411" s="184"/>
      <c r="P411" s="184"/>
      <c r="Q411" s="184"/>
      <c r="R411" s="184"/>
      <c r="S411" s="184"/>
      <c r="T411" s="184"/>
      <c r="U411" s="184"/>
      <c r="V411" s="184"/>
      <c r="W411" s="184"/>
      <c r="X411" s="184"/>
      <c r="Y411" s="184"/>
      <c r="Z411" s="184"/>
      <c r="AA411" s="184"/>
    </row>
    <row r="412">
      <c r="A412" s="184"/>
      <c r="B412" s="184"/>
      <c r="C412" s="194"/>
      <c r="D412" s="194"/>
      <c r="E412" s="194"/>
      <c r="F412" s="194"/>
      <c r="G412" s="194"/>
      <c r="H412" s="184"/>
      <c r="I412" s="194"/>
      <c r="J412" s="194"/>
      <c r="K412" s="194"/>
      <c r="L412" s="184"/>
      <c r="M412" s="184"/>
      <c r="N412" s="184"/>
      <c r="O412" s="184"/>
      <c r="P412" s="184"/>
      <c r="Q412" s="184"/>
      <c r="R412" s="184"/>
      <c r="S412" s="184"/>
      <c r="T412" s="184"/>
      <c r="U412" s="184"/>
      <c r="V412" s="184"/>
      <c r="W412" s="184"/>
      <c r="X412" s="184"/>
      <c r="Y412" s="184"/>
      <c r="Z412" s="184"/>
      <c r="AA412" s="184"/>
    </row>
    <row r="413">
      <c r="A413" s="184"/>
      <c r="B413" s="184"/>
      <c r="C413" s="194"/>
      <c r="D413" s="194"/>
      <c r="E413" s="194"/>
      <c r="F413" s="194"/>
      <c r="G413" s="194"/>
      <c r="H413" s="184"/>
      <c r="I413" s="194"/>
      <c r="J413" s="194"/>
      <c r="K413" s="194"/>
      <c r="L413" s="184"/>
      <c r="M413" s="184"/>
      <c r="N413" s="184"/>
      <c r="O413" s="184"/>
      <c r="P413" s="184"/>
      <c r="Q413" s="184"/>
      <c r="R413" s="184"/>
      <c r="S413" s="184"/>
      <c r="T413" s="184"/>
      <c r="U413" s="184"/>
      <c r="V413" s="184"/>
      <c r="W413" s="184"/>
      <c r="X413" s="184"/>
      <c r="Y413" s="184"/>
      <c r="Z413" s="184"/>
      <c r="AA413" s="184"/>
    </row>
    <row r="414">
      <c r="A414" s="184"/>
      <c r="B414" s="184"/>
      <c r="C414" s="194"/>
      <c r="D414" s="194"/>
      <c r="E414" s="194"/>
      <c r="F414" s="194"/>
      <c r="G414" s="194"/>
      <c r="H414" s="184"/>
      <c r="I414" s="194"/>
      <c r="J414" s="194"/>
      <c r="K414" s="194"/>
      <c r="L414" s="184"/>
      <c r="M414" s="184"/>
      <c r="N414" s="184"/>
      <c r="O414" s="184"/>
      <c r="P414" s="184"/>
      <c r="Q414" s="184"/>
      <c r="R414" s="184"/>
      <c r="S414" s="184"/>
      <c r="T414" s="184"/>
      <c r="U414" s="184"/>
      <c r="V414" s="184"/>
      <c r="W414" s="184"/>
      <c r="X414" s="184"/>
      <c r="Y414" s="184"/>
      <c r="Z414" s="184"/>
      <c r="AA414" s="184"/>
    </row>
    <row r="415">
      <c r="A415" s="184"/>
      <c r="B415" s="184"/>
      <c r="C415" s="194"/>
      <c r="D415" s="194"/>
      <c r="E415" s="194"/>
      <c r="F415" s="194"/>
      <c r="G415" s="194"/>
      <c r="H415" s="184"/>
      <c r="I415" s="194"/>
      <c r="J415" s="194"/>
      <c r="K415" s="194"/>
      <c r="L415" s="184"/>
      <c r="M415" s="184"/>
      <c r="N415" s="184"/>
      <c r="O415" s="184"/>
      <c r="P415" s="184"/>
      <c r="Q415" s="184"/>
      <c r="R415" s="184"/>
      <c r="S415" s="184"/>
      <c r="T415" s="184"/>
      <c r="U415" s="184"/>
      <c r="V415" s="184"/>
      <c r="W415" s="184"/>
      <c r="X415" s="184"/>
      <c r="Y415" s="184"/>
      <c r="Z415" s="184"/>
      <c r="AA415" s="184"/>
    </row>
    <row r="416">
      <c r="A416" s="184"/>
      <c r="B416" s="184"/>
      <c r="C416" s="194"/>
      <c r="D416" s="194"/>
      <c r="E416" s="194"/>
      <c r="F416" s="194"/>
      <c r="G416" s="194"/>
      <c r="H416" s="184"/>
      <c r="I416" s="194"/>
      <c r="J416" s="194"/>
      <c r="K416" s="194"/>
      <c r="L416" s="184"/>
      <c r="M416" s="184"/>
      <c r="N416" s="184"/>
      <c r="O416" s="184"/>
      <c r="P416" s="184"/>
      <c r="Q416" s="184"/>
      <c r="R416" s="184"/>
      <c r="S416" s="184"/>
      <c r="T416" s="184"/>
      <c r="U416" s="184"/>
      <c r="V416" s="184"/>
      <c r="W416" s="184"/>
      <c r="X416" s="184"/>
      <c r="Y416" s="184"/>
      <c r="Z416" s="184"/>
      <c r="AA416" s="184"/>
    </row>
    <row r="417">
      <c r="A417" s="184"/>
      <c r="B417" s="184"/>
      <c r="C417" s="194"/>
      <c r="D417" s="194"/>
      <c r="E417" s="194"/>
      <c r="F417" s="194"/>
      <c r="G417" s="194"/>
      <c r="H417" s="184"/>
      <c r="I417" s="194"/>
      <c r="J417" s="194"/>
      <c r="K417" s="194"/>
      <c r="L417" s="184"/>
      <c r="M417" s="184"/>
      <c r="N417" s="184"/>
      <c r="O417" s="184"/>
      <c r="P417" s="184"/>
      <c r="Q417" s="184"/>
      <c r="R417" s="184"/>
      <c r="S417" s="184"/>
      <c r="T417" s="184"/>
      <c r="U417" s="184"/>
      <c r="V417" s="184"/>
      <c r="W417" s="184"/>
      <c r="X417" s="184"/>
      <c r="Y417" s="184"/>
      <c r="Z417" s="184"/>
      <c r="AA417" s="184"/>
    </row>
    <row r="418">
      <c r="A418" s="184"/>
      <c r="B418" s="184"/>
      <c r="C418" s="194"/>
      <c r="D418" s="194"/>
      <c r="E418" s="194"/>
      <c r="F418" s="194"/>
      <c r="G418" s="194"/>
      <c r="H418" s="184"/>
      <c r="I418" s="194"/>
      <c r="J418" s="194"/>
      <c r="K418" s="194"/>
      <c r="L418" s="184"/>
      <c r="M418" s="184"/>
      <c r="N418" s="184"/>
      <c r="O418" s="184"/>
      <c r="P418" s="184"/>
      <c r="Q418" s="184"/>
      <c r="R418" s="184"/>
      <c r="S418" s="184"/>
      <c r="T418" s="184"/>
      <c r="U418" s="184"/>
      <c r="V418" s="184"/>
      <c r="W418" s="184"/>
      <c r="X418" s="184"/>
      <c r="Y418" s="184"/>
      <c r="Z418" s="184"/>
      <c r="AA418" s="184"/>
    </row>
    <row r="419">
      <c r="A419" s="184"/>
      <c r="B419" s="184"/>
      <c r="C419" s="194"/>
      <c r="D419" s="194"/>
      <c r="E419" s="194"/>
      <c r="F419" s="194"/>
      <c r="G419" s="194"/>
      <c r="H419" s="184"/>
      <c r="I419" s="194"/>
      <c r="J419" s="194"/>
      <c r="K419" s="194"/>
      <c r="L419" s="184"/>
      <c r="M419" s="184"/>
      <c r="N419" s="184"/>
      <c r="O419" s="184"/>
      <c r="P419" s="184"/>
      <c r="Q419" s="184"/>
      <c r="R419" s="184"/>
      <c r="S419" s="184"/>
      <c r="T419" s="184"/>
      <c r="U419" s="184"/>
      <c r="V419" s="184"/>
      <c r="W419" s="184"/>
      <c r="X419" s="184"/>
      <c r="Y419" s="184"/>
      <c r="Z419" s="184"/>
      <c r="AA419" s="184"/>
    </row>
    <row r="420">
      <c r="A420" s="184"/>
      <c r="B420" s="184"/>
      <c r="C420" s="194"/>
      <c r="D420" s="194"/>
      <c r="E420" s="194"/>
      <c r="F420" s="194"/>
      <c r="G420" s="194"/>
      <c r="H420" s="184"/>
      <c r="I420" s="194"/>
      <c r="J420" s="194"/>
      <c r="K420" s="194"/>
      <c r="L420" s="184"/>
      <c r="M420" s="184"/>
      <c r="N420" s="184"/>
      <c r="O420" s="184"/>
      <c r="P420" s="184"/>
      <c r="Q420" s="184"/>
      <c r="R420" s="184"/>
      <c r="S420" s="184"/>
      <c r="T420" s="184"/>
      <c r="U420" s="184"/>
      <c r="V420" s="184"/>
      <c r="W420" s="184"/>
      <c r="X420" s="184"/>
      <c r="Y420" s="184"/>
      <c r="Z420" s="184"/>
      <c r="AA420" s="184"/>
    </row>
    <row r="421">
      <c r="A421" s="184"/>
      <c r="B421" s="184"/>
      <c r="C421" s="194"/>
      <c r="D421" s="194"/>
      <c r="E421" s="194"/>
      <c r="F421" s="194"/>
      <c r="G421" s="194"/>
      <c r="H421" s="184"/>
      <c r="I421" s="194"/>
      <c r="J421" s="194"/>
      <c r="K421" s="194"/>
      <c r="L421" s="184"/>
      <c r="M421" s="184"/>
      <c r="N421" s="184"/>
      <c r="O421" s="184"/>
      <c r="P421" s="184"/>
      <c r="Q421" s="184"/>
      <c r="R421" s="184"/>
      <c r="S421" s="184"/>
      <c r="T421" s="184"/>
      <c r="U421" s="184"/>
      <c r="V421" s="184"/>
      <c r="W421" s="184"/>
      <c r="X421" s="184"/>
      <c r="Y421" s="184"/>
      <c r="Z421" s="184"/>
      <c r="AA421" s="184"/>
    </row>
    <row r="422">
      <c r="A422" s="184"/>
      <c r="B422" s="184"/>
      <c r="C422" s="194"/>
      <c r="D422" s="194"/>
      <c r="E422" s="194"/>
      <c r="F422" s="194"/>
      <c r="G422" s="194"/>
      <c r="H422" s="184"/>
      <c r="I422" s="194"/>
      <c r="J422" s="194"/>
      <c r="K422" s="194"/>
      <c r="L422" s="184"/>
      <c r="M422" s="184"/>
      <c r="N422" s="184"/>
      <c r="O422" s="184"/>
      <c r="P422" s="184"/>
      <c r="Q422" s="184"/>
      <c r="R422" s="184"/>
      <c r="S422" s="184"/>
      <c r="T422" s="184"/>
      <c r="U422" s="184"/>
      <c r="V422" s="184"/>
      <c r="W422" s="184"/>
      <c r="X422" s="184"/>
      <c r="Y422" s="184"/>
      <c r="Z422" s="184"/>
      <c r="AA422" s="184"/>
    </row>
    <row r="423">
      <c r="A423" s="184"/>
      <c r="B423" s="184"/>
      <c r="C423" s="194"/>
      <c r="D423" s="194"/>
      <c r="E423" s="194"/>
      <c r="F423" s="194"/>
      <c r="G423" s="194"/>
      <c r="H423" s="184"/>
      <c r="I423" s="194"/>
      <c r="J423" s="194"/>
      <c r="K423" s="194"/>
      <c r="L423" s="184"/>
      <c r="M423" s="184"/>
      <c r="N423" s="184"/>
      <c r="O423" s="184"/>
      <c r="P423" s="184"/>
      <c r="Q423" s="184"/>
      <c r="R423" s="184"/>
      <c r="S423" s="184"/>
      <c r="T423" s="184"/>
      <c r="U423" s="184"/>
      <c r="V423" s="184"/>
      <c r="W423" s="184"/>
      <c r="X423" s="184"/>
      <c r="Y423" s="184"/>
      <c r="Z423" s="184"/>
      <c r="AA423" s="184"/>
    </row>
    <row r="424">
      <c r="A424" s="184"/>
      <c r="B424" s="184"/>
      <c r="C424" s="194"/>
      <c r="D424" s="194"/>
      <c r="E424" s="194"/>
      <c r="F424" s="194"/>
      <c r="G424" s="194"/>
      <c r="H424" s="184"/>
      <c r="I424" s="194"/>
      <c r="J424" s="194"/>
      <c r="K424" s="194"/>
      <c r="L424" s="184"/>
      <c r="M424" s="184"/>
      <c r="N424" s="184"/>
      <c r="O424" s="184"/>
      <c r="P424" s="184"/>
      <c r="Q424" s="184"/>
      <c r="R424" s="184"/>
      <c r="S424" s="184"/>
      <c r="T424" s="184"/>
      <c r="U424" s="184"/>
      <c r="V424" s="184"/>
      <c r="W424" s="184"/>
      <c r="X424" s="184"/>
      <c r="Y424" s="184"/>
      <c r="Z424" s="184"/>
      <c r="AA424" s="184"/>
    </row>
    <row r="425">
      <c r="A425" s="184"/>
      <c r="B425" s="184"/>
      <c r="C425" s="194"/>
      <c r="D425" s="194"/>
      <c r="E425" s="194"/>
      <c r="F425" s="194"/>
      <c r="G425" s="194"/>
      <c r="H425" s="184"/>
      <c r="I425" s="194"/>
      <c r="J425" s="194"/>
      <c r="K425" s="194"/>
      <c r="L425" s="184"/>
      <c r="M425" s="184"/>
      <c r="N425" s="184"/>
      <c r="O425" s="184"/>
      <c r="P425" s="184"/>
      <c r="Q425" s="184"/>
      <c r="R425" s="184"/>
      <c r="S425" s="184"/>
      <c r="T425" s="184"/>
      <c r="U425" s="184"/>
      <c r="V425" s="184"/>
      <c r="W425" s="184"/>
      <c r="X425" s="184"/>
      <c r="Y425" s="184"/>
      <c r="Z425" s="184"/>
      <c r="AA425" s="184"/>
    </row>
    <row r="426">
      <c r="A426" s="184"/>
      <c r="B426" s="184"/>
      <c r="C426" s="194"/>
      <c r="D426" s="194"/>
      <c r="E426" s="194"/>
      <c r="F426" s="194"/>
      <c r="G426" s="194"/>
      <c r="H426" s="184"/>
      <c r="I426" s="194"/>
      <c r="J426" s="194"/>
      <c r="K426" s="194"/>
      <c r="L426" s="184"/>
      <c r="M426" s="184"/>
      <c r="N426" s="184"/>
      <c r="O426" s="184"/>
      <c r="P426" s="184"/>
      <c r="Q426" s="184"/>
      <c r="R426" s="184"/>
      <c r="S426" s="184"/>
      <c r="T426" s="184"/>
      <c r="U426" s="184"/>
      <c r="V426" s="184"/>
      <c r="W426" s="184"/>
      <c r="X426" s="184"/>
      <c r="Y426" s="184"/>
      <c r="Z426" s="184"/>
      <c r="AA426" s="184"/>
    </row>
    <row r="427">
      <c r="A427" s="184"/>
      <c r="B427" s="184"/>
      <c r="C427" s="194"/>
      <c r="D427" s="194"/>
      <c r="E427" s="194"/>
      <c r="F427" s="194"/>
      <c r="G427" s="194"/>
      <c r="H427" s="184"/>
      <c r="I427" s="194"/>
      <c r="J427" s="194"/>
      <c r="K427" s="194"/>
      <c r="L427" s="184"/>
      <c r="M427" s="184"/>
      <c r="N427" s="184"/>
      <c r="O427" s="184"/>
      <c r="P427" s="184"/>
      <c r="Q427" s="184"/>
      <c r="R427" s="184"/>
      <c r="S427" s="184"/>
      <c r="T427" s="184"/>
      <c r="U427" s="184"/>
      <c r="V427" s="184"/>
      <c r="W427" s="184"/>
      <c r="X427" s="184"/>
      <c r="Y427" s="184"/>
      <c r="Z427" s="184"/>
      <c r="AA427" s="184"/>
    </row>
    <row r="428">
      <c r="A428" s="184"/>
      <c r="B428" s="184"/>
      <c r="C428" s="194"/>
      <c r="D428" s="194"/>
      <c r="E428" s="194"/>
      <c r="F428" s="194"/>
      <c r="G428" s="194"/>
      <c r="H428" s="184"/>
      <c r="I428" s="194"/>
      <c r="J428" s="194"/>
      <c r="K428" s="194"/>
      <c r="L428" s="184"/>
      <c r="M428" s="184"/>
      <c r="N428" s="184"/>
      <c r="O428" s="184"/>
      <c r="P428" s="184"/>
      <c r="Q428" s="184"/>
      <c r="R428" s="184"/>
      <c r="S428" s="184"/>
      <c r="T428" s="184"/>
      <c r="U428" s="184"/>
      <c r="V428" s="184"/>
      <c r="W428" s="184"/>
      <c r="X428" s="184"/>
      <c r="Y428" s="184"/>
      <c r="Z428" s="184"/>
      <c r="AA428" s="184"/>
    </row>
    <row r="429">
      <c r="A429" s="184"/>
      <c r="B429" s="184"/>
      <c r="C429" s="194"/>
      <c r="D429" s="194"/>
      <c r="E429" s="194"/>
      <c r="F429" s="194"/>
      <c r="G429" s="194"/>
      <c r="H429" s="184"/>
      <c r="I429" s="194"/>
      <c r="J429" s="194"/>
      <c r="K429" s="194"/>
      <c r="L429" s="184"/>
      <c r="M429" s="184"/>
      <c r="N429" s="184"/>
      <c r="O429" s="184"/>
      <c r="P429" s="184"/>
      <c r="Q429" s="184"/>
      <c r="R429" s="184"/>
      <c r="S429" s="184"/>
      <c r="T429" s="184"/>
      <c r="U429" s="184"/>
      <c r="V429" s="184"/>
      <c r="W429" s="184"/>
      <c r="X429" s="184"/>
      <c r="Y429" s="184"/>
      <c r="Z429" s="184"/>
      <c r="AA429" s="184"/>
    </row>
    <row r="430">
      <c r="A430" s="184"/>
      <c r="B430" s="184"/>
      <c r="C430" s="194"/>
      <c r="D430" s="194"/>
      <c r="E430" s="194"/>
      <c r="F430" s="194"/>
      <c r="G430" s="194"/>
      <c r="H430" s="184"/>
      <c r="I430" s="194"/>
      <c r="J430" s="194"/>
      <c r="K430" s="194"/>
      <c r="L430" s="184"/>
      <c r="M430" s="184"/>
      <c r="N430" s="184"/>
      <c r="O430" s="184"/>
      <c r="P430" s="184"/>
      <c r="Q430" s="184"/>
      <c r="R430" s="184"/>
      <c r="S430" s="184"/>
      <c r="T430" s="184"/>
      <c r="U430" s="184"/>
      <c r="V430" s="184"/>
      <c r="W430" s="184"/>
      <c r="X430" s="184"/>
      <c r="Y430" s="184"/>
      <c r="Z430" s="184"/>
      <c r="AA430" s="184"/>
    </row>
    <row r="431">
      <c r="A431" s="184"/>
      <c r="B431" s="184"/>
      <c r="C431" s="194"/>
      <c r="D431" s="194"/>
      <c r="E431" s="194"/>
      <c r="F431" s="194"/>
      <c r="G431" s="194"/>
      <c r="H431" s="184"/>
      <c r="I431" s="194"/>
      <c r="J431" s="194"/>
      <c r="K431" s="194"/>
      <c r="L431" s="184"/>
      <c r="M431" s="184"/>
      <c r="N431" s="184"/>
      <c r="O431" s="184"/>
      <c r="P431" s="184"/>
      <c r="Q431" s="184"/>
      <c r="R431" s="184"/>
      <c r="S431" s="184"/>
      <c r="T431" s="184"/>
      <c r="U431" s="184"/>
      <c r="V431" s="184"/>
      <c r="W431" s="184"/>
      <c r="X431" s="184"/>
      <c r="Y431" s="184"/>
      <c r="Z431" s="184"/>
      <c r="AA431" s="184"/>
    </row>
    <row r="432">
      <c r="A432" s="184"/>
      <c r="B432" s="184"/>
      <c r="C432" s="194"/>
      <c r="D432" s="194"/>
      <c r="E432" s="194"/>
      <c r="F432" s="194"/>
      <c r="G432" s="194"/>
      <c r="H432" s="184"/>
      <c r="I432" s="194"/>
      <c r="J432" s="194"/>
      <c r="K432" s="194"/>
      <c r="L432" s="184"/>
      <c r="M432" s="184"/>
      <c r="N432" s="184"/>
      <c r="O432" s="184"/>
      <c r="P432" s="184"/>
      <c r="Q432" s="184"/>
      <c r="R432" s="184"/>
      <c r="S432" s="184"/>
      <c r="T432" s="184"/>
      <c r="U432" s="184"/>
      <c r="V432" s="184"/>
      <c r="W432" s="184"/>
      <c r="X432" s="184"/>
      <c r="Y432" s="184"/>
      <c r="Z432" s="184"/>
      <c r="AA432" s="184"/>
    </row>
    <row r="433">
      <c r="A433" s="184"/>
      <c r="B433" s="184"/>
      <c r="C433" s="194"/>
      <c r="D433" s="194"/>
      <c r="E433" s="194"/>
      <c r="F433" s="194"/>
      <c r="G433" s="194"/>
      <c r="H433" s="184"/>
      <c r="I433" s="194"/>
      <c r="J433" s="194"/>
      <c r="K433" s="194"/>
      <c r="L433" s="184"/>
      <c r="M433" s="184"/>
      <c r="N433" s="184"/>
      <c r="O433" s="184"/>
      <c r="P433" s="184"/>
      <c r="Q433" s="184"/>
      <c r="R433" s="184"/>
      <c r="S433" s="184"/>
      <c r="T433" s="184"/>
      <c r="U433" s="184"/>
      <c r="V433" s="184"/>
      <c r="W433" s="184"/>
      <c r="X433" s="184"/>
      <c r="Y433" s="184"/>
      <c r="Z433" s="184"/>
      <c r="AA433" s="184"/>
    </row>
    <row r="434">
      <c r="A434" s="184"/>
      <c r="B434" s="184"/>
      <c r="C434" s="194"/>
      <c r="D434" s="194"/>
      <c r="E434" s="194"/>
      <c r="F434" s="194"/>
      <c r="G434" s="194"/>
      <c r="H434" s="184"/>
      <c r="I434" s="194"/>
      <c r="J434" s="194"/>
      <c r="K434" s="194"/>
      <c r="L434" s="184"/>
      <c r="M434" s="184"/>
      <c r="N434" s="184"/>
      <c r="O434" s="184"/>
      <c r="P434" s="184"/>
      <c r="Q434" s="184"/>
      <c r="R434" s="184"/>
      <c r="S434" s="184"/>
      <c r="T434" s="184"/>
      <c r="U434" s="184"/>
      <c r="V434" s="184"/>
      <c r="W434" s="184"/>
      <c r="X434" s="184"/>
      <c r="Y434" s="184"/>
      <c r="Z434" s="184"/>
      <c r="AA434" s="184"/>
    </row>
    <row r="435">
      <c r="A435" s="184"/>
      <c r="B435" s="184"/>
      <c r="C435" s="194"/>
      <c r="D435" s="194"/>
      <c r="E435" s="194"/>
      <c r="F435" s="194"/>
      <c r="G435" s="194"/>
      <c r="H435" s="184"/>
      <c r="I435" s="194"/>
      <c r="J435" s="194"/>
      <c r="K435" s="194"/>
      <c r="L435" s="184"/>
      <c r="M435" s="184"/>
      <c r="N435" s="184"/>
      <c r="O435" s="184"/>
      <c r="P435" s="184"/>
      <c r="Q435" s="184"/>
      <c r="R435" s="184"/>
      <c r="S435" s="184"/>
      <c r="T435" s="184"/>
      <c r="U435" s="184"/>
      <c r="V435" s="184"/>
      <c r="W435" s="184"/>
      <c r="X435" s="184"/>
      <c r="Y435" s="184"/>
      <c r="Z435" s="184"/>
      <c r="AA435" s="184"/>
    </row>
    <row r="436">
      <c r="A436" s="184"/>
      <c r="B436" s="184"/>
      <c r="C436" s="194"/>
      <c r="D436" s="194"/>
      <c r="E436" s="194"/>
      <c r="F436" s="194"/>
      <c r="G436" s="194"/>
      <c r="H436" s="184"/>
      <c r="I436" s="194"/>
      <c r="J436" s="194"/>
      <c r="K436" s="194"/>
      <c r="L436" s="184"/>
      <c r="M436" s="184"/>
      <c r="N436" s="184"/>
      <c r="O436" s="184"/>
      <c r="P436" s="184"/>
      <c r="Q436" s="184"/>
      <c r="R436" s="184"/>
      <c r="S436" s="184"/>
      <c r="T436" s="184"/>
      <c r="U436" s="184"/>
      <c r="V436" s="184"/>
      <c r="W436" s="184"/>
      <c r="X436" s="184"/>
      <c r="Y436" s="184"/>
      <c r="Z436" s="184"/>
      <c r="AA436" s="184"/>
    </row>
    <row r="437">
      <c r="A437" s="184"/>
      <c r="B437" s="184"/>
      <c r="C437" s="194"/>
      <c r="D437" s="194"/>
      <c r="E437" s="194"/>
      <c r="F437" s="194"/>
      <c r="G437" s="194"/>
      <c r="H437" s="184"/>
      <c r="I437" s="194"/>
      <c r="J437" s="194"/>
      <c r="K437" s="194"/>
      <c r="L437" s="184"/>
      <c r="M437" s="184"/>
      <c r="N437" s="184"/>
      <c r="O437" s="184"/>
      <c r="P437" s="184"/>
      <c r="Q437" s="184"/>
      <c r="R437" s="184"/>
      <c r="S437" s="184"/>
      <c r="T437" s="184"/>
      <c r="U437" s="184"/>
      <c r="V437" s="184"/>
      <c r="W437" s="184"/>
      <c r="X437" s="184"/>
      <c r="Y437" s="184"/>
      <c r="Z437" s="184"/>
      <c r="AA437" s="184"/>
    </row>
    <row r="438">
      <c r="A438" s="184"/>
      <c r="B438" s="184"/>
      <c r="C438" s="194"/>
      <c r="D438" s="194"/>
      <c r="E438" s="194"/>
      <c r="F438" s="194"/>
      <c r="G438" s="194"/>
      <c r="H438" s="184"/>
      <c r="I438" s="194"/>
      <c r="J438" s="194"/>
      <c r="K438" s="194"/>
      <c r="L438" s="184"/>
      <c r="M438" s="184"/>
      <c r="N438" s="184"/>
      <c r="O438" s="184"/>
      <c r="P438" s="184"/>
      <c r="Q438" s="184"/>
      <c r="R438" s="184"/>
      <c r="S438" s="184"/>
      <c r="T438" s="184"/>
      <c r="U438" s="184"/>
      <c r="V438" s="184"/>
      <c r="W438" s="184"/>
      <c r="X438" s="184"/>
      <c r="Y438" s="184"/>
      <c r="Z438" s="184"/>
      <c r="AA438" s="184"/>
    </row>
    <row r="439">
      <c r="A439" s="184"/>
      <c r="B439" s="184"/>
      <c r="C439" s="194"/>
      <c r="D439" s="194"/>
      <c r="E439" s="194"/>
      <c r="F439" s="194"/>
      <c r="G439" s="194"/>
      <c r="H439" s="184"/>
      <c r="I439" s="194"/>
      <c r="J439" s="194"/>
      <c r="K439" s="194"/>
      <c r="L439" s="184"/>
      <c r="M439" s="184"/>
      <c r="N439" s="184"/>
      <c r="O439" s="184"/>
      <c r="P439" s="184"/>
      <c r="Q439" s="184"/>
      <c r="R439" s="184"/>
      <c r="S439" s="184"/>
      <c r="T439" s="184"/>
      <c r="U439" s="184"/>
      <c r="V439" s="184"/>
      <c r="W439" s="184"/>
      <c r="X439" s="184"/>
      <c r="Y439" s="184"/>
      <c r="Z439" s="184"/>
      <c r="AA439" s="184"/>
    </row>
    <row r="440">
      <c r="A440" s="184"/>
      <c r="B440" s="184"/>
      <c r="C440" s="194"/>
      <c r="D440" s="194"/>
      <c r="E440" s="194"/>
      <c r="F440" s="194"/>
      <c r="G440" s="194"/>
      <c r="H440" s="184"/>
      <c r="I440" s="194"/>
      <c r="J440" s="194"/>
      <c r="K440" s="194"/>
      <c r="L440" s="184"/>
      <c r="M440" s="184"/>
      <c r="N440" s="184"/>
      <c r="O440" s="184"/>
      <c r="P440" s="184"/>
      <c r="Q440" s="184"/>
      <c r="R440" s="184"/>
      <c r="S440" s="184"/>
      <c r="T440" s="184"/>
      <c r="U440" s="184"/>
      <c r="V440" s="184"/>
      <c r="W440" s="184"/>
      <c r="X440" s="184"/>
      <c r="Y440" s="184"/>
      <c r="Z440" s="184"/>
      <c r="AA440" s="184"/>
    </row>
    <row r="441">
      <c r="A441" s="184"/>
      <c r="B441" s="184"/>
      <c r="C441" s="194"/>
      <c r="D441" s="194"/>
      <c r="E441" s="194"/>
      <c r="F441" s="194"/>
      <c r="G441" s="194"/>
      <c r="H441" s="184"/>
      <c r="I441" s="194"/>
      <c r="J441" s="194"/>
      <c r="K441" s="194"/>
      <c r="L441" s="184"/>
      <c r="M441" s="184"/>
      <c r="N441" s="184"/>
      <c r="O441" s="184"/>
      <c r="P441" s="184"/>
      <c r="Q441" s="184"/>
      <c r="R441" s="184"/>
      <c r="S441" s="184"/>
      <c r="T441" s="184"/>
      <c r="U441" s="184"/>
      <c r="V441" s="184"/>
      <c r="W441" s="184"/>
      <c r="X441" s="184"/>
      <c r="Y441" s="184"/>
      <c r="Z441" s="184"/>
      <c r="AA441" s="184"/>
    </row>
    <row r="442">
      <c r="A442" s="184"/>
      <c r="B442" s="184"/>
      <c r="C442" s="194"/>
      <c r="D442" s="194"/>
      <c r="E442" s="194"/>
      <c r="F442" s="194"/>
      <c r="G442" s="194"/>
      <c r="H442" s="184"/>
      <c r="I442" s="194"/>
      <c r="J442" s="194"/>
      <c r="K442" s="194"/>
      <c r="L442" s="184"/>
      <c r="M442" s="184"/>
      <c r="N442" s="184"/>
      <c r="O442" s="184"/>
      <c r="P442" s="184"/>
      <c r="Q442" s="184"/>
      <c r="R442" s="184"/>
      <c r="S442" s="184"/>
      <c r="T442" s="184"/>
      <c r="U442" s="184"/>
      <c r="V442" s="184"/>
      <c r="W442" s="184"/>
      <c r="X442" s="184"/>
      <c r="Y442" s="184"/>
      <c r="Z442" s="184"/>
      <c r="AA442" s="184"/>
    </row>
    <row r="443">
      <c r="A443" s="184"/>
      <c r="B443" s="184"/>
      <c r="C443" s="194"/>
      <c r="D443" s="194"/>
      <c r="E443" s="194"/>
      <c r="F443" s="194"/>
      <c r="G443" s="194"/>
      <c r="H443" s="184"/>
      <c r="I443" s="194"/>
      <c r="J443" s="194"/>
      <c r="K443" s="194"/>
      <c r="L443" s="184"/>
      <c r="M443" s="184"/>
      <c r="N443" s="184"/>
      <c r="O443" s="184"/>
      <c r="P443" s="184"/>
      <c r="Q443" s="184"/>
      <c r="R443" s="184"/>
      <c r="S443" s="184"/>
      <c r="T443" s="184"/>
      <c r="U443" s="184"/>
      <c r="V443" s="184"/>
      <c r="W443" s="184"/>
      <c r="X443" s="184"/>
      <c r="Y443" s="184"/>
      <c r="Z443" s="184"/>
      <c r="AA443" s="184"/>
    </row>
    <row r="444">
      <c r="A444" s="184"/>
      <c r="B444" s="184"/>
      <c r="C444" s="194"/>
      <c r="D444" s="194"/>
      <c r="E444" s="194"/>
      <c r="F444" s="194"/>
      <c r="G444" s="194"/>
      <c r="H444" s="184"/>
      <c r="I444" s="194"/>
      <c r="J444" s="194"/>
      <c r="K444" s="194"/>
      <c r="L444" s="184"/>
      <c r="M444" s="184"/>
      <c r="N444" s="184"/>
      <c r="O444" s="184"/>
      <c r="P444" s="184"/>
      <c r="Q444" s="184"/>
      <c r="R444" s="184"/>
      <c r="S444" s="184"/>
      <c r="T444" s="184"/>
      <c r="U444" s="184"/>
      <c r="V444" s="184"/>
      <c r="W444" s="184"/>
      <c r="X444" s="184"/>
      <c r="Y444" s="184"/>
      <c r="Z444" s="184"/>
      <c r="AA444" s="184"/>
    </row>
    <row r="445">
      <c r="A445" s="184"/>
      <c r="B445" s="184"/>
      <c r="C445" s="194"/>
      <c r="D445" s="194"/>
      <c r="E445" s="194"/>
      <c r="F445" s="194"/>
      <c r="G445" s="194"/>
      <c r="H445" s="184"/>
      <c r="I445" s="194"/>
      <c r="J445" s="194"/>
      <c r="K445" s="194"/>
      <c r="L445" s="184"/>
      <c r="M445" s="184"/>
      <c r="N445" s="184"/>
      <c r="O445" s="184"/>
      <c r="P445" s="184"/>
      <c r="Q445" s="184"/>
      <c r="R445" s="184"/>
      <c r="S445" s="184"/>
      <c r="T445" s="184"/>
      <c r="U445" s="184"/>
      <c r="V445" s="184"/>
      <c r="W445" s="184"/>
      <c r="X445" s="184"/>
      <c r="Y445" s="184"/>
      <c r="Z445" s="184"/>
      <c r="AA445" s="184"/>
    </row>
    <row r="446">
      <c r="A446" s="184"/>
      <c r="B446" s="184"/>
      <c r="C446" s="194"/>
      <c r="D446" s="194"/>
      <c r="E446" s="194"/>
      <c r="F446" s="194"/>
      <c r="G446" s="194"/>
      <c r="H446" s="184"/>
      <c r="I446" s="194"/>
      <c r="J446" s="194"/>
      <c r="K446" s="194"/>
      <c r="L446" s="184"/>
      <c r="M446" s="184"/>
      <c r="N446" s="184"/>
      <c r="O446" s="184"/>
      <c r="P446" s="184"/>
      <c r="Q446" s="184"/>
      <c r="R446" s="184"/>
      <c r="S446" s="184"/>
      <c r="T446" s="184"/>
      <c r="U446" s="184"/>
      <c r="V446" s="184"/>
      <c r="W446" s="184"/>
      <c r="X446" s="184"/>
      <c r="Y446" s="184"/>
      <c r="Z446" s="184"/>
      <c r="AA446" s="184"/>
    </row>
    <row r="447">
      <c r="A447" s="184"/>
      <c r="B447" s="184"/>
      <c r="C447" s="194"/>
      <c r="D447" s="194"/>
      <c r="E447" s="194"/>
      <c r="F447" s="194"/>
      <c r="G447" s="194"/>
      <c r="H447" s="184"/>
      <c r="I447" s="194"/>
      <c r="J447" s="194"/>
      <c r="K447" s="194"/>
      <c r="L447" s="184"/>
      <c r="M447" s="184"/>
      <c r="N447" s="184"/>
      <c r="O447" s="184"/>
      <c r="P447" s="184"/>
      <c r="Q447" s="184"/>
      <c r="R447" s="184"/>
      <c r="S447" s="184"/>
      <c r="T447" s="184"/>
      <c r="U447" s="184"/>
      <c r="V447" s="184"/>
      <c r="W447" s="184"/>
      <c r="X447" s="184"/>
      <c r="Y447" s="184"/>
      <c r="Z447" s="184"/>
      <c r="AA447" s="184"/>
    </row>
    <row r="448">
      <c r="A448" s="184"/>
      <c r="B448" s="184"/>
      <c r="C448" s="194"/>
      <c r="D448" s="194"/>
      <c r="E448" s="194"/>
      <c r="F448" s="194"/>
      <c r="G448" s="194"/>
      <c r="H448" s="184"/>
      <c r="I448" s="194"/>
      <c r="J448" s="194"/>
      <c r="K448" s="194"/>
      <c r="L448" s="184"/>
      <c r="M448" s="184"/>
      <c r="N448" s="184"/>
      <c r="O448" s="184"/>
      <c r="P448" s="184"/>
      <c r="Q448" s="184"/>
      <c r="R448" s="184"/>
      <c r="S448" s="184"/>
      <c r="T448" s="184"/>
      <c r="U448" s="184"/>
      <c r="V448" s="184"/>
      <c r="W448" s="184"/>
      <c r="X448" s="184"/>
      <c r="Y448" s="184"/>
      <c r="Z448" s="184"/>
      <c r="AA448" s="184"/>
    </row>
    <row r="449">
      <c r="A449" s="184"/>
      <c r="B449" s="184"/>
      <c r="C449" s="194"/>
      <c r="D449" s="194"/>
      <c r="E449" s="194"/>
      <c r="F449" s="194"/>
      <c r="G449" s="194"/>
      <c r="H449" s="184"/>
      <c r="I449" s="194"/>
      <c r="J449" s="194"/>
      <c r="K449" s="194"/>
      <c r="L449" s="184"/>
      <c r="M449" s="184"/>
      <c r="N449" s="184"/>
      <c r="O449" s="184"/>
      <c r="P449" s="184"/>
      <c r="Q449" s="184"/>
      <c r="R449" s="184"/>
      <c r="S449" s="184"/>
      <c r="T449" s="184"/>
      <c r="U449" s="184"/>
      <c r="V449" s="184"/>
      <c r="W449" s="184"/>
      <c r="X449" s="184"/>
      <c r="Y449" s="184"/>
      <c r="Z449" s="184"/>
      <c r="AA449" s="184"/>
    </row>
    <row r="450">
      <c r="A450" s="184"/>
      <c r="B450" s="184"/>
      <c r="C450" s="194"/>
      <c r="D450" s="194"/>
      <c r="E450" s="194"/>
      <c r="F450" s="194"/>
      <c r="G450" s="194"/>
      <c r="H450" s="184"/>
      <c r="I450" s="194"/>
      <c r="J450" s="194"/>
      <c r="K450" s="194"/>
      <c r="L450" s="184"/>
      <c r="M450" s="184"/>
      <c r="N450" s="184"/>
      <c r="O450" s="184"/>
      <c r="P450" s="184"/>
      <c r="Q450" s="184"/>
      <c r="R450" s="184"/>
      <c r="S450" s="184"/>
      <c r="T450" s="184"/>
      <c r="U450" s="184"/>
      <c r="V450" s="184"/>
      <c r="W450" s="184"/>
      <c r="X450" s="184"/>
      <c r="Y450" s="184"/>
      <c r="Z450" s="184"/>
      <c r="AA450" s="184"/>
    </row>
    <row r="451">
      <c r="A451" s="184"/>
      <c r="B451" s="184"/>
      <c r="C451" s="194"/>
      <c r="D451" s="194"/>
      <c r="E451" s="194"/>
      <c r="F451" s="194"/>
      <c r="G451" s="194"/>
      <c r="H451" s="184"/>
      <c r="I451" s="194"/>
      <c r="J451" s="194"/>
      <c r="K451" s="194"/>
      <c r="L451" s="184"/>
      <c r="M451" s="184"/>
      <c r="N451" s="184"/>
      <c r="O451" s="184"/>
      <c r="P451" s="184"/>
      <c r="Q451" s="184"/>
      <c r="R451" s="184"/>
      <c r="S451" s="184"/>
      <c r="T451" s="184"/>
      <c r="U451" s="184"/>
      <c r="V451" s="184"/>
      <c r="W451" s="184"/>
      <c r="X451" s="184"/>
      <c r="Y451" s="184"/>
      <c r="Z451" s="184"/>
      <c r="AA451" s="184"/>
    </row>
    <row r="452">
      <c r="A452" s="184"/>
      <c r="B452" s="184"/>
      <c r="C452" s="194"/>
      <c r="D452" s="194"/>
      <c r="E452" s="194"/>
      <c r="F452" s="194"/>
      <c r="G452" s="194"/>
      <c r="H452" s="184"/>
      <c r="I452" s="194"/>
      <c r="J452" s="194"/>
      <c r="K452" s="194"/>
      <c r="L452" s="184"/>
      <c r="M452" s="184"/>
      <c r="N452" s="184"/>
      <c r="O452" s="184"/>
      <c r="P452" s="184"/>
      <c r="Q452" s="184"/>
      <c r="R452" s="184"/>
      <c r="S452" s="184"/>
      <c r="T452" s="184"/>
      <c r="U452" s="184"/>
      <c r="V452" s="184"/>
      <c r="W452" s="184"/>
      <c r="X452" s="184"/>
      <c r="Y452" s="184"/>
      <c r="Z452" s="184"/>
      <c r="AA452" s="184"/>
    </row>
    <row r="453">
      <c r="A453" s="184"/>
      <c r="B453" s="184"/>
      <c r="C453" s="194"/>
      <c r="D453" s="194"/>
      <c r="E453" s="194"/>
      <c r="F453" s="194"/>
      <c r="G453" s="194"/>
      <c r="H453" s="184"/>
      <c r="I453" s="194"/>
      <c r="J453" s="194"/>
      <c r="K453" s="194"/>
      <c r="L453" s="184"/>
      <c r="M453" s="184"/>
      <c r="N453" s="184"/>
      <c r="O453" s="184"/>
      <c r="P453" s="184"/>
      <c r="Q453" s="184"/>
      <c r="R453" s="184"/>
      <c r="S453" s="184"/>
      <c r="T453" s="184"/>
      <c r="U453" s="184"/>
      <c r="V453" s="184"/>
      <c r="W453" s="184"/>
      <c r="X453" s="184"/>
      <c r="Y453" s="184"/>
      <c r="Z453" s="184"/>
      <c r="AA453" s="184"/>
    </row>
    <row r="454">
      <c r="A454" s="184"/>
      <c r="B454" s="184"/>
      <c r="C454" s="194"/>
      <c r="D454" s="194"/>
      <c r="E454" s="194"/>
      <c r="F454" s="194"/>
      <c r="G454" s="194"/>
      <c r="H454" s="184"/>
      <c r="I454" s="194"/>
      <c r="J454" s="194"/>
      <c r="K454" s="194"/>
      <c r="L454" s="184"/>
      <c r="M454" s="184"/>
      <c r="N454" s="184"/>
      <c r="O454" s="184"/>
      <c r="P454" s="184"/>
      <c r="Q454" s="184"/>
      <c r="R454" s="184"/>
      <c r="S454" s="184"/>
      <c r="T454" s="184"/>
      <c r="U454" s="184"/>
      <c r="V454" s="184"/>
      <c r="W454" s="184"/>
      <c r="X454" s="184"/>
      <c r="Y454" s="184"/>
      <c r="Z454" s="184"/>
      <c r="AA454" s="184"/>
    </row>
    <row r="455">
      <c r="A455" s="184"/>
      <c r="B455" s="184"/>
      <c r="C455" s="194"/>
      <c r="D455" s="194"/>
      <c r="E455" s="194"/>
      <c r="F455" s="194"/>
      <c r="G455" s="194"/>
      <c r="H455" s="184"/>
      <c r="I455" s="194"/>
      <c r="J455" s="194"/>
      <c r="K455" s="194"/>
      <c r="L455" s="184"/>
      <c r="M455" s="184"/>
      <c r="N455" s="184"/>
      <c r="O455" s="184"/>
      <c r="P455" s="184"/>
      <c r="Q455" s="184"/>
      <c r="R455" s="184"/>
      <c r="S455" s="184"/>
      <c r="T455" s="184"/>
      <c r="U455" s="184"/>
      <c r="V455" s="184"/>
      <c r="W455" s="184"/>
      <c r="X455" s="184"/>
      <c r="Y455" s="184"/>
      <c r="Z455" s="184"/>
      <c r="AA455" s="184"/>
    </row>
    <row r="456">
      <c r="A456" s="184"/>
      <c r="B456" s="184"/>
      <c r="C456" s="194"/>
      <c r="D456" s="194"/>
      <c r="E456" s="194"/>
      <c r="F456" s="194"/>
      <c r="G456" s="194"/>
      <c r="H456" s="184"/>
      <c r="I456" s="194"/>
      <c r="J456" s="194"/>
      <c r="K456" s="194"/>
      <c r="L456" s="184"/>
      <c r="M456" s="184"/>
      <c r="N456" s="184"/>
      <c r="O456" s="184"/>
      <c r="P456" s="184"/>
      <c r="Q456" s="184"/>
      <c r="R456" s="184"/>
      <c r="S456" s="184"/>
      <c r="T456" s="184"/>
      <c r="U456" s="184"/>
      <c r="V456" s="184"/>
      <c r="W456" s="184"/>
      <c r="X456" s="184"/>
      <c r="Y456" s="184"/>
      <c r="Z456" s="184"/>
      <c r="AA456" s="184"/>
    </row>
    <row r="457">
      <c r="A457" s="184"/>
      <c r="B457" s="184"/>
      <c r="C457" s="194"/>
      <c r="D457" s="194"/>
      <c r="E457" s="194"/>
      <c r="F457" s="194"/>
      <c r="G457" s="194"/>
      <c r="H457" s="184"/>
      <c r="I457" s="194"/>
      <c r="J457" s="194"/>
      <c r="K457" s="194"/>
      <c r="L457" s="184"/>
      <c r="M457" s="184"/>
      <c r="N457" s="184"/>
      <c r="O457" s="184"/>
      <c r="P457" s="184"/>
      <c r="Q457" s="184"/>
      <c r="R457" s="184"/>
      <c r="S457" s="184"/>
      <c r="T457" s="184"/>
      <c r="U457" s="184"/>
      <c r="V457" s="184"/>
      <c r="W457" s="184"/>
      <c r="X457" s="184"/>
      <c r="Y457" s="184"/>
      <c r="Z457" s="184"/>
      <c r="AA457" s="184"/>
    </row>
    <row r="458">
      <c r="A458" s="184"/>
      <c r="B458" s="184"/>
      <c r="C458" s="194"/>
      <c r="D458" s="194"/>
      <c r="E458" s="194"/>
      <c r="F458" s="194"/>
      <c r="G458" s="194"/>
      <c r="H458" s="184"/>
      <c r="I458" s="194"/>
      <c r="J458" s="194"/>
      <c r="K458" s="194"/>
      <c r="L458" s="184"/>
      <c r="M458" s="184"/>
      <c r="N458" s="184"/>
      <c r="O458" s="184"/>
      <c r="P458" s="184"/>
      <c r="Q458" s="184"/>
      <c r="R458" s="184"/>
      <c r="S458" s="184"/>
      <c r="T458" s="184"/>
      <c r="U458" s="184"/>
      <c r="V458" s="184"/>
      <c r="W458" s="184"/>
      <c r="X458" s="184"/>
      <c r="Y458" s="184"/>
      <c r="Z458" s="184"/>
      <c r="AA458" s="184"/>
    </row>
    <row r="459">
      <c r="A459" s="184"/>
      <c r="B459" s="184"/>
      <c r="C459" s="194"/>
      <c r="D459" s="194"/>
      <c r="E459" s="194"/>
      <c r="F459" s="194"/>
      <c r="G459" s="194"/>
      <c r="H459" s="184"/>
      <c r="I459" s="194"/>
      <c r="J459" s="194"/>
      <c r="K459" s="194"/>
      <c r="L459" s="184"/>
      <c r="M459" s="184"/>
      <c r="N459" s="184"/>
      <c r="O459" s="184"/>
      <c r="P459" s="184"/>
      <c r="Q459" s="184"/>
      <c r="R459" s="184"/>
      <c r="S459" s="184"/>
      <c r="T459" s="184"/>
      <c r="U459" s="184"/>
      <c r="V459" s="184"/>
      <c r="W459" s="184"/>
      <c r="X459" s="184"/>
      <c r="Y459" s="184"/>
      <c r="Z459" s="184"/>
      <c r="AA459" s="184"/>
    </row>
    <row r="460">
      <c r="A460" s="184"/>
      <c r="B460" s="184"/>
      <c r="C460" s="194"/>
      <c r="D460" s="194"/>
      <c r="E460" s="194"/>
      <c r="F460" s="194"/>
      <c r="G460" s="194"/>
      <c r="H460" s="184"/>
      <c r="I460" s="194"/>
      <c r="J460" s="194"/>
      <c r="K460" s="194"/>
      <c r="L460" s="184"/>
      <c r="M460" s="184"/>
      <c r="N460" s="184"/>
      <c r="O460" s="184"/>
      <c r="P460" s="184"/>
      <c r="Q460" s="184"/>
      <c r="R460" s="184"/>
      <c r="S460" s="184"/>
      <c r="T460" s="184"/>
      <c r="U460" s="184"/>
      <c r="V460" s="184"/>
      <c r="W460" s="184"/>
      <c r="X460" s="184"/>
      <c r="Y460" s="184"/>
      <c r="Z460" s="184"/>
      <c r="AA460" s="184"/>
    </row>
    <row r="461">
      <c r="A461" s="184"/>
      <c r="B461" s="184"/>
      <c r="C461" s="194"/>
      <c r="D461" s="194"/>
      <c r="E461" s="194"/>
      <c r="F461" s="194"/>
      <c r="G461" s="194"/>
      <c r="H461" s="184"/>
      <c r="I461" s="194"/>
      <c r="J461" s="194"/>
      <c r="K461" s="194"/>
      <c r="L461" s="184"/>
      <c r="M461" s="184"/>
      <c r="N461" s="184"/>
      <c r="O461" s="184"/>
      <c r="P461" s="184"/>
      <c r="Q461" s="184"/>
      <c r="R461" s="184"/>
      <c r="S461" s="184"/>
      <c r="T461" s="184"/>
      <c r="U461" s="184"/>
      <c r="V461" s="184"/>
      <c r="W461" s="184"/>
      <c r="X461" s="184"/>
      <c r="Y461" s="184"/>
      <c r="Z461" s="184"/>
      <c r="AA461" s="184"/>
    </row>
    <row r="462">
      <c r="A462" s="184"/>
      <c r="B462" s="184"/>
      <c r="C462" s="194"/>
      <c r="D462" s="194"/>
      <c r="E462" s="194"/>
      <c r="F462" s="194"/>
      <c r="G462" s="194"/>
      <c r="H462" s="184"/>
      <c r="I462" s="194"/>
      <c r="J462" s="194"/>
      <c r="K462" s="194"/>
      <c r="L462" s="184"/>
      <c r="M462" s="184"/>
      <c r="N462" s="184"/>
      <c r="O462" s="184"/>
      <c r="P462" s="184"/>
      <c r="Q462" s="184"/>
      <c r="R462" s="184"/>
      <c r="S462" s="184"/>
      <c r="T462" s="184"/>
      <c r="U462" s="184"/>
      <c r="V462" s="184"/>
      <c r="W462" s="184"/>
      <c r="X462" s="184"/>
      <c r="Y462" s="184"/>
      <c r="Z462" s="184"/>
      <c r="AA462" s="184"/>
    </row>
    <row r="463">
      <c r="A463" s="184"/>
      <c r="B463" s="184"/>
      <c r="C463" s="194"/>
      <c r="D463" s="194"/>
      <c r="E463" s="194"/>
      <c r="F463" s="194"/>
      <c r="G463" s="194"/>
      <c r="H463" s="184"/>
      <c r="I463" s="194"/>
      <c r="J463" s="194"/>
      <c r="K463" s="194"/>
      <c r="L463" s="184"/>
      <c r="M463" s="184"/>
      <c r="N463" s="184"/>
      <c r="O463" s="184"/>
      <c r="P463" s="184"/>
      <c r="Q463" s="184"/>
      <c r="R463" s="184"/>
      <c r="S463" s="184"/>
      <c r="T463" s="184"/>
      <c r="U463" s="184"/>
      <c r="V463" s="184"/>
      <c r="W463" s="184"/>
      <c r="X463" s="184"/>
      <c r="Y463" s="184"/>
      <c r="Z463" s="184"/>
      <c r="AA463" s="184"/>
    </row>
    <row r="464">
      <c r="A464" s="184"/>
      <c r="B464" s="184"/>
      <c r="C464" s="194"/>
      <c r="D464" s="194"/>
      <c r="E464" s="194"/>
      <c r="F464" s="194"/>
      <c r="G464" s="194"/>
      <c r="H464" s="184"/>
      <c r="I464" s="194"/>
      <c r="J464" s="194"/>
      <c r="K464" s="194"/>
      <c r="L464" s="184"/>
      <c r="M464" s="184"/>
      <c r="N464" s="184"/>
      <c r="O464" s="184"/>
      <c r="P464" s="184"/>
      <c r="Q464" s="184"/>
      <c r="R464" s="184"/>
      <c r="S464" s="184"/>
      <c r="T464" s="184"/>
      <c r="U464" s="184"/>
      <c r="V464" s="184"/>
      <c r="W464" s="184"/>
      <c r="X464" s="184"/>
      <c r="Y464" s="184"/>
      <c r="Z464" s="184"/>
      <c r="AA464" s="184"/>
    </row>
    <row r="465">
      <c r="A465" s="184"/>
      <c r="B465" s="184"/>
      <c r="C465" s="194"/>
      <c r="D465" s="194"/>
      <c r="E465" s="194"/>
      <c r="F465" s="194"/>
      <c r="G465" s="194"/>
      <c r="H465" s="184"/>
      <c r="I465" s="194"/>
      <c r="J465" s="194"/>
      <c r="K465" s="194"/>
      <c r="L465" s="184"/>
      <c r="M465" s="184"/>
      <c r="N465" s="184"/>
      <c r="O465" s="184"/>
      <c r="P465" s="184"/>
      <c r="Q465" s="184"/>
      <c r="R465" s="184"/>
      <c r="S465" s="184"/>
      <c r="T465" s="184"/>
      <c r="U465" s="184"/>
      <c r="V465" s="184"/>
      <c r="W465" s="184"/>
      <c r="X465" s="184"/>
      <c r="Y465" s="184"/>
      <c r="Z465" s="184"/>
      <c r="AA465" s="184"/>
    </row>
    <row r="466">
      <c r="A466" s="184"/>
      <c r="B466" s="184"/>
      <c r="C466" s="194"/>
      <c r="D466" s="194"/>
      <c r="E466" s="194"/>
      <c r="F466" s="194"/>
      <c r="G466" s="194"/>
      <c r="H466" s="184"/>
      <c r="I466" s="194"/>
      <c r="J466" s="194"/>
      <c r="K466" s="194"/>
      <c r="L466" s="184"/>
      <c r="M466" s="184"/>
      <c r="N466" s="184"/>
      <c r="O466" s="184"/>
      <c r="P466" s="184"/>
      <c r="Q466" s="184"/>
      <c r="R466" s="184"/>
      <c r="S466" s="184"/>
      <c r="T466" s="184"/>
      <c r="U466" s="184"/>
      <c r="V466" s="184"/>
      <c r="W466" s="184"/>
      <c r="X466" s="184"/>
      <c r="Y466" s="184"/>
      <c r="Z466" s="184"/>
      <c r="AA466" s="184"/>
    </row>
    <row r="467">
      <c r="A467" s="184"/>
      <c r="B467" s="184"/>
      <c r="C467" s="194"/>
      <c r="D467" s="194"/>
      <c r="E467" s="194"/>
      <c r="F467" s="194"/>
      <c r="G467" s="194"/>
      <c r="H467" s="184"/>
      <c r="I467" s="194"/>
      <c r="J467" s="194"/>
      <c r="K467" s="194"/>
      <c r="L467" s="184"/>
      <c r="M467" s="184"/>
      <c r="N467" s="184"/>
      <c r="O467" s="184"/>
      <c r="P467" s="184"/>
      <c r="Q467" s="184"/>
      <c r="R467" s="184"/>
      <c r="S467" s="184"/>
      <c r="T467" s="184"/>
      <c r="U467" s="184"/>
      <c r="V467" s="184"/>
      <c r="W467" s="184"/>
      <c r="X467" s="184"/>
      <c r="Y467" s="184"/>
      <c r="Z467" s="184"/>
      <c r="AA467" s="184"/>
    </row>
    <row r="468">
      <c r="A468" s="184"/>
      <c r="B468" s="184"/>
      <c r="C468" s="194"/>
      <c r="D468" s="194"/>
      <c r="E468" s="194"/>
      <c r="F468" s="194"/>
      <c r="G468" s="194"/>
      <c r="H468" s="184"/>
      <c r="I468" s="194"/>
      <c r="J468" s="194"/>
      <c r="K468" s="194"/>
      <c r="L468" s="184"/>
      <c r="M468" s="184"/>
      <c r="N468" s="184"/>
      <c r="O468" s="184"/>
      <c r="P468" s="184"/>
      <c r="Q468" s="184"/>
      <c r="R468" s="184"/>
      <c r="S468" s="184"/>
      <c r="T468" s="184"/>
      <c r="U468" s="184"/>
      <c r="V468" s="184"/>
      <c r="W468" s="184"/>
      <c r="X468" s="184"/>
      <c r="Y468" s="184"/>
      <c r="Z468" s="184"/>
      <c r="AA468" s="184"/>
    </row>
    <row r="469">
      <c r="A469" s="184"/>
      <c r="B469" s="184"/>
      <c r="C469" s="194"/>
      <c r="D469" s="194"/>
      <c r="E469" s="194"/>
      <c r="F469" s="194"/>
      <c r="G469" s="194"/>
      <c r="H469" s="184"/>
      <c r="I469" s="194"/>
      <c r="J469" s="194"/>
      <c r="K469" s="194"/>
      <c r="L469" s="184"/>
      <c r="M469" s="184"/>
      <c r="N469" s="184"/>
      <c r="O469" s="184"/>
      <c r="P469" s="184"/>
      <c r="Q469" s="184"/>
      <c r="R469" s="184"/>
      <c r="S469" s="184"/>
      <c r="T469" s="184"/>
      <c r="U469" s="184"/>
      <c r="V469" s="184"/>
      <c r="W469" s="184"/>
      <c r="X469" s="184"/>
      <c r="Y469" s="184"/>
      <c r="Z469" s="184"/>
      <c r="AA469" s="184"/>
    </row>
    <row r="470">
      <c r="A470" s="184"/>
      <c r="B470" s="184"/>
      <c r="C470" s="194"/>
      <c r="D470" s="194"/>
      <c r="E470" s="194"/>
      <c r="F470" s="194"/>
      <c r="G470" s="194"/>
      <c r="H470" s="184"/>
      <c r="I470" s="194"/>
      <c r="J470" s="194"/>
      <c r="K470" s="194"/>
      <c r="L470" s="184"/>
      <c r="M470" s="184"/>
      <c r="N470" s="184"/>
      <c r="O470" s="184"/>
      <c r="P470" s="184"/>
      <c r="Q470" s="184"/>
      <c r="R470" s="184"/>
      <c r="S470" s="184"/>
      <c r="T470" s="184"/>
      <c r="U470" s="184"/>
      <c r="V470" s="184"/>
      <c r="W470" s="184"/>
      <c r="X470" s="184"/>
      <c r="Y470" s="184"/>
      <c r="Z470" s="184"/>
      <c r="AA470" s="184"/>
    </row>
    <row r="471">
      <c r="A471" s="184"/>
      <c r="B471" s="184"/>
      <c r="C471" s="194"/>
      <c r="D471" s="194"/>
      <c r="E471" s="194"/>
      <c r="F471" s="194"/>
      <c r="G471" s="194"/>
      <c r="H471" s="184"/>
      <c r="I471" s="194"/>
      <c r="J471" s="194"/>
      <c r="K471" s="194"/>
      <c r="L471" s="184"/>
      <c r="M471" s="184"/>
      <c r="N471" s="184"/>
      <c r="O471" s="184"/>
      <c r="P471" s="184"/>
      <c r="Q471" s="184"/>
      <c r="R471" s="184"/>
      <c r="S471" s="184"/>
      <c r="T471" s="184"/>
      <c r="U471" s="184"/>
      <c r="V471" s="184"/>
      <c r="W471" s="184"/>
      <c r="X471" s="184"/>
      <c r="Y471" s="184"/>
      <c r="Z471" s="184"/>
      <c r="AA471" s="184"/>
    </row>
    <row r="472">
      <c r="A472" s="184"/>
      <c r="B472" s="184"/>
      <c r="C472" s="194"/>
      <c r="D472" s="194"/>
      <c r="E472" s="194"/>
      <c r="F472" s="194"/>
      <c r="G472" s="194"/>
      <c r="H472" s="184"/>
      <c r="I472" s="194"/>
      <c r="J472" s="194"/>
      <c r="K472" s="194"/>
      <c r="L472" s="184"/>
      <c r="M472" s="184"/>
      <c r="N472" s="184"/>
      <c r="O472" s="184"/>
      <c r="P472" s="184"/>
      <c r="Q472" s="184"/>
      <c r="R472" s="184"/>
      <c r="S472" s="184"/>
      <c r="T472" s="184"/>
      <c r="U472" s="184"/>
      <c r="V472" s="184"/>
      <c r="W472" s="184"/>
      <c r="X472" s="184"/>
      <c r="Y472" s="184"/>
      <c r="Z472" s="184"/>
      <c r="AA472" s="184"/>
    </row>
    <row r="473">
      <c r="A473" s="184"/>
      <c r="B473" s="184"/>
      <c r="C473" s="194"/>
      <c r="D473" s="194"/>
      <c r="E473" s="194"/>
      <c r="F473" s="194"/>
      <c r="G473" s="194"/>
      <c r="H473" s="184"/>
      <c r="I473" s="194"/>
      <c r="J473" s="194"/>
      <c r="K473" s="194"/>
      <c r="L473" s="184"/>
      <c r="M473" s="184"/>
      <c r="N473" s="184"/>
      <c r="O473" s="184"/>
      <c r="P473" s="184"/>
      <c r="Q473" s="184"/>
      <c r="R473" s="184"/>
      <c r="S473" s="184"/>
      <c r="T473" s="184"/>
      <c r="U473" s="184"/>
      <c r="V473" s="184"/>
      <c r="W473" s="184"/>
      <c r="X473" s="184"/>
      <c r="Y473" s="184"/>
      <c r="Z473" s="184"/>
      <c r="AA473" s="184"/>
    </row>
    <row r="474">
      <c r="A474" s="184"/>
      <c r="B474" s="184"/>
      <c r="C474" s="194"/>
      <c r="D474" s="194"/>
      <c r="E474" s="194"/>
      <c r="F474" s="194"/>
      <c r="G474" s="194"/>
      <c r="H474" s="184"/>
      <c r="I474" s="194"/>
      <c r="J474" s="194"/>
      <c r="K474" s="194"/>
      <c r="L474" s="184"/>
      <c r="M474" s="184"/>
      <c r="N474" s="184"/>
      <c r="O474" s="184"/>
      <c r="P474" s="184"/>
      <c r="Q474" s="184"/>
      <c r="R474" s="184"/>
      <c r="S474" s="184"/>
      <c r="T474" s="184"/>
      <c r="U474" s="184"/>
      <c r="V474" s="184"/>
      <c r="W474" s="184"/>
      <c r="X474" s="184"/>
      <c r="Y474" s="184"/>
      <c r="Z474" s="184"/>
      <c r="AA474" s="184"/>
    </row>
    <row r="475">
      <c r="A475" s="184"/>
      <c r="B475" s="184"/>
      <c r="C475" s="194"/>
      <c r="D475" s="194"/>
      <c r="E475" s="194"/>
      <c r="F475" s="194"/>
      <c r="G475" s="194"/>
      <c r="H475" s="184"/>
      <c r="I475" s="194"/>
      <c r="J475" s="194"/>
      <c r="K475" s="194"/>
      <c r="L475" s="184"/>
      <c r="M475" s="184"/>
      <c r="N475" s="184"/>
      <c r="O475" s="184"/>
      <c r="P475" s="184"/>
      <c r="Q475" s="184"/>
      <c r="R475" s="184"/>
      <c r="S475" s="184"/>
      <c r="T475" s="184"/>
      <c r="U475" s="184"/>
      <c r="V475" s="184"/>
      <c r="W475" s="184"/>
      <c r="X475" s="184"/>
      <c r="Y475" s="184"/>
      <c r="Z475" s="184"/>
      <c r="AA475" s="184"/>
    </row>
    <row r="476">
      <c r="A476" s="184"/>
      <c r="B476" s="184"/>
      <c r="C476" s="194"/>
      <c r="D476" s="194"/>
      <c r="E476" s="194"/>
      <c r="F476" s="194"/>
      <c r="G476" s="194"/>
      <c r="H476" s="184"/>
      <c r="I476" s="194"/>
      <c r="J476" s="194"/>
      <c r="K476" s="194"/>
      <c r="L476" s="184"/>
      <c r="M476" s="184"/>
      <c r="N476" s="184"/>
      <c r="O476" s="184"/>
      <c r="P476" s="184"/>
      <c r="Q476" s="184"/>
      <c r="R476" s="184"/>
      <c r="S476" s="184"/>
      <c r="T476" s="184"/>
      <c r="U476" s="184"/>
      <c r="V476" s="184"/>
      <c r="W476" s="184"/>
      <c r="X476" s="184"/>
      <c r="Y476" s="184"/>
      <c r="Z476" s="184"/>
      <c r="AA476" s="184"/>
    </row>
    <row r="477">
      <c r="A477" s="184"/>
      <c r="B477" s="184"/>
      <c r="C477" s="194"/>
      <c r="D477" s="194"/>
      <c r="E477" s="194"/>
      <c r="F477" s="194"/>
      <c r="G477" s="194"/>
      <c r="H477" s="184"/>
      <c r="I477" s="194"/>
      <c r="J477" s="194"/>
      <c r="K477" s="194"/>
      <c r="L477" s="184"/>
      <c r="M477" s="184"/>
      <c r="N477" s="184"/>
      <c r="O477" s="184"/>
      <c r="P477" s="184"/>
      <c r="Q477" s="184"/>
      <c r="R477" s="184"/>
      <c r="S477" s="184"/>
      <c r="T477" s="184"/>
      <c r="U477" s="184"/>
      <c r="V477" s="184"/>
      <c r="W477" s="184"/>
      <c r="X477" s="184"/>
      <c r="Y477" s="184"/>
      <c r="Z477" s="184"/>
      <c r="AA477" s="184"/>
    </row>
    <row r="478">
      <c r="A478" s="184"/>
      <c r="B478" s="184"/>
      <c r="C478" s="194"/>
      <c r="D478" s="194"/>
      <c r="E478" s="194"/>
      <c r="F478" s="194"/>
      <c r="G478" s="194"/>
      <c r="H478" s="184"/>
      <c r="I478" s="194"/>
      <c r="J478" s="194"/>
      <c r="K478" s="194"/>
      <c r="L478" s="184"/>
      <c r="M478" s="184"/>
      <c r="N478" s="184"/>
      <c r="O478" s="184"/>
      <c r="P478" s="184"/>
      <c r="Q478" s="184"/>
      <c r="R478" s="184"/>
      <c r="S478" s="184"/>
      <c r="T478" s="184"/>
      <c r="U478" s="184"/>
      <c r="V478" s="184"/>
      <c r="W478" s="184"/>
      <c r="X478" s="184"/>
      <c r="Y478" s="184"/>
      <c r="Z478" s="184"/>
      <c r="AA478" s="184"/>
    </row>
    <row r="479">
      <c r="A479" s="184"/>
      <c r="B479" s="184"/>
      <c r="C479" s="194"/>
      <c r="D479" s="194"/>
      <c r="E479" s="194"/>
      <c r="F479" s="194"/>
      <c r="G479" s="194"/>
      <c r="H479" s="184"/>
      <c r="I479" s="194"/>
      <c r="J479" s="194"/>
      <c r="K479" s="194"/>
      <c r="L479" s="184"/>
      <c r="M479" s="184"/>
      <c r="N479" s="184"/>
      <c r="O479" s="184"/>
      <c r="P479" s="184"/>
      <c r="Q479" s="184"/>
      <c r="R479" s="184"/>
      <c r="S479" s="184"/>
      <c r="T479" s="184"/>
      <c r="U479" s="184"/>
      <c r="V479" s="184"/>
      <c r="W479" s="184"/>
      <c r="X479" s="184"/>
      <c r="Y479" s="184"/>
      <c r="Z479" s="184"/>
      <c r="AA479" s="184"/>
    </row>
    <row r="480">
      <c r="A480" s="184"/>
      <c r="B480" s="184"/>
      <c r="C480" s="194"/>
      <c r="D480" s="194"/>
      <c r="E480" s="194"/>
      <c r="F480" s="194"/>
      <c r="G480" s="194"/>
      <c r="H480" s="184"/>
      <c r="I480" s="194"/>
      <c r="J480" s="194"/>
      <c r="K480" s="194"/>
      <c r="L480" s="184"/>
      <c r="M480" s="184"/>
      <c r="N480" s="184"/>
      <c r="O480" s="184"/>
      <c r="P480" s="184"/>
      <c r="Q480" s="184"/>
      <c r="R480" s="184"/>
      <c r="S480" s="184"/>
      <c r="T480" s="184"/>
      <c r="U480" s="184"/>
      <c r="V480" s="184"/>
      <c r="W480" s="184"/>
      <c r="X480" s="184"/>
      <c r="Y480" s="184"/>
      <c r="Z480" s="184"/>
      <c r="AA480" s="184"/>
    </row>
    <row r="481">
      <c r="A481" s="184"/>
      <c r="B481" s="184"/>
      <c r="C481" s="194"/>
      <c r="D481" s="194"/>
      <c r="E481" s="194"/>
      <c r="F481" s="194"/>
      <c r="G481" s="194"/>
      <c r="H481" s="184"/>
      <c r="I481" s="194"/>
      <c r="J481" s="194"/>
      <c r="K481" s="194"/>
      <c r="L481" s="184"/>
      <c r="M481" s="184"/>
      <c r="N481" s="184"/>
      <c r="O481" s="184"/>
      <c r="P481" s="184"/>
      <c r="Q481" s="184"/>
      <c r="R481" s="184"/>
      <c r="S481" s="184"/>
      <c r="T481" s="184"/>
      <c r="U481" s="184"/>
      <c r="V481" s="184"/>
      <c r="W481" s="184"/>
      <c r="X481" s="184"/>
      <c r="Y481" s="184"/>
      <c r="Z481" s="184"/>
      <c r="AA481" s="184"/>
    </row>
    <row r="482">
      <c r="A482" s="184"/>
      <c r="B482" s="184"/>
      <c r="C482" s="194"/>
      <c r="D482" s="194"/>
      <c r="E482" s="194"/>
      <c r="F482" s="194"/>
      <c r="G482" s="194"/>
      <c r="H482" s="184"/>
      <c r="I482" s="194"/>
      <c r="J482" s="194"/>
      <c r="K482" s="194"/>
      <c r="L482" s="184"/>
      <c r="M482" s="184"/>
      <c r="N482" s="184"/>
      <c r="O482" s="184"/>
      <c r="P482" s="184"/>
      <c r="Q482" s="184"/>
      <c r="R482" s="184"/>
      <c r="S482" s="184"/>
      <c r="T482" s="184"/>
      <c r="U482" s="184"/>
      <c r="V482" s="184"/>
      <c r="W482" s="184"/>
      <c r="X482" s="184"/>
      <c r="Y482" s="184"/>
      <c r="Z482" s="184"/>
      <c r="AA482" s="184"/>
    </row>
    <row r="483">
      <c r="A483" s="184"/>
      <c r="B483" s="184"/>
      <c r="C483" s="194"/>
      <c r="D483" s="194"/>
      <c r="E483" s="194"/>
      <c r="F483" s="194"/>
      <c r="G483" s="194"/>
      <c r="H483" s="184"/>
      <c r="I483" s="194"/>
      <c r="J483" s="194"/>
      <c r="K483" s="194"/>
      <c r="L483" s="184"/>
      <c r="M483" s="184"/>
      <c r="N483" s="184"/>
      <c r="O483" s="184"/>
      <c r="P483" s="184"/>
      <c r="Q483" s="184"/>
      <c r="R483" s="184"/>
      <c r="S483" s="184"/>
      <c r="T483" s="184"/>
      <c r="U483" s="184"/>
      <c r="V483" s="184"/>
      <c r="W483" s="184"/>
      <c r="X483" s="184"/>
      <c r="Y483" s="184"/>
      <c r="Z483" s="184"/>
      <c r="AA483" s="184"/>
    </row>
    <row r="484">
      <c r="A484" s="184"/>
      <c r="B484" s="184"/>
      <c r="C484" s="194"/>
      <c r="D484" s="194"/>
      <c r="E484" s="194"/>
      <c r="F484" s="194"/>
      <c r="G484" s="194"/>
      <c r="H484" s="184"/>
      <c r="I484" s="194"/>
      <c r="J484" s="194"/>
      <c r="K484" s="194"/>
      <c r="L484" s="184"/>
      <c r="M484" s="184"/>
      <c r="N484" s="184"/>
      <c r="O484" s="184"/>
      <c r="P484" s="184"/>
      <c r="Q484" s="184"/>
      <c r="R484" s="184"/>
      <c r="S484" s="184"/>
      <c r="T484" s="184"/>
      <c r="U484" s="184"/>
      <c r="V484" s="184"/>
      <c r="W484" s="184"/>
      <c r="X484" s="184"/>
      <c r="Y484" s="184"/>
      <c r="Z484" s="184"/>
      <c r="AA484" s="184"/>
    </row>
    <row r="485">
      <c r="A485" s="184"/>
      <c r="B485" s="184"/>
      <c r="C485" s="194"/>
      <c r="D485" s="194"/>
      <c r="E485" s="194"/>
      <c r="F485" s="194"/>
      <c r="G485" s="194"/>
      <c r="H485" s="184"/>
      <c r="I485" s="194"/>
      <c r="J485" s="194"/>
      <c r="K485" s="194"/>
      <c r="L485" s="184"/>
      <c r="M485" s="184"/>
      <c r="N485" s="184"/>
      <c r="O485" s="184"/>
      <c r="P485" s="184"/>
      <c r="Q485" s="184"/>
      <c r="R485" s="184"/>
      <c r="S485" s="184"/>
      <c r="T485" s="184"/>
      <c r="U485" s="184"/>
      <c r="V485" s="184"/>
      <c r="W485" s="184"/>
      <c r="X485" s="184"/>
      <c r="Y485" s="184"/>
      <c r="Z485" s="184"/>
      <c r="AA485" s="184"/>
    </row>
    <row r="486">
      <c r="A486" s="184"/>
      <c r="B486" s="184"/>
      <c r="C486" s="194"/>
      <c r="D486" s="194"/>
      <c r="E486" s="194"/>
      <c r="F486" s="194"/>
      <c r="G486" s="194"/>
      <c r="H486" s="184"/>
      <c r="I486" s="194"/>
      <c r="J486" s="194"/>
      <c r="K486" s="194"/>
      <c r="L486" s="184"/>
      <c r="M486" s="184"/>
      <c r="N486" s="184"/>
      <c r="O486" s="184"/>
      <c r="P486" s="184"/>
      <c r="Q486" s="184"/>
      <c r="R486" s="184"/>
      <c r="S486" s="184"/>
      <c r="T486" s="184"/>
      <c r="U486" s="184"/>
      <c r="V486" s="184"/>
      <c r="W486" s="184"/>
      <c r="X486" s="184"/>
      <c r="Y486" s="184"/>
      <c r="Z486" s="184"/>
      <c r="AA486" s="184"/>
    </row>
    <row r="487">
      <c r="A487" s="184"/>
      <c r="B487" s="184"/>
      <c r="C487" s="194"/>
      <c r="D487" s="194"/>
      <c r="E487" s="194"/>
      <c r="F487" s="194"/>
      <c r="G487" s="194"/>
      <c r="H487" s="184"/>
      <c r="I487" s="194"/>
      <c r="J487" s="194"/>
      <c r="K487" s="194"/>
      <c r="L487" s="184"/>
      <c r="M487" s="184"/>
      <c r="N487" s="184"/>
      <c r="O487" s="184"/>
      <c r="P487" s="184"/>
      <c r="Q487" s="184"/>
      <c r="R487" s="184"/>
      <c r="S487" s="184"/>
      <c r="T487" s="184"/>
      <c r="U487" s="184"/>
      <c r="V487" s="184"/>
      <c r="W487" s="184"/>
      <c r="X487" s="184"/>
      <c r="Y487" s="184"/>
      <c r="Z487" s="184"/>
      <c r="AA487" s="184"/>
    </row>
    <row r="488">
      <c r="A488" s="184"/>
      <c r="B488" s="184"/>
      <c r="C488" s="194"/>
      <c r="D488" s="194"/>
      <c r="E488" s="194"/>
      <c r="F488" s="194"/>
      <c r="G488" s="194"/>
      <c r="H488" s="184"/>
      <c r="I488" s="194"/>
      <c r="J488" s="194"/>
      <c r="K488" s="194"/>
      <c r="L488" s="184"/>
      <c r="M488" s="184"/>
      <c r="N488" s="184"/>
      <c r="O488" s="184"/>
      <c r="P488" s="184"/>
      <c r="Q488" s="184"/>
      <c r="R488" s="184"/>
      <c r="S488" s="184"/>
      <c r="T488" s="184"/>
      <c r="U488" s="184"/>
      <c r="V488" s="184"/>
      <c r="W488" s="184"/>
      <c r="X488" s="184"/>
      <c r="Y488" s="184"/>
      <c r="Z488" s="184"/>
      <c r="AA488" s="184"/>
    </row>
    <row r="489">
      <c r="A489" s="184"/>
      <c r="B489" s="184"/>
      <c r="C489" s="194"/>
      <c r="D489" s="194"/>
      <c r="E489" s="194"/>
      <c r="F489" s="194"/>
      <c r="G489" s="194"/>
      <c r="H489" s="184"/>
      <c r="I489" s="194"/>
      <c r="J489" s="194"/>
      <c r="K489" s="194"/>
      <c r="L489" s="184"/>
      <c r="M489" s="184"/>
      <c r="N489" s="184"/>
      <c r="O489" s="184"/>
      <c r="P489" s="184"/>
      <c r="Q489" s="184"/>
      <c r="R489" s="184"/>
      <c r="S489" s="184"/>
      <c r="T489" s="184"/>
      <c r="U489" s="184"/>
      <c r="V489" s="184"/>
      <c r="W489" s="184"/>
      <c r="X489" s="184"/>
      <c r="Y489" s="184"/>
      <c r="Z489" s="184"/>
      <c r="AA489" s="184"/>
    </row>
    <row r="490">
      <c r="A490" s="184"/>
      <c r="B490" s="184"/>
      <c r="C490" s="194"/>
      <c r="D490" s="194"/>
      <c r="E490" s="194"/>
      <c r="F490" s="194"/>
      <c r="G490" s="194"/>
      <c r="H490" s="184"/>
      <c r="I490" s="194"/>
      <c r="J490" s="194"/>
      <c r="K490" s="194"/>
      <c r="L490" s="184"/>
      <c r="M490" s="184"/>
      <c r="N490" s="184"/>
      <c r="O490" s="184"/>
      <c r="P490" s="184"/>
      <c r="Q490" s="184"/>
      <c r="R490" s="184"/>
      <c r="S490" s="184"/>
      <c r="T490" s="184"/>
      <c r="U490" s="184"/>
      <c r="V490" s="184"/>
      <c r="W490" s="184"/>
      <c r="X490" s="184"/>
      <c r="Y490" s="184"/>
      <c r="Z490" s="184"/>
      <c r="AA490" s="184"/>
    </row>
    <row r="491">
      <c r="A491" s="184"/>
      <c r="B491" s="184"/>
      <c r="C491" s="194"/>
      <c r="D491" s="194"/>
      <c r="E491" s="194"/>
      <c r="F491" s="194"/>
      <c r="G491" s="194"/>
      <c r="H491" s="184"/>
      <c r="I491" s="194"/>
      <c r="J491" s="194"/>
      <c r="K491" s="194"/>
      <c r="L491" s="184"/>
      <c r="M491" s="184"/>
      <c r="N491" s="184"/>
      <c r="O491" s="184"/>
      <c r="P491" s="184"/>
      <c r="Q491" s="184"/>
      <c r="R491" s="184"/>
      <c r="S491" s="184"/>
      <c r="T491" s="184"/>
      <c r="U491" s="184"/>
      <c r="V491" s="184"/>
      <c r="W491" s="184"/>
      <c r="X491" s="184"/>
      <c r="Y491" s="184"/>
      <c r="Z491" s="184"/>
      <c r="AA491" s="184"/>
    </row>
    <row r="492">
      <c r="A492" s="184"/>
      <c r="B492" s="184"/>
      <c r="C492" s="194"/>
      <c r="D492" s="194"/>
      <c r="E492" s="194"/>
      <c r="F492" s="194"/>
      <c r="G492" s="194"/>
      <c r="H492" s="184"/>
      <c r="I492" s="194"/>
      <c r="J492" s="194"/>
      <c r="K492" s="194"/>
      <c r="L492" s="184"/>
      <c r="M492" s="184"/>
      <c r="N492" s="184"/>
      <c r="O492" s="184"/>
      <c r="P492" s="184"/>
      <c r="Q492" s="184"/>
      <c r="R492" s="184"/>
      <c r="S492" s="184"/>
      <c r="T492" s="184"/>
      <c r="U492" s="184"/>
      <c r="V492" s="184"/>
      <c r="W492" s="184"/>
      <c r="X492" s="184"/>
      <c r="Y492" s="184"/>
      <c r="Z492" s="184"/>
      <c r="AA492" s="184"/>
    </row>
    <row r="493">
      <c r="A493" s="184"/>
      <c r="B493" s="184"/>
      <c r="C493" s="194"/>
      <c r="D493" s="194"/>
      <c r="E493" s="194"/>
      <c r="F493" s="194"/>
      <c r="G493" s="194"/>
      <c r="H493" s="184"/>
      <c r="I493" s="194"/>
      <c r="J493" s="194"/>
      <c r="K493" s="194"/>
      <c r="L493" s="184"/>
      <c r="M493" s="184"/>
      <c r="N493" s="184"/>
      <c r="O493" s="184"/>
      <c r="P493" s="184"/>
      <c r="Q493" s="184"/>
      <c r="R493" s="184"/>
      <c r="S493" s="184"/>
      <c r="T493" s="184"/>
      <c r="U493" s="184"/>
      <c r="V493" s="184"/>
      <c r="W493" s="184"/>
      <c r="X493" s="184"/>
      <c r="Y493" s="184"/>
      <c r="Z493" s="184"/>
      <c r="AA493" s="184"/>
    </row>
    <row r="494">
      <c r="A494" s="184"/>
      <c r="B494" s="184"/>
      <c r="C494" s="194"/>
      <c r="D494" s="194"/>
      <c r="E494" s="194"/>
      <c r="F494" s="194"/>
      <c r="G494" s="194"/>
      <c r="H494" s="184"/>
      <c r="I494" s="194"/>
      <c r="J494" s="194"/>
      <c r="K494" s="194"/>
      <c r="L494" s="184"/>
      <c r="M494" s="184"/>
      <c r="N494" s="184"/>
      <c r="O494" s="184"/>
      <c r="P494" s="184"/>
      <c r="Q494" s="184"/>
      <c r="R494" s="184"/>
      <c r="S494" s="184"/>
      <c r="T494" s="184"/>
      <c r="U494" s="184"/>
      <c r="V494" s="184"/>
      <c r="W494" s="184"/>
      <c r="X494" s="184"/>
      <c r="Y494" s="184"/>
      <c r="Z494" s="184"/>
      <c r="AA494" s="184"/>
    </row>
    <row r="495">
      <c r="A495" s="184"/>
      <c r="B495" s="184"/>
      <c r="C495" s="194"/>
      <c r="D495" s="194"/>
      <c r="E495" s="194"/>
      <c r="F495" s="194"/>
      <c r="G495" s="194"/>
      <c r="H495" s="184"/>
      <c r="I495" s="194"/>
      <c r="J495" s="194"/>
      <c r="K495" s="194"/>
      <c r="L495" s="184"/>
      <c r="M495" s="184"/>
      <c r="N495" s="184"/>
      <c r="O495" s="184"/>
      <c r="P495" s="184"/>
      <c r="Q495" s="184"/>
      <c r="R495" s="184"/>
      <c r="S495" s="184"/>
      <c r="T495" s="184"/>
      <c r="U495" s="184"/>
      <c r="V495" s="184"/>
      <c r="W495" s="184"/>
      <c r="X495" s="184"/>
      <c r="Y495" s="184"/>
      <c r="Z495" s="184"/>
      <c r="AA495" s="184"/>
    </row>
    <row r="496">
      <c r="A496" s="184"/>
      <c r="B496" s="184"/>
      <c r="C496" s="194"/>
      <c r="D496" s="194"/>
      <c r="E496" s="194"/>
      <c r="F496" s="194"/>
      <c r="G496" s="194"/>
      <c r="H496" s="184"/>
      <c r="I496" s="194"/>
      <c r="J496" s="194"/>
      <c r="K496" s="194"/>
      <c r="L496" s="184"/>
      <c r="M496" s="184"/>
      <c r="N496" s="184"/>
      <c r="O496" s="184"/>
      <c r="P496" s="184"/>
      <c r="Q496" s="184"/>
      <c r="R496" s="184"/>
      <c r="S496" s="184"/>
      <c r="T496" s="184"/>
      <c r="U496" s="184"/>
      <c r="V496" s="184"/>
      <c r="W496" s="184"/>
      <c r="X496" s="184"/>
      <c r="Y496" s="184"/>
      <c r="Z496" s="184"/>
      <c r="AA496" s="184"/>
    </row>
    <row r="497">
      <c r="A497" s="184"/>
      <c r="B497" s="184"/>
      <c r="C497" s="194"/>
      <c r="D497" s="194"/>
      <c r="E497" s="194"/>
      <c r="F497" s="194"/>
      <c r="G497" s="194"/>
      <c r="H497" s="184"/>
      <c r="I497" s="194"/>
      <c r="J497" s="194"/>
      <c r="K497" s="194"/>
      <c r="L497" s="184"/>
      <c r="M497" s="184"/>
      <c r="N497" s="184"/>
      <c r="O497" s="184"/>
      <c r="P497" s="184"/>
      <c r="Q497" s="184"/>
      <c r="R497" s="184"/>
      <c r="S497" s="184"/>
      <c r="T497" s="184"/>
      <c r="U497" s="184"/>
      <c r="V497" s="184"/>
      <c r="W497" s="184"/>
      <c r="X497" s="184"/>
      <c r="Y497" s="184"/>
      <c r="Z497" s="184"/>
      <c r="AA497" s="184"/>
    </row>
    <row r="498">
      <c r="A498" s="184"/>
      <c r="B498" s="184"/>
      <c r="C498" s="194"/>
      <c r="D498" s="194"/>
      <c r="E498" s="194"/>
      <c r="F498" s="194"/>
      <c r="G498" s="194"/>
      <c r="H498" s="184"/>
      <c r="I498" s="194"/>
      <c r="J498" s="194"/>
      <c r="K498" s="194"/>
      <c r="L498" s="184"/>
      <c r="M498" s="184"/>
      <c r="N498" s="184"/>
      <c r="O498" s="184"/>
      <c r="P498" s="184"/>
      <c r="Q498" s="184"/>
      <c r="R498" s="184"/>
      <c r="S498" s="184"/>
      <c r="T498" s="184"/>
      <c r="U498" s="184"/>
      <c r="V498" s="184"/>
      <c r="W498" s="184"/>
      <c r="X498" s="184"/>
      <c r="Y498" s="184"/>
      <c r="Z498" s="184"/>
      <c r="AA498" s="184"/>
    </row>
    <row r="499">
      <c r="A499" s="184"/>
      <c r="B499" s="184"/>
      <c r="C499" s="194"/>
      <c r="D499" s="194"/>
      <c r="E499" s="194"/>
      <c r="F499" s="194"/>
      <c r="G499" s="194"/>
      <c r="H499" s="184"/>
      <c r="I499" s="194"/>
      <c r="J499" s="194"/>
      <c r="K499" s="194"/>
      <c r="L499" s="184"/>
      <c r="M499" s="184"/>
      <c r="N499" s="184"/>
      <c r="O499" s="184"/>
      <c r="P499" s="184"/>
      <c r="Q499" s="184"/>
      <c r="R499" s="184"/>
      <c r="S499" s="184"/>
      <c r="T499" s="184"/>
      <c r="U499" s="184"/>
      <c r="V499" s="184"/>
      <c r="W499" s="184"/>
      <c r="X499" s="184"/>
      <c r="Y499" s="184"/>
      <c r="Z499" s="184"/>
      <c r="AA499" s="184"/>
    </row>
    <row r="500">
      <c r="A500" s="184"/>
      <c r="B500" s="184"/>
      <c r="C500" s="194"/>
      <c r="D500" s="194"/>
      <c r="E500" s="194"/>
      <c r="F500" s="194"/>
      <c r="G500" s="194"/>
      <c r="H500" s="184"/>
      <c r="I500" s="194"/>
      <c r="J500" s="194"/>
      <c r="K500" s="194"/>
      <c r="L500" s="184"/>
      <c r="M500" s="184"/>
      <c r="N500" s="184"/>
      <c r="O500" s="184"/>
      <c r="P500" s="184"/>
      <c r="Q500" s="184"/>
      <c r="R500" s="184"/>
      <c r="S500" s="184"/>
      <c r="T500" s="184"/>
      <c r="U500" s="184"/>
      <c r="V500" s="184"/>
      <c r="W500" s="184"/>
      <c r="X500" s="184"/>
      <c r="Y500" s="184"/>
      <c r="Z500" s="184"/>
      <c r="AA500" s="184"/>
    </row>
    <row r="501">
      <c r="A501" s="184"/>
      <c r="B501" s="184"/>
      <c r="C501" s="194"/>
      <c r="D501" s="194"/>
      <c r="E501" s="194"/>
      <c r="F501" s="194"/>
      <c r="G501" s="194"/>
      <c r="H501" s="184"/>
      <c r="I501" s="194"/>
      <c r="J501" s="194"/>
      <c r="K501" s="194"/>
      <c r="L501" s="184"/>
      <c r="M501" s="184"/>
      <c r="N501" s="184"/>
      <c r="O501" s="184"/>
      <c r="P501" s="184"/>
      <c r="Q501" s="184"/>
      <c r="R501" s="184"/>
      <c r="S501" s="184"/>
      <c r="T501" s="184"/>
      <c r="U501" s="184"/>
      <c r="V501" s="184"/>
      <c r="W501" s="184"/>
      <c r="X501" s="184"/>
      <c r="Y501" s="184"/>
      <c r="Z501" s="184"/>
      <c r="AA501" s="184"/>
    </row>
    <row r="502">
      <c r="A502" s="184"/>
      <c r="B502" s="184"/>
      <c r="C502" s="194"/>
      <c r="D502" s="194"/>
      <c r="E502" s="194"/>
      <c r="F502" s="194"/>
      <c r="G502" s="194"/>
      <c r="H502" s="184"/>
      <c r="I502" s="194"/>
      <c r="J502" s="194"/>
      <c r="K502" s="194"/>
      <c r="L502" s="184"/>
      <c r="M502" s="184"/>
      <c r="N502" s="184"/>
      <c r="O502" s="184"/>
      <c r="P502" s="184"/>
      <c r="Q502" s="184"/>
      <c r="R502" s="184"/>
      <c r="S502" s="184"/>
      <c r="T502" s="184"/>
      <c r="U502" s="184"/>
      <c r="V502" s="184"/>
      <c r="W502" s="184"/>
      <c r="X502" s="184"/>
      <c r="Y502" s="184"/>
      <c r="Z502" s="184"/>
      <c r="AA502" s="184"/>
    </row>
    <row r="503">
      <c r="A503" s="184"/>
      <c r="B503" s="184"/>
      <c r="C503" s="194"/>
      <c r="D503" s="194"/>
      <c r="E503" s="194"/>
      <c r="F503" s="194"/>
      <c r="G503" s="194"/>
      <c r="H503" s="184"/>
      <c r="I503" s="194"/>
      <c r="J503" s="194"/>
      <c r="K503" s="194"/>
      <c r="L503" s="184"/>
      <c r="M503" s="184"/>
      <c r="N503" s="184"/>
      <c r="O503" s="184"/>
      <c r="P503" s="184"/>
      <c r="Q503" s="184"/>
      <c r="R503" s="184"/>
      <c r="S503" s="184"/>
      <c r="T503" s="184"/>
      <c r="U503" s="184"/>
      <c r="V503" s="184"/>
      <c r="W503" s="184"/>
      <c r="X503" s="184"/>
      <c r="Y503" s="184"/>
      <c r="Z503" s="184"/>
      <c r="AA503" s="184"/>
    </row>
    <row r="504">
      <c r="A504" s="184"/>
      <c r="B504" s="184"/>
      <c r="C504" s="194"/>
      <c r="D504" s="194"/>
      <c r="E504" s="194"/>
      <c r="F504" s="194"/>
      <c r="G504" s="194"/>
      <c r="H504" s="184"/>
      <c r="I504" s="194"/>
      <c r="J504" s="194"/>
      <c r="K504" s="194"/>
      <c r="L504" s="184"/>
      <c r="M504" s="184"/>
      <c r="N504" s="184"/>
      <c r="O504" s="184"/>
      <c r="P504" s="184"/>
      <c r="Q504" s="184"/>
      <c r="R504" s="184"/>
      <c r="S504" s="184"/>
      <c r="T504" s="184"/>
      <c r="U504" s="184"/>
      <c r="V504" s="184"/>
      <c r="W504" s="184"/>
      <c r="X504" s="184"/>
      <c r="Y504" s="184"/>
      <c r="Z504" s="184"/>
      <c r="AA504" s="184"/>
    </row>
    <row r="505">
      <c r="A505" s="184"/>
      <c r="B505" s="184"/>
      <c r="C505" s="194"/>
      <c r="D505" s="194"/>
      <c r="E505" s="194"/>
      <c r="F505" s="194"/>
      <c r="G505" s="194"/>
      <c r="H505" s="184"/>
      <c r="I505" s="194"/>
      <c r="J505" s="194"/>
      <c r="K505" s="194"/>
      <c r="L505" s="184"/>
      <c r="M505" s="184"/>
      <c r="N505" s="184"/>
      <c r="O505" s="184"/>
      <c r="P505" s="184"/>
      <c r="Q505" s="184"/>
      <c r="R505" s="184"/>
      <c r="S505" s="184"/>
      <c r="T505" s="184"/>
      <c r="U505" s="184"/>
      <c r="V505" s="184"/>
      <c r="W505" s="184"/>
      <c r="X505" s="184"/>
      <c r="Y505" s="184"/>
      <c r="Z505" s="184"/>
      <c r="AA505" s="184"/>
    </row>
    <row r="506">
      <c r="A506" s="184"/>
      <c r="B506" s="184"/>
      <c r="C506" s="194"/>
      <c r="D506" s="194"/>
      <c r="E506" s="194"/>
      <c r="F506" s="194"/>
      <c r="G506" s="194"/>
      <c r="H506" s="184"/>
      <c r="I506" s="194"/>
      <c r="J506" s="194"/>
      <c r="K506" s="194"/>
      <c r="L506" s="184"/>
      <c r="M506" s="184"/>
      <c r="N506" s="184"/>
      <c r="O506" s="184"/>
      <c r="P506" s="184"/>
      <c r="Q506" s="184"/>
      <c r="R506" s="184"/>
      <c r="S506" s="184"/>
      <c r="T506" s="184"/>
      <c r="U506" s="184"/>
      <c r="V506" s="184"/>
      <c r="W506" s="184"/>
      <c r="X506" s="184"/>
      <c r="Y506" s="184"/>
      <c r="Z506" s="184"/>
      <c r="AA506" s="184"/>
    </row>
    <row r="507">
      <c r="A507" s="184"/>
      <c r="B507" s="184"/>
      <c r="C507" s="194"/>
      <c r="D507" s="194"/>
      <c r="E507" s="194"/>
      <c r="F507" s="194"/>
      <c r="G507" s="194"/>
      <c r="H507" s="184"/>
      <c r="I507" s="194"/>
      <c r="J507" s="194"/>
      <c r="K507" s="194"/>
      <c r="L507" s="184"/>
      <c r="M507" s="184"/>
      <c r="N507" s="184"/>
      <c r="O507" s="184"/>
      <c r="P507" s="184"/>
      <c r="Q507" s="184"/>
      <c r="R507" s="184"/>
      <c r="S507" s="184"/>
      <c r="T507" s="184"/>
      <c r="U507" s="184"/>
      <c r="V507" s="184"/>
      <c r="W507" s="184"/>
      <c r="X507" s="184"/>
      <c r="Y507" s="184"/>
      <c r="Z507" s="184"/>
      <c r="AA507" s="184"/>
    </row>
    <row r="508">
      <c r="A508" s="184"/>
      <c r="B508" s="184"/>
      <c r="C508" s="194"/>
      <c r="D508" s="194"/>
      <c r="E508" s="194"/>
      <c r="F508" s="194"/>
      <c r="G508" s="194"/>
      <c r="H508" s="184"/>
      <c r="I508" s="194"/>
      <c r="J508" s="194"/>
      <c r="K508" s="194"/>
      <c r="L508" s="184"/>
      <c r="M508" s="184"/>
      <c r="N508" s="184"/>
      <c r="O508" s="184"/>
      <c r="P508" s="184"/>
      <c r="Q508" s="184"/>
      <c r="R508" s="184"/>
      <c r="S508" s="184"/>
      <c r="T508" s="184"/>
      <c r="U508" s="184"/>
      <c r="V508" s="184"/>
      <c r="W508" s="184"/>
      <c r="X508" s="184"/>
      <c r="Y508" s="184"/>
      <c r="Z508" s="184"/>
      <c r="AA508" s="184"/>
    </row>
    <row r="509">
      <c r="A509" s="184"/>
      <c r="B509" s="184"/>
      <c r="C509" s="194"/>
      <c r="D509" s="194"/>
      <c r="E509" s="194"/>
      <c r="F509" s="194"/>
      <c r="G509" s="194"/>
      <c r="H509" s="184"/>
      <c r="I509" s="194"/>
      <c r="J509" s="194"/>
      <c r="K509" s="194"/>
      <c r="L509" s="184"/>
      <c r="M509" s="184"/>
      <c r="N509" s="184"/>
      <c r="O509" s="184"/>
      <c r="P509" s="184"/>
      <c r="Q509" s="184"/>
      <c r="R509" s="184"/>
      <c r="S509" s="184"/>
      <c r="T509" s="184"/>
      <c r="U509" s="184"/>
      <c r="V509" s="184"/>
      <c r="W509" s="184"/>
      <c r="X509" s="184"/>
      <c r="Y509" s="184"/>
      <c r="Z509" s="184"/>
      <c r="AA509" s="184"/>
    </row>
    <row r="510">
      <c r="A510" s="184"/>
      <c r="B510" s="184"/>
      <c r="C510" s="194"/>
      <c r="D510" s="194"/>
      <c r="E510" s="194"/>
      <c r="F510" s="194"/>
      <c r="G510" s="194"/>
      <c r="H510" s="184"/>
      <c r="I510" s="194"/>
      <c r="J510" s="194"/>
      <c r="K510" s="194"/>
      <c r="L510" s="184"/>
      <c r="M510" s="184"/>
      <c r="N510" s="184"/>
      <c r="O510" s="184"/>
      <c r="P510" s="184"/>
      <c r="Q510" s="184"/>
      <c r="R510" s="184"/>
      <c r="S510" s="184"/>
      <c r="T510" s="184"/>
      <c r="U510" s="184"/>
      <c r="V510" s="184"/>
      <c r="W510" s="184"/>
      <c r="X510" s="184"/>
      <c r="Y510" s="184"/>
      <c r="Z510" s="184"/>
      <c r="AA510" s="184"/>
    </row>
    <row r="511">
      <c r="A511" s="184"/>
      <c r="B511" s="184"/>
      <c r="C511" s="194"/>
      <c r="D511" s="194"/>
      <c r="E511" s="194"/>
      <c r="F511" s="194"/>
      <c r="G511" s="194"/>
      <c r="H511" s="184"/>
      <c r="I511" s="194"/>
      <c r="J511" s="194"/>
      <c r="K511" s="194"/>
      <c r="L511" s="184"/>
      <c r="M511" s="184"/>
      <c r="N511" s="184"/>
      <c r="O511" s="184"/>
      <c r="P511" s="184"/>
      <c r="Q511" s="184"/>
      <c r="R511" s="184"/>
      <c r="S511" s="184"/>
      <c r="T511" s="184"/>
      <c r="U511" s="184"/>
      <c r="V511" s="184"/>
      <c r="W511" s="184"/>
      <c r="X511" s="184"/>
      <c r="Y511" s="184"/>
      <c r="Z511" s="184"/>
      <c r="AA511" s="184"/>
    </row>
    <row r="512">
      <c r="A512" s="184"/>
      <c r="B512" s="184"/>
      <c r="C512" s="194"/>
      <c r="D512" s="194"/>
      <c r="E512" s="194"/>
      <c r="F512" s="194"/>
      <c r="G512" s="194"/>
      <c r="H512" s="184"/>
      <c r="I512" s="194"/>
      <c r="J512" s="194"/>
      <c r="K512" s="194"/>
      <c r="L512" s="184"/>
      <c r="M512" s="184"/>
      <c r="N512" s="184"/>
      <c r="O512" s="184"/>
      <c r="P512" s="184"/>
      <c r="Q512" s="184"/>
      <c r="R512" s="184"/>
      <c r="S512" s="184"/>
      <c r="T512" s="184"/>
      <c r="U512" s="184"/>
      <c r="V512" s="184"/>
      <c r="W512" s="184"/>
      <c r="X512" s="184"/>
      <c r="Y512" s="184"/>
      <c r="Z512" s="184"/>
      <c r="AA512" s="184"/>
    </row>
    <row r="513">
      <c r="A513" s="184"/>
      <c r="B513" s="184"/>
      <c r="C513" s="194"/>
      <c r="D513" s="194"/>
      <c r="E513" s="194"/>
      <c r="F513" s="194"/>
      <c r="G513" s="194"/>
      <c r="H513" s="184"/>
      <c r="I513" s="194"/>
      <c r="J513" s="194"/>
      <c r="K513" s="194"/>
      <c r="L513" s="184"/>
      <c r="M513" s="184"/>
      <c r="N513" s="184"/>
      <c r="O513" s="184"/>
      <c r="P513" s="184"/>
      <c r="Q513" s="184"/>
      <c r="R513" s="184"/>
      <c r="S513" s="184"/>
      <c r="T513" s="184"/>
      <c r="U513" s="184"/>
      <c r="V513" s="184"/>
      <c r="W513" s="184"/>
      <c r="X513" s="184"/>
      <c r="Y513" s="184"/>
      <c r="Z513" s="184"/>
      <c r="AA513" s="184"/>
    </row>
    <row r="514">
      <c r="A514" s="184"/>
      <c r="B514" s="184"/>
      <c r="C514" s="194"/>
      <c r="D514" s="194"/>
      <c r="E514" s="194"/>
      <c r="F514" s="194"/>
      <c r="G514" s="194"/>
      <c r="H514" s="184"/>
      <c r="I514" s="194"/>
      <c r="J514" s="194"/>
      <c r="K514" s="194"/>
      <c r="L514" s="184"/>
      <c r="M514" s="184"/>
      <c r="N514" s="184"/>
      <c r="O514" s="184"/>
      <c r="P514" s="184"/>
      <c r="Q514" s="184"/>
      <c r="R514" s="184"/>
      <c r="S514" s="184"/>
      <c r="T514" s="184"/>
      <c r="U514" s="184"/>
      <c r="V514" s="184"/>
      <c r="W514" s="184"/>
      <c r="X514" s="184"/>
      <c r="Y514" s="184"/>
      <c r="Z514" s="184"/>
      <c r="AA514" s="184"/>
    </row>
    <row r="515">
      <c r="A515" s="184"/>
      <c r="B515" s="184"/>
      <c r="C515" s="194"/>
      <c r="D515" s="194"/>
      <c r="E515" s="194"/>
      <c r="F515" s="194"/>
      <c r="G515" s="194"/>
      <c r="H515" s="184"/>
      <c r="I515" s="194"/>
      <c r="J515" s="194"/>
      <c r="K515" s="194"/>
      <c r="L515" s="184"/>
      <c r="M515" s="184"/>
      <c r="N515" s="184"/>
      <c r="O515" s="184"/>
      <c r="P515" s="184"/>
      <c r="Q515" s="184"/>
      <c r="R515" s="184"/>
      <c r="S515" s="184"/>
      <c r="T515" s="184"/>
      <c r="U515" s="184"/>
      <c r="V515" s="184"/>
      <c r="W515" s="184"/>
      <c r="X515" s="184"/>
      <c r="Y515" s="184"/>
      <c r="Z515" s="184"/>
      <c r="AA515" s="184"/>
    </row>
    <row r="516">
      <c r="A516" s="184"/>
      <c r="B516" s="184"/>
      <c r="C516" s="194"/>
      <c r="D516" s="194"/>
      <c r="E516" s="194"/>
      <c r="F516" s="194"/>
      <c r="G516" s="194"/>
      <c r="H516" s="184"/>
      <c r="I516" s="194"/>
      <c r="J516" s="194"/>
      <c r="K516" s="194"/>
      <c r="L516" s="184"/>
      <c r="M516" s="184"/>
      <c r="N516" s="184"/>
      <c r="O516" s="184"/>
      <c r="P516" s="184"/>
      <c r="Q516" s="184"/>
      <c r="R516" s="184"/>
      <c r="S516" s="184"/>
      <c r="T516" s="184"/>
      <c r="U516" s="184"/>
      <c r="V516" s="184"/>
      <c r="W516" s="184"/>
      <c r="X516" s="184"/>
      <c r="Y516" s="184"/>
      <c r="Z516" s="184"/>
      <c r="AA516" s="184"/>
    </row>
    <row r="517">
      <c r="A517" s="184"/>
      <c r="B517" s="184"/>
      <c r="C517" s="194"/>
      <c r="D517" s="194"/>
      <c r="E517" s="194"/>
      <c r="F517" s="194"/>
      <c r="G517" s="194"/>
      <c r="H517" s="184"/>
      <c r="I517" s="194"/>
      <c r="J517" s="194"/>
      <c r="K517" s="194"/>
      <c r="L517" s="184"/>
      <c r="M517" s="184"/>
      <c r="N517" s="184"/>
      <c r="O517" s="184"/>
      <c r="P517" s="184"/>
      <c r="Q517" s="184"/>
      <c r="R517" s="184"/>
      <c r="S517" s="184"/>
      <c r="T517" s="184"/>
      <c r="U517" s="184"/>
      <c r="V517" s="184"/>
      <c r="W517" s="184"/>
      <c r="X517" s="184"/>
      <c r="Y517" s="184"/>
      <c r="Z517" s="184"/>
      <c r="AA517" s="184"/>
    </row>
    <row r="518">
      <c r="A518" s="184"/>
      <c r="B518" s="184"/>
      <c r="C518" s="194"/>
      <c r="D518" s="194"/>
      <c r="E518" s="194"/>
      <c r="F518" s="194"/>
      <c r="G518" s="194"/>
      <c r="H518" s="184"/>
      <c r="I518" s="194"/>
      <c r="J518" s="194"/>
      <c r="K518" s="194"/>
      <c r="L518" s="184"/>
      <c r="M518" s="184"/>
      <c r="N518" s="184"/>
      <c r="O518" s="184"/>
      <c r="P518" s="184"/>
      <c r="Q518" s="184"/>
      <c r="R518" s="184"/>
      <c r="S518" s="184"/>
      <c r="T518" s="184"/>
      <c r="U518" s="184"/>
      <c r="V518" s="184"/>
      <c r="W518" s="184"/>
      <c r="X518" s="184"/>
      <c r="Y518" s="184"/>
      <c r="Z518" s="184"/>
      <c r="AA518" s="184"/>
    </row>
    <row r="519">
      <c r="A519" s="184"/>
      <c r="B519" s="184"/>
      <c r="C519" s="194"/>
      <c r="D519" s="194"/>
      <c r="E519" s="194"/>
      <c r="F519" s="194"/>
      <c r="G519" s="194"/>
      <c r="H519" s="184"/>
      <c r="I519" s="194"/>
      <c r="J519" s="194"/>
      <c r="K519" s="194"/>
      <c r="L519" s="184"/>
      <c r="M519" s="184"/>
      <c r="N519" s="184"/>
      <c r="O519" s="184"/>
      <c r="P519" s="184"/>
      <c r="Q519" s="184"/>
      <c r="R519" s="184"/>
      <c r="S519" s="184"/>
      <c r="T519" s="184"/>
      <c r="U519" s="184"/>
      <c r="V519" s="184"/>
      <c r="W519" s="184"/>
      <c r="X519" s="184"/>
      <c r="Y519" s="184"/>
      <c r="Z519" s="184"/>
      <c r="AA519" s="184"/>
    </row>
    <row r="520">
      <c r="A520" s="184"/>
      <c r="B520" s="184"/>
      <c r="C520" s="194"/>
      <c r="D520" s="194"/>
      <c r="E520" s="194"/>
      <c r="F520" s="194"/>
      <c r="G520" s="194"/>
      <c r="H520" s="184"/>
      <c r="I520" s="194"/>
      <c r="J520" s="194"/>
      <c r="K520" s="194"/>
      <c r="L520" s="184"/>
      <c r="M520" s="184"/>
      <c r="N520" s="184"/>
      <c r="O520" s="184"/>
      <c r="P520" s="184"/>
      <c r="Q520" s="184"/>
      <c r="R520" s="184"/>
      <c r="S520" s="184"/>
      <c r="T520" s="184"/>
      <c r="U520" s="184"/>
      <c r="V520" s="184"/>
      <c r="W520" s="184"/>
      <c r="X520" s="184"/>
      <c r="Y520" s="184"/>
      <c r="Z520" s="184"/>
      <c r="AA520" s="184"/>
    </row>
    <row r="521">
      <c r="A521" s="184"/>
      <c r="B521" s="184"/>
      <c r="C521" s="194"/>
      <c r="D521" s="194"/>
      <c r="E521" s="194"/>
      <c r="F521" s="194"/>
      <c r="G521" s="194"/>
      <c r="H521" s="184"/>
      <c r="I521" s="194"/>
      <c r="J521" s="194"/>
      <c r="K521" s="194"/>
      <c r="L521" s="184"/>
      <c r="M521" s="184"/>
      <c r="N521" s="184"/>
      <c r="O521" s="184"/>
      <c r="P521" s="184"/>
      <c r="Q521" s="184"/>
      <c r="R521" s="184"/>
      <c r="S521" s="184"/>
      <c r="T521" s="184"/>
      <c r="U521" s="184"/>
      <c r="V521" s="184"/>
      <c r="W521" s="184"/>
      <c r="X521" s="184"/>
      <c r="Y521" s="184"/>
      <c r="Z521" s="184"/>
      <c r="AA521" s="184"/>
    </row>
    <row r="522">
      <c r="A522" s="184"/>
      <c r="B522" s="184"/>
      <c r="C522" s="194"/>
      <c r="D522" s="194"/>
      <c r="E522" s="194"/>
      <c r="F522" s="194"/>
      <c r="G522" s="194"/>
      <c r="H522" s="184"/>
      <c r="I522" s="194"/>
      <c r="J522" s="194"/>
      <c r="K522" s="194"/>
      <c r="L522" s="184"/>
      <c r="M522" s="184"/>
      <c r="N522" s="184"/>
      <c r="O522" s="184"/>
      <c r="P522" s="184"/>
      <c r="Q522" s="184"/>
      <c r="R522" s="184"/>
      <c r="S522" s="184"/>
      <c r="T522" s="184"/>
      <c r="U522" s="184"/>
      <c r="V522" s="184"/>
      <c r="W522" s="184"/>
      <c r="X522" s="184"/>
      <c r="Y522" s="184"/>
      <c r="Z522" s="184"/>
      <c r="AA522" s="184"/>
    </row>
    <row r="523">
      <c r="A523" s="184"/>
      <c r="B523" s="184"/>
      <c r="C523" s="194"/>
      <c r="D523" s="194"/>
      <c r="E523" s="194"/>
      <c r="F523" s="194"/>
      <c r="G523" s="194"/>
      <c r="H523" s="184"/>
      <c r="I523" s="194"/>
      <c r="J523" s="194"/>
      <c r="K523" s="194"/>
      <c r="L523" s="184"/>
      <c r="M523" s="184"/>
      <c r="N523" s="184"/>
      <c r="O523" s="184"/>
      <c r="P523" s="184"/>
      <c r="Q523" s="184"/>
      <c r="R523" s="184"/>
      <c r="S523" s="184"/>
      <c r="T523" s="184"/>
      <c r="U523" s="184"/>
      <c r="V523" s="184"/>
      <c r="W523" s="184"/>
      <c r="X523" s="184"/>
      <c r="Y523" s="184"/>
      <c r="Z523" s="184"/>
      <c r="AA523" s="184"/>
    </row>
    <row r="524">
      <c r="A524" s="184"/>
      <c r="B524" s="184"/>
      <c r="C524" s="194"/>
      <c r="D524" s="194"/>
      <c r="E524" s="194"/>
      <c r="F524" s="194"/>
      <c r="G524" s="194"/>
      <c r="H524" s="184"/>
      <c r="I524" s="194"/>
      <c r="J524" s="194"/>
      <c r="K524" s="194"/>
      <c r="L524" s="184"/>
      <c r="M524" s="184"/>
      <c r="N524" s="184"/>
      <c r="O524" s="184"/>
      <c r="P524" s="184"/>
      <c r="Q524" s="184"/>
      <c r="R524" s="184"/>
      <c r="S524" s="184"/>
      <c r="T524" s="184"/>
      <c r="U524" s="184"/>
      <c r="V524" s="184"/>
      <c r="W524" s="184"/>
      <c r="X524" s="184"/>
      <c r="Y524" s="184"/>
      <c r="Z524" s="184"/>
      <c r="AA524" s="184"/>
    </row>
    <row r="525">
      <c r="A525" s="184"/>
      <c r="B525" s="184"/>
      <c r="C525" s="194"/>
      <c r="D525" s="194"/>
      <c r="E525" s="194"/>
      <c r="F525" s="194"/>
      <c r="G525" s="194"/>
      <c r="H525" s="184"/>
      <c r="I525" s="194"/>
      <c r="J525" s="194"/>
      <c r="K525" s="194"/>
      <c r="L525" s="184"/>
      <c r="M525" s="184"/>
      <c r="N525" s="184"/>
      <c r="O525" s="184"/>
      <c r="P525" s="184"/>
      <c r="Q525" s="184"/>
      <c r="R525" s="184"/>
      <c r="S525" s="184"/>
      <c r="T525" s="184"/>
      <c r="U525" s="184"/>
      <c r="V525" s="184"/>
      <c r="W525" s="184"/>
      <c r="X525" s="184"/>
      <c r="Y525" s="184"/>
      <c r="Z525" s="184"/>
      <c r="AA525" s="184"/>
    </row>
    <row r="526">
      <c r="A526" s="184"/>
      <c r="B526" s="184"/>
      <c r="C526" s="194"/>
      <c r="D526" s="194"/>
      <c r="E526" s="194"/>
      <c r="F526" s="194"/>
      <c r="G526" s="194"/>
      <c r="H526" s="184"/>
      <c r="I526" s="194"/>
      <c r="J526" s="194"/>
      <c r="K526" s="194"/>
      <c r="L526" s="184"/>
      <c r="M526" s="184"/>
      <c r="N526" s="184"/>
      <c r="O526" s="184"/>
      <c r="P526" s="184"/>
      <c r="Q526" s="184"/>
      <c r="R526" s="184"/>
      <c r="S526" s="184"/>
      <c r="T526" s="184"/>
      <c r="U526" s="184"/>
      <c r="V526" s="184"/>
      <c r="W526" s="184"/>
      <c r="X526" s="184"/>
      <c r="Y526" s="184"/>
      <c r="Z526" s="184"/>
      <c r="AA526" s="184"/>
    </row>
    <row r="527">
      <c r="A527" s="184"/>
      <c r="B527" s="184"/>
      <c r="C527" s="194"/>
      <c r="D527" s="194"/>
      <c r="E527" s="194"/>
      <c r="F527" s="194"/>
      <c r="G527" s="194"/>
      <c r="H527" s="184"/>
      <c r="I527" s="194"/>
      <c r="J527" s="194"/>
      <c r="K527" s="194"/>
      <c r="L527" s="184"/>
      <c r="M527" s="184"/>
      <c r="N527" s="184"/>
      <c r="O527" s="184"/>
      <c r="P527" s="184"/>
      <c r="Q527" s="184"/>
      <c r="R527" s="184"/>
      <c r="S527" s="184"/>
      <c r="T527" s="184"/>
      <c r="U527" s="184"/>
      <c r="V527" s="184"/>
      <c r="W527" s="184"/>
      <c r="X527" s="184"/>
      <c r="Y527" s="184"/>
      <c r="Z527" s="184"/>
      <c r="AA527" s="184"/>
    </row>
    <row r="528">
      <c r="A528" s="184"/>
      <c r="B528" s="184"/>
      <c r="C528" s="194"/>
      <c r="D528" s="194"/>
      <c r="E528" s="194"/>
      <c r="F528" s="194"/>
      <c r="G528" s="194"/>
      <c r="H528" s="184"/>
      <c r="I528" s="194"/>
      <c r="J528" s="194"/>
      <c r="K528" s="194"/>
      <c r="L528" s="184"/>
      <c r="M528" s="184"/>
      <c r="N528" s="184"/>
      <c r="O528" s="184"/>
      <c r="P528" s="184"/>
      <c r="Q528" s="184"/>
      <c r="R528" s="184"/>
      <c r="S528" s="184"/>
      <c r="T528" s="184"/>
      <c r="U528" s="184"/>
      <c r="V528" s="184"/>
      <c r="W528" s="184"/>
      <c r="X528" s="184"/>
      <c r="Y528" s="184"/>
      <c r="Z528" s="184"/>
      <c r="AA528" s="184"/>
    </row>
    <row r="529">
      <c r="A529" s="184"/>
      <c r="B529" s="184"/>
      <c r="C529" s="194"/>
      <c r="D529" s="194"/>
      <c r="E529" s="194"/>
      <c r="F529" s="194"/>
      <c r="G529" s="194"/>
      <c r="H529" s="184"/>
      <c r="I529" s="194"/>
      <c r="J529" s="194"/>
      <c r="K529" s="194"/>
      <c r="L529" s="184"/>
      <c r="M529" s="184"/>
      <c r="N529" s="184"/>
      <c r="O529" s="184"/>
      <c r="P529" s="184"/>
      <c r="Q529" s="184"/>
      <c r="R529" s="184"/>
      <c r="S529" s="184"/>
      <c r="T529" s="184"/>
      <c r="U529" s="184"/>
      <c r="V529" s="184"/>
      <c r="W529" s="184"/>
      <c r="X529" s="184"/>
      <c r="Y529" s="184"/>
      <c r="Z529" s="184"/>
      <c r="AA529" s="184"/>
    </row>
    <row r="530">
      <c r="A530" s="184"/>
      <c r="B530" s="184"/>
      <c r="C530" s="194"/>
      <c r="D530" s="194"/>
      <c r="E530" s="194"/>
      <c r="F530" s="194"/>
      <c r="G530" s="194"/>
      <c r="H530" s="184"/>
      <c r="I530" s="194"/>
      <c r="J530" s="194"/>
      <c r="K530" s="194"/>
      <c r="L530" s="184"/>
      <c r="M530" s="184"/>
      <c r="N530" s="184"/>
      <c r="O530" s="184"/>
      <c r="P530" s="184"/>
      <c r="Q530" s="184"/>
      <c r="R530" s="184"/>
      <c r="S530" s="184"/>
      <c r="T530" s="184"/>
      <c r="U530" s="184"/>
      <c r="V530" s="184"/>
      <c r="W530" s="184"/>
      <c r="X530" s="184"/>
      <c r="Y530" s="184"/>
      <c r="Z530" s="184"/>
      <c r="AA530" s="184"/>
    </row>
    <row r="531">
      <c r="A531" s="184"/>
      <c r="B531" s="184"/>
      <c r="C531" s="194"/>
      <c r="D531" s="194"/>
      <c r="E531" s="194"/>
      <c r="F531" s="194"/>
      <c r="G531" s="194"/>
      <c r="H531" s="184"/>
      <c r="I531" s="194"/>
      <c r="J531" s="194"/>
      <c r="K531" s="194"/>
      <c r="L531" s="184"/>
      <c r="M531" s="184"/>
      <c r="N531" s="184"/>
      <c r="O531" s="184"/>
      <c r="P531" s="184"/>
      <c r="Q531" s="184"/>
      <c r="R531" s="184"/>
      <c r="S531" s="184"/>
      <c r="T531" s="184"/>
      <c r="U531" s="184"/>
      <c r="V531" s="184"/>
      <c r="W531" s="184"/>
      <c r="X531" s="184"/>
      <c r="Y531" s="184"/>
      <c r="Z531" s="184"/>
      <c r="AA531" s="184"/>
    </row>
    <row r="532">
      <c r="A532" s="184"/>
      <c r="B532" s="184"/>
      <c r="C532" s="194"/>
      <c r="D532" s="194"/>
      <c r="E532" s="194"/>
      <c r="F532" s="194"/>
      <c r="G532" s="194"/>
      <c r="H532" s="184"/>
      <c r="I532" s="194"/>
      <c r="J532" s="194"/>
      <c r="K532" s="194"/>
      <c r="L532" s="184"/>
      <c r="M532" s="184"/>
      <c r="N532" s="184"/>
      <c r="O532" s="184"/>
      <c r="P532" s="184"/>
      <c r="Q532" s="184"/>
      <c r="R532" s="184"/>
      <c r="S532" s="184"/>
      <c r="T532" s="184"/>
      <c r="U532" s="184"/>
      <c r="V532" s="184"/>
      <c r="W532" s="184"/>
      <c r="X532" s="184"/>
      <c r="Y532" s="184"/>
      <c r="Z532" s="184"/>
      <c r="AA532" s="184"/>
    </row>
    <row r="533">
      <c r="A533" s="184"/>
      <c r="B533" s="184"/>
      <c r="C533" s="194"/>
      <c r="D533" s="194"/>
      <c r="E533" s="194"/>
      <c r="F533" s="194"/>
      <c r="G533" s="194"/>
      <c r="H533" s="184"/>
      <c r="I533" s="194"/>
      <c r="J533" s="194"/>
      <c r="K533" s="194"/>
      <c r="L533" s="184"/>
      <c r="M533" s="184"/>
      <c r="N533" s="184"/>
      <c r="O533" s="184"/>
      <c r="P533" s="184"/>
      <c r="Q533" s="184"/>
      <c r="R533" s="184"/>
      <c r="S533" s="184"/>
      <c r="T533" s="184"/>
      <c r="U533" s="184"/>
      <c r="V533" s="184"/>
      <c r="W533" s="184"/>
      <c r="X533" s="184"/>
      <c r="Y533" s="184"/>
      <c r="Z533" s="184"/>
      <c r="AA533" s="184"/>
    </row>
    <row r="534">
      <c r="A534" s="184"/>
      <c r="B534" s="184"/>
      <c r="C534" s="194"/>
      <c r="D534" s="194"/>
      <c r="E534" s="194"/>
      <c r="F534" s="194"/>
      <c r="G534" s="194"/>
      <c r="H534" s="184"/>
      <c r="I534" s="194"/>
      <c r="J534" s="194"/>
      <c r="K534" s="194"/>
      <c r="L534" s="184"/>
      <c r="M534" s="184"/>
      <c r="N534" s="184"/>
      <c r="O534" s="184"/>
      <c r="P534" s="184"/>
      <c r="Q534" s="184"/>
      <c r="R534" s="184"/>
      <c r="S534" s="184"/>
      <c r="T534" s="184"/>
      <c r="U534" s="184"/>
      <c r="V534" s="184"/>
      <c r="W534" s="184"/>
      <c r="X534" s="184"/>
      <c r="Y534" s="184"/>
      <c r="Z534" s="184"/>
      <c r="AA534" s="184"/>
    </row>
    <row r="535">
      <c r="A535" s="184"/>
      <c r="B535" s="184"/>
      <c r="C535" s="194"/>
      <c r="D535" s="194"/>
      <c r="E535" s="194"/>
      <c r="F535" s="194"/>
      <c r="G535" s="194"/>
      <c r="H535" s="184"/>
      <c r="I535" s="194"/>
      <c r="J535" s="194"/>
      <c r="K535" s="194"/>
      <c r="L535" s="184"/>
      <c r="M535" s="184"/>
      <c r="N535" s="184"/>
      <c r="O535" s="184"/>
      <c r="P535" s="184"/>
      <c r="Q535" s="184"/>
      <c r="R535" s="184"/>
      <c r="S535" s="184"/>
      <c r="T535" s="184"/>
      <c r="U535" s="184"/>
      <c r="V535" s="184"/>
      <c r="W535" s="184"/>
      <c r="X535" s="184"/>
      <c r="Y535" s="184"/>
      <c r="Z535" s="184"/>
      <c r="AA535" s="184"/>
    </row>
    <row r="536">
      <c r="A536" s="184"/>
      <c r="B536" s="184"/>
      <c r="C536" s="194"/>
      <c r="D536" s="194"/>
      <c r="E536" s="194"/>
      <c r="F536" s="194"/>
      <c r="G536" s="194"/>
      <c r="H536" s="184"/>
      <c r="I536" s="194"/>
      <c r="J536" s="194"/>
      <c r="K536" s="194"/>
      <c r="L536" s="184"/>
      <c r="M536" s="184"/>
      <c r="N536" s="184"/>
      <c r="O536" s="184"/>
      <c r="P536" s="184"/>
      <c r="Q536" s="184"/>
      <c r="R536" s="184"/>
      <c r="S536" s="184"/>
      <c r="T536" s="184"/>
      <c r="U536" s="184"/>
      <c r="V536" s="184"/>
      <c r="W536" s="184"/>
      <c r="X536" s="184"/>
      <c r="Y536" s="184"/>
      <c r="Z536" s="184"/>
      <c r="AA536" s="184"/>
    </row>
    <row r="537">
      <c r="A537" s="184"/>
      <c r="B537" s="184"/>
      <c r="C537" s="194"/>
      <c r="D537" s="194"/>
      <c r="E537" s="194"/>
      <c r="F537" s="194"/>
      <c r="G537" s="194"/>
      <c r="H537" s="184"/>
      <c r="I537" s="194"/>
      <c r="J537" s="194"/>
      <c r="K537" s="194"/>
      <c r="L537" s="184"/>
      <c r="M537" s="184"/>
      <c r="N537" s="184"/>
      <c r="O537" s="184"/>
      <c r="P537" s="184"/>
      <c r="Q537" s="184"/>
      <c r="R537" s="184"/>
      <c r="S537" s="184"/>
      <c r="T537" s="184"/>
      <c r="U537" s="184"/>
      <c r="V537" s="184"/>
      <c r="W537" s="184"/>
      <c r="X537" s="184"/>
      <c r="Y537" s="184"/>
      <c r="Z537" s="184"/>
      <c r="AA537" s="184"/>
    </row>
    <row r="538">
      <c r="A538" s="184"/>
      <c r="B538" s="184"/>
      <c r="C538" s="194"/>
      <c r="D538" s="194"/>
      <c r="E538" s="194"/>
      <c r="F538" s="194"/>
      <c r="G538" s="194"/>
      <c r="H538" s="184"/>
      <c r="I538" s="194"/>
      <c r="J538" s="194"/>
      <c r="K538" s="194"/>
      <c r="L538" s="184"/>
      <c r="M538" s="184"/>
      <c r="N538" s="184"/>
      <c r="O538" s="184"/>
      <c r="P538" s="184"/>
      <c r="Q538" s="184"/>
      <c r="R538" s="184"/>
      <c r="S538" s="184"/>
      <c r="T538" s="184"/>
      <c r="U538" s="184"/>
      <c r="V538" s="184"/>
      <c r="W538" s="184"/>
      <c r="X538" s="184"/>
      <c r="Y538" s="184"/>
      <c r="Z538" s="184"/>
      <c r="AA538" s="184"/>
    </row>
    <row r="539">
      <c r="A539" s="184"/>
      <c r="B539" s="184"/>
      <c r="C539" s="194"/>
      <c r="D539" s="194"/>
      <c r="E539" s="194"/>
      <c r="F539" s="194"/>
      <c r="G539" s="194"/>
      <c r="H539" s="184"/>
      <c r="I539" s="194"/>
      <c r="J539" s="194"/>
      <c r="K539" s="194"/>
      <c r="L539" s="184"/>
      <c r="M539" s="184"/>
      <c r="N539" s="184"/>
      <c r="O539" s="184"/>
      <c r="P539" s="184"/>
      <c r="Q539" s="184"/>
      <c r="R539" s="184"/>
      <c r="S539" s="184"/>
      <c r="T539" s="184"/>
      <c r="U539" s="184"/>
      <c r="V539" s="184"/>
      <c r="W539" s="184"/>
      <c r="X539" s="184"/>
      <c r="Y539" s="184"/>
      <c r="Z539" s="184"/>
      <c r="AA539" s="184"/>
    </row>
    <row r="540">
      <c r="A540" s="184"/>
      <c r="B540" s="184"/>
      <c r="C540" s="194"/>
      <c r="D540" s="194"/>
      <c r="E540" s="194"/>
      <c r="F540" s="194"/>
      <c r="G540" s="194"/>
      <c r="H540" s="184"/>
      <c r="I540" s="194"/>
      <c r="J540" s="194"/>
      <c r="K540" s="194"/>
      <c r="L540" s="184"/>
      <c r="M540" s="184"/>
      <c r="N540" s="184"/>
      <c r="O540" s="184"/>
      <c r="P540" s="184"/>
      <c r="Q540" s="184"/>
      <c r="R540" s="184"/>
      <c r="S540" s="184"/>
      <c r="T540" s="184"/>
      <c r="U540" s="184"/>
      <c r="V540" s="184"/>
      <c r="W540" s="184"/>
      <c r="X540" s="184"/>
      <c r="Y540" s="184"/>
      <c r="Z540" s="184"/>
      <c r="AA540" s="184"/>
    </row>
    <row r="541">
      <c r="A541" s="184"/>
      <c r="B541" s="184"/>
      <c r="C541" s="194"/>
      <c r="D541" s="194"/>
      <c r="E541" s="194"/>
      <c r="F541" s="194"/>
      <c r="G541" s="194"/>
      <c r="H541" s="184"/>
      <c r="I541" s="194"/>
      <c r="J541" s="194"/>
      <c r="K541" s="194"/>
      <c r="L541" s="184"/>
      <c r="M541" s="184"/>
      <c r="N541" s="184"/>
      <c r="O541" s="184"/>
      <c r="P541" s="184"/>
      <c r="Q541" s="184"/>
      <c r="R541" s="184"/>
      <c r="S541" s="184"/>
      <c r="T541" s="184"/>
      <c r="U541" s="184"/>
      <c r="V541" s="184"/>
      <c r="W541" s="184"/>
      <c r="X541" s="184"/>
      <c r="Y541" s="184"/>
      <c r="Z541" s="184"/>
      <c r="AA541" s="184"/>
    </row>
    <row r="542">
      <c r="A542" s="184"/>
      <c r="B542" s="184"/>
      <c r="C542" s="194"/>
      <c r="D542" s="194"/>
      <c r="E542" s="194"/>
      <c r="F542" s="194"/>
      <c r="G542" s="194"/>
      <c r="H542" s="184"/>
      <c r="I542" s="194"/>
      <c r="J542" s="194"/>
      <c r="K542" s="194"/>
      <c r="L542" s="184"/>
      <c r="M542" s="184"/>
      <c r="N542" s="184"/>
      <c r="O542" s="184"/>
      <c r="P542" s="184"/>
      <c r="Q542" s="184"/>
      <c r="R542" s="184"/>
      <c r="S542" s="184"/>
      <c r="T542" s="184"/>
      <c r="U542" s="184"/>
      <c r="V542" s="184"/>
      <c r="W542" s="184"/>
      <c r="X542" s="184"/>
      <c r="Y542" s="184"/>
      <c r="Z542" s="184"/>
      <c r="AA542" s="184"/>
    </row>
    <row r="543">
      <c r="A543" s="184"/>
      <c r="B543" s="184"/>
      <c r="C543" s="194"/>
      <c r="D543" s="194"/>
      <c r="E543" s="194"/>
      <c r="F543" s="194"/>
      <c r="G543" s="194"/>
      <c r="H543" s="184"/>
      <c r="I543" s="194"/>
      <c r="J543" s="194"/>
      <c r="K543" s="194"/>
      <c r="L543" s="184"/>
      <c r="M543" s="184"/>
      <c r="N543" s="184"/>
      <c r="O543" s="184"/>
      <c r="P543" s="184"/>
      <c r="Q543" s="184"/>
      <c r="R543" s="184"/>
      <c r="S543" s="184"/>
      <c r="T543" s="184"/>
      <c r="U543" s="184"/>
      <c r="V543" s="184"/>
      <c r="W543" s="184"/>
      <c r="X543" s="184"/>
      <c r="Y543" s="184"/>
      <c r="Z543" s="184"/>
      <c r="AA543" s="184"/>
    </row>
    <row r="544">
      <c r="A544" s="184"/>
      <c r="B544" s="184"/>
      <c r="C544" s="194"/>
      <c r="D544" s="194"/>
      <c r="E544" s="194"/>
      <c r="F544" s="194"/>
      <c r="G544" s="194"/>
      <c r="H544" s="184"/>
      <c r="I544" s="194"/>
      <c r="J544" s="194"/>
      <c r="K544" s="194"/>
      <c r="L544" s="184"/>
      <c r="M544" s="184"/>
      <c r="N544" s="184"/>
      <c r="O544" s="184"/>
      <c r="P544" s="184"/>
      <c r="Q544" s="184"/>
      <c r="R544" s="184"/>
      <c r="S544" s="184"/>
      <c r="T544" s="184"/>
      <c r="U544" s="184"/>
      <c r="V544" s="184"/>
      <c r="W544" s="184"/>
      <c r="X544" s="184"/>
      <c r="Y544" s="184"/>
      <c r="Z544" s="184"/>
      <c r="AA544" s="184"/>
    </row>
    <row r="545">
      <c r="A545" s="184"/>
      <c r="B545" s="184"/>
      <c r="C545" s="194"/>
      <c r="D545" s="194"/>
      <c r="E545" s="194"/>
      <c r="F545" s="194"/>
      <c r="G545" s="194"/>
      <c r="H545" s="184"/>
      <c r="I545" s="194"/>
      <c r="J545" s="194"/>
      <c r="K545" s="194"/>
      <c r="L545" s="184"/>
      <c r="M545" s="184"/>
      <c r="N545" s="184"/>
      <c r="O545" s="184"/>
      <c r="P545" s="184"/>
      <c r="Q545" s="184"/>
      <c r="R545" s="184"/>
      <c r="S545" s="184"/>
      <c r="T545" s="184"/>
      <c r="U545" s="184"/>
      <c r="V545" s="184"/>
      <c r="W545" s="184"/>
      <c r="X545" s="184"/>
      <c r="Y545" s="184"/>
      <c r="Z545" s="184"/>
      <c r="AA545" s="184"/>
    </row>
    <row r="546">
      <c r="A546" s="184"/>
      <c r="B546" s="184"/>
      <c r="C546" s="194"/>
      <c r="D546" s="194"/>
      <c r="E546" s="194"/>
      <c r="F546" s="194"/>
      <c r="G546" s="194"/>
      <c r="H546" s="184"/>
      <c r="I546" s="194"/>
      <c r="J546" s="194"/>
      <c r="K546" s="194"/>
      <c r="L546" s="184"/>
      <c r="M546" s="184"/>
      <c r="N546" s="184"/>
      <c r="O546" s="184"/>
      <c r="P546" s="184"/>
      <c r="Q546" s="184"/>
      <c r="R546" s="184"/>
      <c r="S546" s="184"/>
      <c r="T546" s="184"/>
      <c r="U546" s="184"/>
      <c r="V546" s="184"/>
      <c r="W546" s="184"/>
      <c r="X546" s="184"/>
      <c r="Y546" s="184"/>
      <c r="Z546" s="184"/>
      <c r="AA546" s="184"/>
    </row>
    <row r="547">
      <c r="A547" s="184"/>
      <c r="B547" s="184"/>
      <c r="C547" s="194"/>
      <c r="D547" s="194"/>
      <c r="E547" s="194"/>
      <c r="F547" s="194"/>
      <c r="G547" s="194"/>
      <c r="H547" s="184"/>
      <c r="I547" s="194"/>
      <c r="J547" s="194"/>
      <c r="K547" s="194"/>
      <c r="L547" s="184"/>
      <c r="M547" s="184"/>
      <c r="N547" s="184"/>
      <c r="O547" s="184"/>
      <c r="P547" s="184"/>
      <c r="Q547" s="184"/>
      <c r="R547" s="184"/>
      <c r="S547" s="184"/>
      <c r="T547" s="184"/>
      <c r="U547" s="184"/>
      <c r="V547" s="184"/>
      <c r="W547" s="184"/>
      <c r="X547" s="184"/>
      <c r="Y547" s="184"/>
      <c r="Z547" s="184"/>
      <c r="AA547" s="184"/>
    </row>
    <row r="548">
      <c r="A548" s="184"/>
      <c r="B548" s="184"/>
      <c r="C548" s="194"/>
      <c r="D548" s="194"/>
      <c r="E548" s="194"/>
      <c r="F548" s="194"/>
      <c r="G548" s="194"/>
      <c r="H548" s="184"/>
      <c r="I548" s="194"/>
      <c r="J548" s="194"/>
      <c r="K548" s="194"/>
      <c r="L548" s="184"/>
      <c r="M548" s="184"/>
      <c r="N548" s="184"/>
      <c r="O548" s="184"/>
      <c r="P548" s="184"/>
      <c r="Q548" s="184"/>
      <c r="R548" s="184"/>
      <c r="S548" s="184"/>
      <c r="T548" s="184"/>
      <c r="U548" s="184"/>
      <c r="V548" s="184"/>
      <c r="W548" s="184"/>
      <c r="X548" s="184"/>
      <c r="Y548" s="184"/>
      <c r="Z548" s="184"/>
      <c r="AA548" s="184"/>
    </row>
    <row r="549">
      <c r="A549" s="184"/>
      <c r="B549" s="184"/>
      <c r="C549" s="194"/>
      <c r="D549" s="194"/>
      <c r="E549" s="194"/>
      <c r="F549" s="194"/>
      <c r="G549" s="194"/>
      <c r="H549" s="184"/>
      <c r="I549" s="194"/>
      <c r="J549" s="194"/>
      <c r="K549" s="194"/>
      <c r="L549" s="184"/>
      <c r="M549" s="184"/>
      <c r="N549" s="184"/>
      <c r="O549" s="184"/>
      <c r="P549" s="184"/>
      <c r="Q549" s="184"/>
      <c r="R549" s="184"/>
      <c r="S549" s="184"/>
      <c r="T549" s="184"/>
      <c r="U549" s="184"/>
      <c r="V549" s="184"/>
      <c r="W549" s="184"/>
      <c r="X549" s="184"/>
      <c r="Y549" s="184"/>
      <c r="Z549" s="184"/>
      <c r="AA549" s="184"/>
    </row>
    <row r="550">
      <c r="A550" s="184"/>
      <c r="B550" s="184"/>
      <c r="C550" s="194"/>
      <c r="D550" s="194"/>
      <c r="E550" s="194"/>
      <c r="F550" s="194"/>
      <c r="G550" s="194"/>
      <c r="H550" s="184"/>
      <c r="I550" s="194"/>
      <c r="J550" s="194"/>
      <c r="K550" s="194"/>
      <c r="L550" s="184"/>
      <c r="M550" s="184"/>
      <c r="N550" s="184"/>
      <c r="O550" s="184"/>
      <c r="P550" s="184"/>
      <c r="Q550" s="184"/>
      <c r="R550" s="184"/>
      <c r="S550" s="184"/>
      <c r="T550" s="184"/>
      <c r="U550" s="184"/>
      <c r="V550" s="184"/>
      <c r="W550" s="184"/>
      <c r="X550" s="184"/>
      <c r="Y550" s="184"/>
      <c r="Z550" s="184"/>
      <c r="AA550" s="184"/>
    </row>
    <row r="551">
      <c r="A551" s="184"/>
      <c r="B551" s="184"/>
      <c r="C551" s="194"/>
      <c r="D551" s="194"/>
      <c r="E551" s="194"/>
      <c r="F551" s="194"/>
      <c r="G551" s="194"/>
      <c r="H551" s="184"/>
      <c r="I551" s="194"/>
      <c r="J551" s="194"/>
      <c r="K551" s="194"/>
      <c r="L551" s="184"/>
      <c r="M551" s="184"/>
      <c r="N551" s="184"/>
      <c r="O551" s="184"/>
      <c r="P551" s="184"/>
      <c r="Q551" s="184"/>
      <c r="R551" s="184"/>
      <c r="S551" s="184"/>
      <c r="T551" s="184"/>
      <c r="U551" s="184"/>
      <c r="V551" s="184"/>
      <c r="W551" s="184"/>
      <c r="X551" s="184"/>
      <c r="Y551" s="184"/>
      <c r="Z551" s="184"/>
      <c r="AA551" s="184"/>
    </row>
    <row r="552">
      <c r="A552" s="184"/>
      <c r="B552" s="184"/>
      <c r="C552" s="194"/>
      <c r="D552" s="194"/>
      <c r="E552" s="194"/>
      <c r="F552" s="194"/>
      <c r="G552" s="194"/>
      <c r="H552" s="184"/>
      <c r="I552" s="194"/>
      <c r="J552" s="194"/>
      <c r="K552" s="194"/>
      <c r="L552" s="184"/>
      <c r="M552" s="184"/>
      <c r="N552" s="184"/>
      <c r="O552" s="184"/>
      <c r="P552" s="184"/>
      <c r="Q552" s="184"/>
      <c r="R552" s="184"/>
      <c r="S552" s="184"/>
      <c r="T552" s="184"/>
      <c r="U552" s="184"/>
      <c r="V552" s="184"/>
      <c r="W552" s="184"/>
      <c r="X552" s="184"/>
      <c r="Y552" s="184"/>
      <c r="Z552" s="184"/>
      <c r="AA552" s="184"/>
    </row>
    <row r="553">
      <c r="A553" s="184"/>
      <c r="B553" s="184"/>
      <c r="C553" s="194"/>
      <c r="D553" s="194"/>
      <c r="E553" s="194"/>
      <c r="F553" s="194"/>
      <c r="G553" s="194"/>
      <c r="H553" s="184"/>
      <c r="I553" s="194"/>
      <c r="J553" s="194"/>
      <c r="K553" s="194"/>
      <c r="L553" s="184"/>
      <c r="M553" s="184"/>
      <c r="N553" s="184"/>
      <c r="O553" s="184"/>
      <c r="P553" s="184"/>
      <c r="Q553" s="184"/>
      <c r="R553" s="184"/>
      <c r="S553" s="184"/>
      <c r="T553" s="184"/>
      <c r="U553" s="184"/>
      <c r="V553" s="184"/>
      <c r="W553" s="184"/>
      <c r="X553" s="184"/>
      <c r="Y553" s="184"/>
      <c r="Z553" s="184"/>
      <c r="AA553" s="184"/>
    </row>
    <row r="554">
      <c r="A554" s="184"/>
      <c r="B554" s="184"/>
      <c r="C554" s="194"/>
      <c r="D554" s="194"/>
      <c r="E554" s="194"/>
      <c r="F554" s="194"/>
      <c r="G554" s="194"/>
      <c r="H554" s="184"/>
      <c r="I554" s="194"/>
      <c r="J554" s="194"/>
      <c r="K554" s="194"/>
      <c r="L554" s="184"/>
      <c r="M554" s="184"/>
      <c r="N554" s="184"/>
      <c r="O554" s="184"/>
      <c r="P554" s="184"/>
      <c r="Q554" s="184"/>
      <c r="R554" s="184"/>
      <c r="S554" s="184"/>
      <c r="T554" s="184"/>
      <c r="U554" s="184"/>
      <c r="V554" s="184"/>
      <c r="W554" s="184"/>
      <c r="X554" s="184"/>
      <c r="Y554" s="184"/>
      <c r="Z554" s="184"/>
      <c r="AA554" s="184"/>
    </row>
    <row r="555">
      <c r="A555" s="184"/>
      <c r="B555" s="184"/>
      <c r="C555" s="194"/>
      <c r="D555" s="194"/>
      <c r="E555" s="194"/>
      <c r="F555" s="194"/>
      <c r="G555" s="194"/>
      <c r="H555" s="184"/>
      <c r="I555" s="194"/>
      <c r="J555" s="194"/>
      <c r="K555" s="194"/>
      <c r="L555" s="184"/>
      <c r="M555" s="184"/>
      <c r="N555" s="184"/>
      <c r="O555" s="184"/>
      <c r="P555" s="184"/>
      <c r="Q555" s="184"/>
      <c r="R555" s="184"/>
      <c r="S555" s="184"/>
      <c r="T555" s="184"/>
      <c r="U555" s="184"/>
      <c r="V555" s="184"/>
      <c r="W555" s="184"/>
      <c r="X555" s="184"/>
      <c r="Y555" s="184"/>
      <c r="Z555" s="184"/>
      <c r="AA555" s="184"/>
    </row>
    <row r="556">
      <c r="A556" s="184"/>
      <c r="B556" s="184"/>
      <c r="C556" s="194"/>
      <c r="D556" s="194"/>
      <c r="E556" s="194"/>
      <c r="F556" s="194"/>
      <c r="G556" s="194"/>
      <c r="H556" s="184"/>
      <c r="I556" s="194"/>
      <c r="J556" s="194"/>
      <c r="K556" s="194"/>
      <c r="L556" s="184"/>
      <c r="M556" s="184"/>
      <c r="N556" s="184"/>
      <c r="O556" s="184"/>
      <c r="P556" s="184"/>
      <c r="Q556" s="184"/>
      <c r="R556" s="184"/>
      <c r="S556" s="184"/>
      <c r="T556" s="184"/>
      <c r="U556" s="184"/>
      <c r="V556" s="184"/>
      <c r="W556" s="184"/>
      <c r="X556" s="184"/>
      <c r="Y556" s="184"/>
      <c r="Z556" s="184"/>
      <c r="AA556" s="184"/>
    </row>
    <row r="557">
      <c r="A557" s="184"/>
      <c r="B557" s="184"/>
      <c r="C557" s="194"/>
      <c r="D557" s="194"/>
      <c r="E557" s="194"/>
      <c r="F557" s="194"/>
      <c r="G557" s="194"/>
      <c r="H557" s="184"/>
      <c r="I557" s="194"/>
      <c r="J557" s="194"/>
      <c r="K557" s="194"/>
      <c r="L557" s="184"/>
      <c r="M557" s="184"/>
      <c r="N557" s="184"/>
      <c r="O557" s="184"/>
      <c r="P557" s="184"/>
      <c r="Q557" s="184"/>
      <c r="R557" s="184"/>
      <c r="S557" s="184"/>
      <c r="T557" s="184"/>
      <c r="U557" s="184"/>
      <c r="V557" s="184"/>
      <c r="W557" s="184"/>
      <c r="X557" s="184"/>
      <c r="Y557" s="184"/>
      <c r="Z557" s="184"/>
      <c r="AA557" s="184"/>
    </row>
    <row r="558">
      <c r="A558" s="184"/>
      <c r="B558" s="184"/>
      <c r="C558" s="194"/>
      <c r="D558" s="194"/>
      <c r="E558" s="194"/>
      <c r="F558" s="194"/>
      <c r="G558" s="194"/>
      <c r="H558" s="184"/>
      <c r="I558" s="194"/>
      <c r="J558" s="194"/>
      <c r="K558" s="194"/>
      <c r="L558" s="184"/>
      <c r="M558" s="184"/>
      <c r="N558" s="184"/>
      <c r="O558" s="184"/>
      <c r="P558" s="184"/>
      <c r="Q558" s="184"/>
      <c r="R558" s="184"/>
      <c r="S558" s="184"/>
      <c r="T558" s="184"/>
      <c r="U558" s="184"/>
      <c r="V558" s="184"/>
      <c r="W558" s="184"/>
      <c r="X558" s="184"/>
      <c r="Y558" s="184"/>
      <c r="Z558" s="184"/>
      <c r="AA558" s="184"/>
    </row>
    <row r="559">
      <c r="A559" s="184"/>
      <c r="B559" s="184"/>
      <c r="C559" s="194"/>
      <c r="D559" s="194"/>
      <c r="E559" s="194"/>
      <c r="F559" s="194"/>
      <c r="G559" s="194"/>
      <c r="H559" s="184"/>
      <c r="I559" s="194"/>
      <c r="J559" s="194"/>
      <c r="K559" s="194"/>
      <c r="L559" s="184"/>
      <c r="M559" s="184"/>
      <c r="N559" s="184"/>
      <c r="O559" s="184"/>
      <c r="P559" s="184"/>
      <c r="Q559" s="184"/>
      <c r="R559" s="184"/>
      <c r="S559" s="184"/>
      <c r="T559" s="184"/>
      <c r="U559" s="184"/>
      <c r="V559" s="184"/>
      <c r="W559" s="184"/>
      <c r="X559" s="184"/>
      <c r="Y559" s="184"/>
      <c r="Z559" s="184"/>
      <c r="AA559" s="184"/>
    </row>
    <row r="560">
      <c r="A560" s="184"/>
      <c r="B560" s="184"/>
      <c r="C560" s="194"/>
      <c r="D560" s="194"/>
      <c r="E560" s="194"/>
      <c r="F560" s="194"/>
      <c r="G560" s="194"/>
      <c r="H560" s="184"/>
      <c r="I560" s="194"/>
      <c r="J560" s="194"/>
      <c r="K560" s="194"/>
      <c r="L560" s="184"/>
      <c r="M560" s="184"/>
      <c r="N560" s="184"/>
      <c r="O560" s="184"/>
      <c r="P560" s="184"/>
      <c r="Q560" s="184"/>
      <c r="R560" s="184"/>
      <c r="S560" s="184"/>
      <c r="T560" s="184"/>
      <c r="U560" s="184"/>
      <c r="V560" s="184"/>
      <c r="W560" s="184"/>
      <c r="X560" s="184"/>
      <c r="Y560" s="184"/>
      <c r="Z560" s="184"/>
      <c r="AA560" s="184"/>
    </row>
    <row r="561">
      <c r="A561" s="184"/>
      <c r="B561" s="184"/>
      <c r="C561" s="194"/>
      <c r="D561" s="194"/>
      <c r="E561" s="194"/>
      <c r="F561" s="194"/>
      <c r="G561" s="194"/>
      <c r="H561" s="184"/>
      <c r="I561" s="194"/>
      <c r="J561" s="194"/>
      <c r="K561" s="194"/>
      <c r="L561" s="184"/>
      <c r="M561" s="184"/>
      <c r="N561" s="184"/>
      <c r="O561" s="184"/>
      <c r="P561" s="184"/>
      <c r="Q561" s="184"/>
      <c r="R561" s="184"/>
      <c r="S561" s="184"/>
      <c r="T561" s="184"/>
      <c r="U561" s="184"/>
      <c r="V561" s="184"/>
      <c r="W561" s="184"/>
      <c r="X561" s="184"/>
      <c r="Y561" s="184"/>
      <c r="Z561" s="184"/>
      <c r="AA561" s="184"/>
    </row>
    <row r="562">
      <c r="A562" s="184"/>
      <c r="B562" s="184"/>
      <c r="C562" s="194"/>
      <c r="D562" s="194"/>
      <c r="E562" s="194"/>
      <c r="F562" s="194"/>
      <c r="G562" s="194"/>
      <c r="H562" s="184"/>
      <c r="I562" s="194"/>
      <c r="J562" s="194"/>
      <c r="K562" s="194"/>
      <c r="L562" s="184"/>
      <c r="M562" s="184"/>
      <c r="N562" s="184"/>
      <c r="O562" s="184"/>
      <c r="P562" s="184"/>
      <c r="Q562" s="184"/>
      <c r="R562" s="184"/>
      <c r="S562" s="184"/>
      <c r="T562" s="184"/>
      <c r="U562" s="184"/>
      <c r="V562" s="184"/>
      <c r="W562" s="184"/>
      <c r="X562" s="184"/>
      <c r="Y562" s="184"/>
      <c r="Z562" s="184"/>
      <c r="AA562" s="184"/>
    </row>
    <row r="563">
      <c r="A563" s="184"/>
      <c r="B563" s="184"/>
      <c r="C563" s="194"/>
      <c r="D563" s="194"/>
      <c r="E563" s="194"/>
      <c r="F563" s="194"/>
      <c r="G563" s="194"/>
      <c r="H563" s="184"/>
      <c r="I563" s="194"/>
      <c r="J563" s="194"/>
      <c r="K563" s="194"/>
      <c r="L563" s="184"/>
      <c r="M563" s="184"/>
      <c r="N563" s="184"/>
      <c r="O563" s="184"/>
      <c r="P563" s="184"/>
      <c r="Q563" s="184"/>
      <c r="R563" s="184"/>
      <c r="S563" s="184"/>
      <c r="T563" s="184"/>
      <c r="U563" s="184"/>
      <c r="V563" s="184"/>
      <c r="W563" s="184"/>
      <c r="X563" s="184"/>
      <c r="Y563" s="184"/>
      <c r="Z563" s="184"/>
      <c r="AA563" s="184"/>
    </row>
    <row r="564">
      <c r="A564" s="184"/>
      <c r="B564" s="184"/>
      <c r="C564" s="194"/>
      <c r="D564" s="194"/>
      <c r="E564" s="194"/>
      <c r="F564" s="194"/>
      <c r="G564" s="194"/>
      <c r="H564" s="184"/>
      <c r="I564" s="194"/>
      <c r="J564" s="194"/>
      <c r="K564" s="194"/>
      <c r="L564" s="184"/>
      <c r="M564" s="184"/>
      <c r="N564" s="184"/>
      <c r="O564" s="184"/>
      <c r="P564" s="184"/>
      <c r="Q564" s="184"/>
      <c r="R564" s="184"/>
      <c r="S564" s="184"/>
      <c r="T564" s="184"/>
      <c r="U564" s="184"/>
      <c r="V564" s="184"/>
      <c r="W564" s="184"/>
      <c r="X564" s="184"/>
      <c r="Y564" s="184"/>
      <c r="Z564" s="184"/>
      <c r="AA564" s="184"/>
    </row>
    <row r="565">
      <c r="A565" s="184"/>
      <c r="B565" s="184"/>
      <c r="C565" s="194"/>
      <c r="D565" s="194"/>
      <c r="E565" s="194"/>
      <c r="F565" s="194"/>
      <c r="G565" s="194"/>
      <c r="H565" s="184"/>
      <c r="I565" s="194"/>
      <c r="J565" s="194"/>
      <c r="K565" s="194"/>
      <c r="L565" s="184"/>
      <c r="M565" s="184"/>
      <c r="N565" s="184"/>
      <c r="O565" s="184"/>
      <c r="P565" s="184"/>
      <c r="Q565" s="184"/>
      <c r="R565" s="184"/>
      <c r="S565" s="184"/>
      <c r="T565" s="184"/>
      <c r="U565" s="184"/>
      <c r="V565" s="184"/>
      <c r="W565" s="184"/>
      <c r="X565" s="184"/>
      <c r="Y565" s="184"/>
      <c r="Z565" s="184"/>
      <c r="AA565" s="184"/>
    </row>
    <row r="566">
      <c r="A566" s="184"/>
      <c r="B566" s="184"/>
      <c r="C566" s="194"/>
      <c r="D566" s="194"/>
      <c r="E566" s="194"/>
      <c r="F566" s="194"/>
      <c r="G566" s="194"/>
      <c r="H566" s="184"/>
      <c r="I566" s="194"/>
      <c r="J566" s="194"/>
      <c r="K566" s="194"/>
      <c r="L566" s="184"/>
      <c r="M566" s="184"/>
      <c r="N566" s="184"/>
      <c r="O566" s="184"/>
      <c r="P566" s="184"/>
      <c r="Q566" s="184"/>
      <c r="R566" s="184"/>
      <c r="S566" s="184"/>
      <c r="T566" s="184"/>
      <c r="U566" s="184"/>
      <c r="V566" s="184"/>
      <c r="W566" s="184"/>
      <c r="X566" s="184"/>
      <c r="Y566" s="184"/>
      <c r="Z566" s="184"/>
      <c r="AA566" s="184"/>
    </row>
    <row r="567">
      <c r="A567" s="184"/>
      <c r="B567" s="184"/>
      <c r="C567" s="194"/>
      <c r="D567" s="194"/>
      <c r="E567" s="194"/>
      <c r="F567" s="194"/>
      <c r="G567" s="194"/>
      <c r="H567" s="184"/>
      <c r="I567" s="194"/>
      <c r="J567" s="194"/>
      <c r="K567" s="194"/>
      <c r="L567" s="184"/>
      <c r="M567" s="184"/>
      <c r="N567" s="184"/>
      <c r="O567" s="184"/>
      <c r="P567" s="184"/>
      <c r="Q567" s="184"/>
      <c r="R567" s="184"/>
      <c r="S567" s="184"/>
      <c r="T567" s="184"/>
      <c r="U567" s="184"/>
      <c r="V567" s="184"/>
      <c r="W567" s="184"/>
      <c r="X567" s="184"/>
      <c r="Y567" s="184"/>
      <c r="Z567" s="184"/>
      <c r="AA567" s="184"/>
    </row>
    <row r="568">
      <c r="A568" s="184"/>
      <c r="B568" s="184"/>
      <c r="C568" s="194"/>
      <c r="D568" s="194"/>
      <c r="E568" s="194"/>
      <c r="F568" s="194"/>
      <c r="G568" s="194"/>
      <c r="H568" s="184"/>
      <c r="I568" s="194"/>
      <c r="J568" s="194"/>
      <c r="K568" s="194"/>
      <c r="L568" s="184"/>
      <c r="M568" s="184"/>
      <c r="N568" s="184"/>
      <c r="O568" s="184"/>
      <c r="P568" s="184"/>
      <c r="Q568" s="184"/>
      <c r="R568" s="184"/>
      <c r="S568" s="184"/>
      <c r="T568" s="184"/>
      <c r="U568" s="184"/>
      <c r="V568" s="184"/>
      <c r="W568" s="184"/>
      <c r="X568" s="184"/>
      <c r="Y568" s="184"/>
      <c r="Z568" s="184"/>
      <c r="AA568" s="184"/>
    </row>
    <row r="569">
      <c r="A569" s="184"/>
      <c r="B569" s="184"/>
      <c r="C569" s="194"/>
      <c r="D569" s="194"/>
      <c r="E569" s="194"/>
      <c r="F569" s="194"/>
      <c r="G569" s="194"/>
      <c r="H569" s="184"/>
      <c r="I569" s="194"/>
      <c r="J569" s="194"/>
      <c r="K569" s="194"/>
      <c r="L569" s="184"/>
      <c r="M569" s="184"/>
      <c r="N569" s="184"/>
      <c r="O569" s="184"/>
      <c r="P569" s="184"/>
      <c r="Q569" s="184"/>
      <c r="R569" s="184"/>
      <c r="S569" s="184"/>
      <c r="T569" s="184"/>
      <c r="U569" s="184"/>
      <c r="V569" s="184"/>
      <c r="W569" s="184"/>
      <c r="X569" s="184"/>
      <c r="Y569" s="184"/>
      <c r="Z569" s="184"/>
      <c r="AA569" s="184"/>
    </row>
    <row r="570">
      <c r="A570" s="184"/>
      <c r="B570" s="184"/>
      <c r="C570" s="194"/>
      <c r="D570" s="194"/>
      <c r="E570" s="194"/>
      <c r="F570" s="194"/>
      <c r="G570" s="194"/>
      <c r="H570" s="184"/>
      <c r="I570" s="194"/>
      <c r="J570" s="194"/>
      <c r="K570" s="194"/>
      <c r="L570" s="184"/>
      <c r="M570" s="184"/>
      <c r="N570" s="184"/>
      <c r="O570" s="184"/>
      <c r="P570" s="184"/>
      <c r="Q570" s="184"/>
      <c r="R570" s="184"/>
      <c r="S570" s="184"/>
      <c r="T570" s="184"/>
      <c r="U570" s="184"/>
      <c r="V570" s="184"/>
      <c r="W570" s="184"/>
      <c r="X570" s="184"/>
      <c r="Y570" s="184"/>
      <c r="Z570" s="184"/>
      <c r="AA570" s="184"/>
    </row>
    <row r="571">
      <c r="A571" s="184"/>
      <c r="B571" s="184"/>
      <c r="C571" s="194"/>
      <c r="D571" s="194"/>
      <c r="E571" s="194"/>
      <c r="F571" s="194"/>
      <c r="G571" s="194"/>
      <c r="H571" s="184"/>
      <c r="I571" s="194"/>
      <c r="J571" s="194"/>
      <c r="K571" s="194"/>
      <c r="L571" s="184"/>
      <c r="M571" s="184"/>
      <c r="N571" s="184"/>
      <c r="O571" s="184"/>
      <c r="P571" s="184"/>
      <c r="Q571" s="184"/>
      <c r="R571" s="184"/>
      <c r="S571" s="184"/>
      <c r="T571" s="184"/>
      <c r="U571" s="184"/>
      <c r="V571" s="184"/>
      <c r="W571" s="184"/>
      <c r="X571" s="184"/>
      <c r="Y571" s="184"/>
      <c r="Z571" s="184"/>
      <c r="AA571" s="184"/>
    </row>
    <row r="572">
      <c r="A572" s="184"/>
      <c r="B572" s="184"/>
      <c r="C572" s="194"/>
      <c r="D572" s="194"/>
      <c r="E572" s="194"/>
      <c r="F572" s="194"/>
      <c r="G572" s="194"/>
      <c r="H572" s="184"/>
      <c r="I572" s="194"/>
      <c r="J572" s="194"/>
      <c r="K572" s="194"/>
      <c r="L572" s="184"/>
      <c r="M572" s="184"/>
      <c r="N572" s="184"/>
      <c r="O572" s="184"/>
      <c r="P572" s="184"/>
      <c r="Q572" s="184"/>
      <c r="R572" s="184"/>
      <c r="S572" s="184"/>
      <c r="T572" s="184"/>
      <c r="U572" s="184"/>
      <c r="V572" s="184"/>
      <c r="W572" s="184"/>
      <c r="X572" s="184"/>
      <c r="Y572" s="184"/>
      <c r="Z572" s="184"/>
      <c r="AA572" s="184"/>
    </row>
    <row r="573">
      <c r="A573" s="184"/>
      <c r="B573" s="184"/>
      <c r="C573" s="194"/>
      <c r="D573" s="194"/>
      <c r="E573" s="194"/>
      <c r="F573" s="194"/>
      <c r="G573" s="194"/>
      <c r="H573" s="184"/>
      <c r="I573" s="194"/>
      <c r="J573" s="194"/>
      <c r="K573" s="194"/>
      <c r="L573" s="184"/>
      <c r="M573" s="184"/>
      <c r="N573" s="184"/>
      <c r="O573" s="184"/>
      <c r="P573" s="184"/>
      <c r="Q573" s="184"/>
      <c r="R573" s="184"/>
      <c r="S573" s="184"/>
      <c r="T573" s="184"/>
      <c r="U573" s="184"/>
      <c r="V573" s="184"/>
      <c r="W573" s="184"/>
      <c r="X573" s="184"/>
      <c r="Y573" s="184"/>
      <c r="Z573" s="184"/>
      <c r="AA573" s="184"/>
    </row>
    <row r="574">
      <c r="A574" s="184"/>
      <c r="B574" s="184"/>
      <c r="C574" s="194"/>
      <c r="D574" s="194"/>
      <c r="E574" s="194"/>
      <c r="F574" s="194"/>
      <c r="G574" s="194"/>
      <c r="H574" s="184"/>
      <c r="I574" s="194"/>
      <c r="J574" s="194"/>
      <c r="K574" s="194"/>
      <c r="L574" s="184"/>
      <c r="M574" s="184"/>
      <c r="N574" s="184"/>
      <c r="O574" s="184"/>
      <c r="P574" s="184"/>
      <c r="Q574" s="184"/>
      <c r="R574" s="184"/>
      <c r="S574" s="184"/>
      <c r="T574" s="184"/>
      <c r="U574" s="184"/>
      <c r="V574" s="184"/>
      <c r="W574" s="184"/>
      <c r="X574" s="184"/>
      <c r="Y574" s="184"/>
      <c r="Z574" s="184"/>
      <c r="AA574" s="184"/>
    </row>
    <row r="575">
      <c r="A575" s="184"/>
      <c r="B575" s="184"/>
      <c r="C575" s="194"/>
      <c r="D575" s="194"/>
      <c r="E575" s="194"/>
      <c r="F575" s="194"/>
      <c r="G575" s="194"/>
      <c r="H575" s="184"/>
      <c r="I575" s="194"/>
      <c r="J575" s="194"/>
      <c r="K575" s="194"/>
      <c r="L575" s="184"/>
      <c r="M575" s="184"/>
      <c r="N575" s="184"/>
      <c r="O575" s="184"/>
      <c r="P575" s="184"/>
      <c r="Q575" s="184"/>
      <c r="R575" s="184"/>
      <c r="S575" s="184"/>
      <c r="T575" s="184"/>
      <c r="U575" s="184"/>
      <c r="V575" s="184"/>
      <c r="W575" s="184"/>
      <c r="X575" s="184"/>
      <c r="Y575" s="184"/>
      <c r="Z575" s="184"/>
      <c r="AA575" s="184"/>
    </row>
    <row r="576">
      <c r="A576" s="184"/>
      <c r="B576" s="184"/>
      <c r="C576" s="194"/>
      <c r="D576" s="194"/>
      <c r="E576" s="194"/>
      <c r="F576" s="194"/>
      <c r="G576" s="194"/>
      <c r="H576" s="184"/>
      <c r="I576" s="194"/>
      <c r="J576" s="194"/>
      <c r="K576" s="194"/>
      <c r="L576" s="184"/>
      <c r="M576" s="184"/>
      <c r="N576" s="184"/>
      <c r="O576" s="184"/>
      <c r="P576" s="184"/>
      <c r="Q576" s="184"/>
      <c r="R576" s="184"/>
      <c r="S576" s="184"/>
      <c r="T576" s="184"/>
      <c r="U576" s="184"/>
      <c r="V576" s="184"/>
      <c r="W576" s="184"/>
      <c r="X576" s="184"/>
      <c r="Y576" s="184"/>
      <c r="Z576" s="184"/>
      <c r="AA576" s="184"/>
    </row>
    <row r="577">
      <c r="A577" s="184"/>
      <c r="B577" s="184"/>
      <c r="C577" s="194"/>
      <c r="D577" s="194"/>
      <c r="E577" s="194"/>
      <c r="F577" s="194"/>
      <c r="G577" s="194"/>
      <c r="H577" s="184"/>
      <c r="I577" s="194"/>
      <c r="J577" s="194"/>
      <c r="K577" s="194"/>
      <c r="L577" s="184"/>
      <c r="M577" s="184"/>
      <c r="N577" s="184"/>
      <c r="O577" s="184"/>
      <c r="P577" s="184"/>
      <c r="Q577" s="184"/>
      <c r="R577" s="184"/>
      <c r="S577" s="184"/>
      <c r="T577" s="184"/>
      <c r="U577" s="184"/>
      <c r="V577" s="184"/>
      <c r="W577" s="184"/>
      <c r="X577" s="184"/>
      <c r="Y577" s="184"/>
      <c r="Z577" s="184"/>
      <c r="AA577" s="184"/>
    </row>
    <row r="578">
      <c r="A578" s="184"/>
      <c r="B578" s="184"/>
      <c r="C578" s="194"/>
      <c r="D578" s="194"/>
      <c r="E578" s="194"/>
      <c r="F578" s="194"/>
      <c r="G578" s="194"/>
      <c r="H578" s="184"/>
      <c r="I578" s="194"/>
      <c r="J578" s="194"/>
      <c r="K578" s="194"/>
      <c r="L578" s="184"/>
      <c r="M578" s="184"/>
      <c r="N578" s="184"/>
      <c r="O578" s="184"/>
      <c r="P578" s="184"/>
      <c r="Q578" s="184"/>
      <c r="R578" s="184"/>
      <c r="S578" s="184"/>
      <c r="T578" s="184"/>
      <c r="U578" s="184"/>
      <c r="V578" s="184"/>
      <c r="W578" s="184"/>
      <c r="X578" s="184"/>
      <c r="Y578" s="184"/>
      <c r="Z578" s="184"/>
      <c r="AA578" s="184"/>
    </row>
    <row r="579">
      <c r="A579" s="184"/>
      <c r="B579" s="184"/>
      <c r="C579" s="194"/>
      <c r="D579" s="194"/>
      <c r="E579" s="194"/>
      <c r="F579" s="194"/>
      <c r="G579" s="194"/>
      <c r="H579" s="184"/>
      <c r="I579" s="194"/>
      <c r="J579" s="194"/>
      <c r="K579" s="194"/>
      <c r="L579" s="184"/>
      <c r="M579" s="184"/>
      <c r="N579" s="184"/>
      <c r="O579" s="184"/>
      <c r="P579" s="184"/>
      <c r="Q579" s="184"/>
      <c r="R579" s="184"/>
      <c r="S579" s="184"/>
      <c r="T579" s="184"/>
      <c r="U579" s="184"/>
      <c r="V579" s="184"/>
      <c r="W579" s="184"/>
      <c r="X579" s="184"/>
      <c r="Y579" s="184"/>
      <c r="Z579" s="184"/>
      <c r="AA579" s="184"/>
    </row>
    <row r="580">
      <c r="A580" s="184"/>
      <c r="B580" s="184"/>
      <c r="C580" s="194"/>
      <c r="D580" s="194"/>
      <c r="E580" s="194"/>
      <c r="F580" s="194"/>
      <c r="G580" s="194"/>
      <c r="H580" s="184"/>
      <c r="I580" s="194"/>
      <c r="J580" s="194"/>
      <c r="K580" s="194"/>
      <c r="L580" s="184"/>
      <c r="M580" s="184"/>
      <c r="N580" s="184"/>
      <c r="O580" s="184"/>
      <c r="P580" s="184"/>
      <c r="Q580" s="184"/>
      <c r="R580" s="184"/>
      <c r="S580" s="184"/>
      <c r="T580" s="184"/>
      <c r="U580" s="184"/>
      <c r="V580" s="184"/>
      <c r="W580" s="184"/>
      <c r="X580" s="184"/>
      <c r="Y580" s="184"/>
      <c r="Z580" s="184"/>
      <c r="AA580" s="184"/>
    </row>
    <row r="581">
      <c r="A581" s="184"/>
      <c r="B581" s="184"/>
      <c r="C581" s="194"/>
      <c r="D581" s="194"/>
      <c r="E581" s="194"/>
      <c r="F581" s="194"/>
      <c r="G581" s="194"/>
      <c r="H581" s="184"/>
      <c r="I581" s="194"/>
      <c r="J581" s="194"/>
      <c r="K581" s="194"/>
      <c r="L581" s="184"/>
      <c r="M581" s="184"/>
      <c r="N581" s="184"/>
      <c r="O581" s="184"/>
      <c r="P581" s="184"/>
      <c r="Q581" s="184"/>
      <c r="R581" s="184"/>
      <c r="S581" s="184"/>
      <c r="T581" s="184"/>
      <c r="U581" s="184"/>
      <c r="V581" s="184"/>
      <c r="W581" s="184"/>
      <c r="X581" s="184"/>
      <c r="Y581" s="184"/>
      <c r="Z581" s="184"/>
      <c r="AA581" s="184"/>
    </row>
    <row r="582">
      <c r="A582" s="184"/>
      <c r="B582" s="184"/>
      <c r="C582" s="194"/>
      <c r="D582" s="194"/>
      <c r="E582" s="194"/>
      <c r="F582" s="194"/>
      <c r="G582" s="194"/>
      <c r="H582" s="184"/>
      <c r="I582" s="194"/>
      <c r="J582" s="194"/>
      <c r="K582" s="194"/>
      <c r="L582" s="184"/>
      <c r="M582" s="184"/>
      <c r="N582" s="184"/>
      <c r="O582" s="184"/>
      <c r="P582" s="184"/>
      <c r="Q582" s="184"/>
      <c r="R582" s="184"/>
      <c r="S582" s="184"/>
      <c r="T582" s="184"/>
      <c r="U582" s="184"/>
      <c r="V582" s="184"/>
      <c r="W582" s="184"/>
      <c r="X582" s="184"/>
      <c r="Y582" s="184"/>
      <c r="Z582" s="184"/>
      <c r="AA582" s="184"/>
    </row>
    <row r="583">
      <c r="A583" s="184"/>
      <c r="B583" s="184"/>
      <c r="C583" s="194"/>
      <c r="D583" s="194"/>
      <c r="E583" s="194"/>
      <c r="F583" s="194"/>
      <c r="G583" s="194"/>
      <c r="H583" s="184"/>
      <c r="I583" s="194"/>
      <c r="J583" s="194"/>
      <c r="K583" s="194"/>
      <c r="L583" s="184"/>
      <c r="M583" s="184"/>
      <c r="N583" s="184"/>
      <c r="O583" s="184"/>
      <c r="P583" s="184"/>
      <c r="Q583" s="184"/>
      <c r="R583" s="184"/>
      <c r="S583" s="184"/>
      <c r="T583" s="184"/>
      <c r="U583" s="184"/>
      <c r="V583" s="184"/>
      <c r="W583" s="184"/>
      <c r="X583" s="184"/>
      <c r="Y583" s="184"/>
      <c r="Z583" s="184"/>
      <c r="AA583" s="184"/>
    </row>
    <row r="584">
      <c r="A584" s="184"/>
      <c r="B584" s="184"/>
      <c r="C584" s="194"/>
      <c r="D584" s="194"/>
      <c r="E584" s="194"/>
      <c r="F584" s="194"/>
      <c r="G584" s="194"/>
      <c r="H584" s="184"/>
      <c r="I584" s="194"/>
      <c r="J584" s="194"/>
      <c r="K584" s="194"/>
      <c r="L584" s="184"/>
      <c r="M584" s="184"/>
      <c r="N584" s="184"/>
      <c r="O584" s="184"/>
      <c r="P584" s="184"/>
      <c r="Q584" s="184"/>
      <c r="R584" s="184"/>
      <c r="S584" s="184"/>
      <c r="T584" s="184"/>
      <c r="U584" s="184"/>
      <c r="V584" s="184"/>
      <c r="W584" s="184"/>
      <c r="X584" s="184"/>
      <c r="Y584" s="184"/>
      <c r="Z584" s="184"/>
      <c r="AA584" s="184"/>
    </row>
    <row r="585">
      <c r="A585" s="184"/>
      <c r="B585" s="184"/>
      <c r="C585" s="194"/>
      <c r="D585" s="194"/>
      <c r="E585" s="194"/>
      <c r="F585" s="194"/>
      <c r="G585" s="194"/>
      <c r="H585" s="184"/>
      <c r="I585" s="194"/>
      <c r="J585" s="194"/>
      <c r="K585" s="194"/>
      <c r="L585" s="184"/>
      <c r="M585" s="184"/>
      <c r="N585" s="184"/>
      <c r="O585" s="184"/>
      <c r="P585" s="184"/>
      <c r="Q585" s="184"/>
      <c r="R585" s="184"/>
      <c r="S585" s="184"/>
      <c r="T585" s="184"/>
      <c r="U585" s="184"/>
      <c r="V585" s="184"/>
      <c r="W585" s="184"/>
      <c r="X585" s="184"/>
      <c r="Y585" s="184"/>
      <c r="Z585" s="184"/>
      <c r="AA585" s="184"/>
    </row>
    <row r="586">
      <c r="A586" s="184"/>
      <c r="B586" s="184"/>
      <c r="C586" s="194"/>
      <c r="D586" s="194"/>
      <c r="E586" s="194"/>
      <c r="F586" s="194"/>
      <c r="G586" s="194"/>
      <c r="H586" s="184"/>
      <c r="I586" s="194"/>
      <c r="J586" s="194"/>
      <c r="K586" s="194"/>
      <c r="L586" s="184"/>
      <c r="M586" s="184"/>
      <c r="N586" s="184"/>
      <c r="O586" s="184"/>
      <c r="P586" s="184"/>
      <c r="Q586" s="184"/>
      <c r="R586" s="184"/>
      <c r="S586" s="184"/>
      <c r="T586" s="184"/>
      <c r="U586" s="184"/>
      <c r="V586" s="184"/>
      <c r="W586" s="184"/>
      <c r="X586" s="184"/>
      <c r="Y586" s="184"/>
      <c r="Z586" s="184"/>
      <c r="AA586" s="184"/>
    </row>
    <row r="587">
      <c r="A587" s="184"/>
      <c r="B587" s="184"/>
      <c r="C587" s="194"/>
      <c r="D587" s="194"/>
      <c r="E587" s="194"/>
      <c r="F587" s="194"/>
      <c r="G587" s="194"/>
      <c r="H587" s="184"/>
      <c r="I587" s="194"/>
      <c r="J587" s="194"/>
      <c r="K587" s="194"/>
      <c r="L587" s="184"/>
      <c r="M587" s="184"/>
      <c r="N587" s="184"/>
      <c r="O587" s="184"/>
      <c r="P587" s="184"/>
      <c r="Q587" s="184"/>
      <c r="R587" s="184"/>
      <c r="S587" s="184"/>
      <c r="T587" s="184"/>
      <c r="U587" s="184"/>
      <c r="V587" s="184"/>
      <c r="W587" s="184"/>
      <c r="X587" s="184"/>
      <c r="Y587" s="184"/>
      <c r="Z587" s="184"/>
      <c r="AA587" s="184"/>
    </row>
    <row r="588">
      <c r="A588" s="184"/>
      <c r="B588" s="184"/>
      <c r="C588" s="194"/>
      <c r="D588" s="194"/>
      <c r="E588" s="194"/>
      <c r="F588" s="194"/>
      <c r="G588" s="194"/>
      <c r="H588" s="184"/>
      <c r="I588" s="194"/>
      <c r="J588" s="194"/>
      <c r="K588" s="194"/>
      <c r="L588" s="184"/>
      <c r="M588" s="184"/>
      <c r="N588" s="184"/>
      <c r="O588" s="184"/>
      <c r="P588" s="184"/>
      <c r="Q588" s="184"/>
      <c r="R588" s="184"/>
      <c r="S588" s="184"/>
      <c r="T588" s="184"/>
      <c r="U588" s="184"/>
      <c r="V588" s="184"/>
      <c r="W588" s="184"/>
      <c r="X588" s="184"/>
      <c r="Y588" s="184"/>
      <c r="Z588" s="184"/>
      <c r="AA588" s="184"/>
    </row>
    <row r="589">
      <c r="A589" s="184"/>
      <c r="B589" s="184"/>
      <c r="C589" s="194"/>
      <c r="D589" s="194"/>
      <c r="E589" s="194"/>
      <c r="F589" s="194"/>
      <c r="G589" s="194"/>
      <c r="H589" s="184"/>
      <c r="I589" s="194"/>
      <c r="J589" s="194"/>
      <c r="K589" s="194"/>
      <c r="L589" s="184"/>
      <c r="M589" s="184"/>
      <c r="N589" s="184"/>
      <c r="O589" s="184"/>
      <c r="P589" s="184"/>
      <c r="Q589" s="184"/>
      <c r="R589" s="184"/>
      <c r="S589" s="184"/>
      <c r="T589" s="184"/>
      <c r="U589" s="184"/>
      <c r="V589" s="184"/>
      <c r="W589" s="184"/>
      <c r="X589" s="184"/>
      <c r="Y589" s="184"/>
      <c r="Z589" s="184"/>
      <c r="AA589" s="184"/>
    </row>
    <row r="590">
      <c r="A590" s="184"/>
      <c r="B590" s="184"/>
      <c r="C590" s="194"/>
      <c r="D590" s="194"/>
      <c r="E590" s="194"/>
      <c r="F590" s="194"/>
      <c r="G590" s="194"/>
      <c r="H590" s="184"/>
      <c r="I590" s="194"/>
      <c r="J590" s="194"/>
      <c r="K590" s="194"/>
      <c r="L590" s="184"/>
      <c r="M590" s="184"/>
      <c r="N590" s="184"/>
      <c r="O590" s="184"/>
      <c r="P590" s="184"/>
      <c r="Q590" s="184"/>
      <c r="R590" s="184"/>
      <c r="S590" s="184"/>
      <c r="T590" s="184"/>
      <c r="U590" s="184"/>
      <c r="V590" s="184"/>
      <c r="W590" s="184"/>
      <c r="X590" s="184"/>
      <c r="Y590" s="184"/>
      <c r="Z590" s="184"/>
      <c r="AA590" s="184"/>
    </row>
    <row r="591">
      <c r="A591" s="184"/>
      <c r="B591" s="184"/>
      <c r="C591" s="194"/>
      <c r="D591" s="194"/>
      <c r="E591" s="194"/>
      <c r="F591" s="194"/>
      <c r="G591" s="194"/>
      <c r="H591" s="184"/>
      <c r="I591" s="194"/>
      <c r="J591" s="194"/>
      <c r="K591" s="194"/>
      <c r="L591" s="184"/>
      <c r="M591" s="184"/>
      <c r="N591" s="184"/>
      <c r="O591" s="184"/>
      <c r="P591" s="184"/>
      <c r="Q591" s="184"/>
      <c r="R591" s="184"/>
      <c r="S591" s="184"/>
      <c r="T591" s="184"/>
      <c r="U591" s="184"/>
      <c r="V591" s="184"/>
      <c r="W591" s="184"/>
      <c r="X591" s="184"/>
      <c r="Y591" s="184"/>
      <c r="Z591" s="184"/>
      <c r="AA591" s="184"/>
    </row>
    <row r="592">
      <c r="A592" s="184"/>
      <c r="B592" s="184"/>
      <c r="C592" s="194"/>
      <c r="D592" s="194"/>
      <c r="E592" s="194"/>
      <c r="F592" s="194"/>
      <c r="G592" s="194"/>
      <c r="H592" s="184"/>
      <c r="I592" s="194"/>
      <c r="J592" s="194"/>
      <c r="K592" s="194"/>
      <c r="L592" s="184"/>
      <c r="M592" s="184"/>
      <c r="N592" s="184"/>
      <c r="O592" s="184"/>
      <c r="P592" s="184"/>
      <c r="Q592" s="184"/>
      <c r="R592" s="184"/>
      <c r="S592" s="184"/>
      <c r="T592" s="184"/>
      <c r="U592" s="184"/>
      <c r="V592" s="184"/>
      <c r="W592" s="184"/>
      <c r="X592" s="184"/>
      <c r="Y592" s="184"/>
      <c r="Z592" s="184"/>
      <c r="AA592" s="184"/>
    </row>
    <row r="593">
      <c r="A593" s="184"/>
      <c r="B593" s="184"/>
      <c r="C593" s="194"/>
      <c r="D593" s="194"/>
      <c r="E593" s="194"/>
      <c r="F593" s="194"/>
      <c r="G593" s="194"/>
      <c r="H593" s="184"/>
      <c r="I593" s="194"/>
      <c r="J593" s="194"/>
      <c r="K593" s="194"/>
      <c r="L593" s="184"/>
      <c r="M593" s="184"/>
      <c r="N593" s="184"/>
      <c r="O593" s="184"/>
      <c r="P593" s="184"/>
      <c r="Q593" s="184"/>
      <c r="R593" s="184"/>
      <c r="S593" s="184"/>
      <c r="T593" s="184"/>
      <c r="U593" s="184"/>
      <c r="V593" s="184"/>
      <c r="W593" s="184"/>
      <c r="X593" s="184"/>
      <c r="Y593" s="184"/>
      <c r="Z593" s="184"/>
      <c r="AA593" s="184"/>
    </row>
    <row r="594">
      <c r="A594" s="184"/>
      <c r="B594" s="184"/>
      <c r="C594" s="194"/>
      <c r="D594" s="194"/>
      <c r="E594" s="194"/>
      <c r="F594" s="194"/>
      <c r="G594" s="194"/>
      <c r="H594" s="184"/>
      <c r="I594" s="194"/>
      <c r="J594" s="194"/>
      <c r="K594" s="194"/>
      <c r="L594" s="184"/>
      <c r="M594" s="184"/>
      <c r="N594" s="184"/>
      <c r="O594" s="184"/>
      <c r="P594" s="184"/>
      <c r="Q594" s="184"/>
      <c r="R594" s="184"/>
      <c r="S594" s="184"/>
      <c r="T594" s="184"/>
      <c r="U594" s="184"/>
      <c r="V594" s="184"/>
      <c r="W594" s="184"/>
      <c r="X594" s="184"/>
      <c r="Y594" s="184"/>
      <c r="Z594" s="184"/>
      <c r="AA594" s="184"/>
    </row>
    <row r="595">
      <c r="A595" s="184"/>
      <c r="B595" s="184"/>
      <c r="C595" s="194"/>
      <c r="D595" s="194"/>
      <c r="E595" s="194"/>
      <c r="F595" s="194"/>
      <c r="G595" s="194"/>
      <c r="H595" s="184"/>
      <c r="I595" s="194"/>
      <c r="J595" s="194"/>
      <c r="K595" s="194"/>
      <c r="L595" s="184"/>
      <c r="M595" s="184"/>
      <c r="N595" s="184"/>
      <c r="O595" s="184"/>
      <c r="P595" s="184"/>
      <c r="Q595" s="184"/>
      <c r="R595" s="184"/>
      <c r="S595" s="184"/>
      <c r="T595" s="184"/>
      <c r="U595" s="184"/>
      <c r="V595" s="184"/>
      <c r="W595" s="184"/>
      <c r="X595" s="184"/>
      <c r="Y595" s="184"/>
      <c r="Z595" s="184"/>
      <c r="AA595" s="184"/>
    </row>
    <row r="596">
      <c r="A596" s="184"/>
      <c r="B596" s="184"/>
      <c r="C596" s="194"/>
      <c r="D596" s="194"/>
      <c r="E596" s="194"/>
      <c r="F596" s="194"/>
      <c r="G596" s="194"/>
      <c r="H596" s="184"/>
      <c r="I596" s="194"/>
      <c r="J596" s="194"/>
      <c r="K596" s="194"/>
      <c r="L596" s="184"/>
      <c r="M596" s="184"/>
      <c r="N596" s="184"/>
      <c r="O596" s="184"/>
      <c r="P596" s="184"/>
      <c r="Q596" s="184"/>
      <c r="R596" s="184"/>
      <c r="S596" s="184"/>
      <c r="T596" s="184"/>
      <c r="U596" s="184"/>
      <c r="V596" s="184"/>
      <c r="W596" s="184"/>
      <c r="X596" s="184"/>
      <c r="Y596" s="184"/>
      <c r="Z596" s="184"/>
      <c r="AA596" s="184"/>
    </row>
    <row r="597">
      <c r="A597" s="184"/>
      <c r="B597" s="184"/>
      <c r="C597" s="194"/>
      <c r="D597" s="194"/>
      <c r="E597" s="194"/>
      <c r="F597" s="194"/>
      <c r="G597" s="194"/>
      <c r="H597" s="184"/>
      <c r="I597" s="194"/>
      <c r="J597" s="194"/>
      <c r="K597" s="194"/>
      <c r="L597" s="184"/>
      <c r="M597" s="184"/>
      <c r="N597" s="184"/>
      <c r="O597" s="184"/>
      <c r="P597" s="184"/>
      <c r="Q597" s="184"/>
      <c r="R597" s="184"/>
      <c r="S597" s="184"/>
      <c r="T597" s="184"/>
      <c r="U597" s="184"/>
      <c r="V597" s="184"/>
      <c r="W597" s="184"/>
      <c r="X597" s="184"/>
      <c r="Y597" s="184"/>
      <c r="Z597" s="184"/>
      <c r="AA597" s="184"/>
    </row>
    <row r="598">
      <c r="A598" s="184"/>
      <c r="B598" s="184"/>
      <c r="C598" s="194"/>
      <c r="D598" s="194"/>
      <c r="E598" s="194"/>
      <c r="F598" s="194"/>
      <c r="G598" s="194"/>
      <c r="H598" s="184"/>
      <c r="I598" s="194"/>
      <c r="J598" s="194"/>
      <c r="K598" s="194"/>
      <c r="L598" s="184"/>
      <c r="M598" s="184"/>
      <c r="N598" s="184"/>
      <c r="O598" s="184"/>
      <c r="P598" s="184"/>
      <c r="Q598" s="184"/>
      <c r="R598" s="184"/>
      <c r="S598" s="184"/>
      <c r="T598" s="184"/>
      <c r="U598" s="184"/>
      <c r="V598" s="184"/>
      <c r="W598" s="184"/>
      <c r="X598" s="184"/>
      <c r="Y598" s="184"/>
      <c r="Z598" s="184"/>
      <c r="AA598" s="184"/>
    </row>
    <row r="599">
      <c r="A599" s="184"/>
      <c r="B599" s="184"/>
      <c r="C599" s="194"/>
      <c r="D599" s="194"/>
      <c r="E599" s="194"/>
      <c r="F599" s="194"/>
      <c r="G599" s="194"/>
      <c r="H599" s="184"/>
      <c r="I599" s="194"/>
      <c r="J599" s="194"/>
      <c r="K599" s="194"/>
      <c r="L599" s="184"/>
      <c r="M599" s="184"/>
      <c r="N599" s="184"/>
      <c r="O599" s="184"/>
      <c r="P599" s="184"/>
      <c r="Q599" s="184"/>
      <c r="R599" s="184"/>
      <c r="S599" s="184"/>
      <c r="T599" s="184"/>
      <c r="U599" s="184"/>
      <c r="V599" s="184"/>
      <c r="W599" s="184"/>
      <c r="X599" s="184"/>
      <c r="Y599" s="184"/>
      <c r="Z599" s="184"/>
      <c r="AA599" s="184"/>
    </row>
    <row r="600">
      <c r="A600" s="184"/>
      <c r="B600" s="184"/>
      <c r="C600" s="194"/>
      <c r="D600" s="194"/>
      <c r="E600" s="194"/>
      <c r="F600" s="194"/>
      <c r="G600" s="194"/>
      <c r="H600" s="184"/>
      <c r="I600" s="194"/>
      <c r="J600" s="194"/>
      <c r="K600" s="194"/>
      <c r="L600" s="184"/>
      <c r="M600" s="184"/>
      <c r="N600" s="184"/>
      <c r="O600" s="184"/>
      <c r="P600" s="184"/>
      <c r="Q600" s="184"/>
      <c r="R600" s="184"/>
      <c r="S600" s="184"/>
      <c r="T600" s="184"/>
      <c r="U600" s="184"/>
      <c r="V600" s="184"/>
      <c r="W600" s="184"/>
      <c r="X600" s="184"/>
      <c r="Y600" s="184"/>
      <c r="Z600" s="184"/>
      <c r="AA600" s="184"/>
    </row>
    <row r="601">
      <c r="A601" s="184"/>
      <c r="B601" s="184"/>
      <c r="C601" s="194"/>
      <c r="D601" s="194"/>
      <c r="E601" s="194"/>
      <c r="F601" s="194"/>
      <c r="G601" s="194"/>
      <c r="H601" s="184"/>
      <c r="I601" s="194"/>
      <c r="J601" s="194"/>
      <c r="K601" s="194"/>
      <c r="L601" s="184"/>
      <c r="M601" s="184"/>
      <c r="N601" s="184"/>
      <c r="O601" s="184"/>
      <c r="P601" s="184"/>
      <c r="Q601" s="184"/>
      <c r="R601" s="184"/>
      <c r="S601" s="184"/>
      <c r="T601" s="184"/>
      <c r="U601" s="184"/>
      <c r="V601" s="184"/>
      <c r="W601" s="184"/>
      <c r="X601" s="184"/>
      <c r="Y601" s="184"/>
      <c r="Z601" s="184"/>
      <c r="AA601" s="184"/>
    </row>
    <row r="602">
      <c r="A602" s="184"/>
      <c r="B602" s="184"/>
      <c r="C602" s="194"/>
      <c r="D602" s="194"/>
      <c r="E602" s="194"/>
      <c r="F602" s="194"/>
      <c r="G602" s="194"/>
      <c r="H602" s="184"/>
      <c r="I602" s="194"/>
      <c r="J602" s="194"/>
      <c r="K602" s="194"/>
      <c r="L602" s="184"/>
      <c r="M602" s="184"/>
      <c r="N602" s="184"/>
      <c r="O602" s="184"/>
      <c r="P602" s="184"/>
      <c r="Q602" s="184"/>
      <c r="R602" s="184"/>
      <c r="S602" s="184"/>
      <c r="T602" s="184"/>
      <c r="U602" s="184"/>
      <c r="V602" s="184"/>
      <c r="W602" s="184"/>
      <c r="X602" s="184"/>
      <c r="Y602" s="184"/>
      <c r="Z602" s="184"/>
      <c r="AA602" s="184"/>
    </row>
    <row r="603">
      <c r="A603" s="184"/>
      <c r="B603" s="184"/>
      <c r="C603" s="194"/>
      <c r="D603" s="194"/>
      <c r="E603" s="194"/>
      <c r="F603" s="194"/>
      <c r="G603" s="194"/>
      <c r="H603" s="184"/>
      <c r="I603" s="194"/>
      <c r="J603" s="194"/>
      <c r="K603" s="194"/>
      <c r="L603" s="184"/>
      <c r="M603" s="184"/>
      <c r="N603" s="184"/>
      <c r="O603" s="184"/>
      <c r="P603" s="184"/>
      <c r="Q603" s="184"/>
      <c r="R603" s="184"/>
      <c r="S603" s="184"/>
      <c r="T603" s="184"/>
      <c r="U603" s="184"/>
      <c r="V603" s="184"/>
      <c r="W603" s="184"/>
      <c r="X603" s="184"/>
      <c r="Y603" s="184"/>
      <c r="Z603" s="184"/>
      <c r="AA603" s="184"/>
    </row>
    <row r="604">
      <c r="A604" s="184"/>
      <c r="B604" s="184"/>
      <c r="C604" s="194"/>
      <c r="D604" s="194"/>
      <c r="E604" s="194"/>
      <c r="F604" s="194"/>
      <c r="G604" s="194"/>
      <c r="H604" s="184"/>
      <c r="I604" s="194"/>
      <c r="J604" s="194"/>
      <c r="K604" s="194"/>
      <c r="L604" s="184"/>
      <c r="M604" s="184"/>
      <c r="N604" s="184"/>
      <c r="O604" s="184"/>
      <c r="P604" s="184"/>
      <c r="Q604" s="184"/>
      <c r="R604" s="184"/>
      <c r="S604" s="184"/>
      <c r="T604" s="184"/>
      <c r="U604" s="184"/>
      <c r="V604" s="184"/>
      <c r="W604" s="184"/>
      <c r="X604" s="184"/>
      <c r="Y604" s="184"/>
      <c r="Z604" s="184"/>
      <c r="AA604" s="184"/>
    </row>
    <row r="605">
      <c r="A605" s="184"/>
      <c r="B605" s="184"/>
      <c r="C605" s="194"/>
      <c r="D605" s="194"/>
      <c r="E605" s="194"/>
      <c r="F605" s="194"/>
      <c r="G605" s="194"/>
      <c r="H605" s="184"/>
      <c r="I605" s="194"/>
      <c r="J605" s="194"/>
      <c r="K605" s="194"/>
      <c r="L605" s="184"/>
      <c r="M605" s="184"/>
      <c r="N605" s="184"/>
      <c r="O605" s="184"/>
      <c r="P605" s="184"/>
      <c r="Q605" s="184"/>
      <c r="R605" s="184"/>
      <c r="S605" s="184"/>
      <c r="T605" s="184"/>
      <c r="U605" s="184"/>
      <c r="V605" s="184"/>
      <c r="W605" s="184"/>
      <c r="X605" s="184"/>
      <c r="Y605" s="184"/>
      <c r="Z605" s="184"/>
      <c r="AA605" s="184"/>
    </row>
    <row r="606">
      <c r="A606" s="184"/>
      <c r="B606" s="184"/>
      <c r="C606" s="194"/>
      <c r="D606" s="194"/>
      <c r="E606" s="194"/>
      <c r="F606" s="194"/>
      <c r="G606" s="194"/>
      <c r="H606" s="184"/>
      <c r="I606" s="194"/>
      <c r="J606" s="194"/>
      <c r="K606" s="194"/>
      <c r="L606" s="184"/>
      <c r="M606" s="184"/>
      <c r="N606" s="184"/>
      <c r="O606" s="184"/>
      <c r="P606" s="184"/>
      <c r="Q606" s="184"/>
      <c r="R606" s="184"/>
      <c r="S606" s="184"/>
      <c r="T606" s="184"/>
      <c r="U606" s="184"/>
      <c r="V606" s="184"/>
      <c r="W606" s="184"/>
      <c r="X606" s="184"/>
      <c r="Y606" s="184"/>
      <c r="Z606" s="184"/>
      <c r="AA606" s="184"/>
    </row>
    <row r="607">
      <c r="A607" s="184"/>
      <c r="B607" s="184"/>
      <c r="C607" s="194"/>
      <c r="D607" s="194"/>
      <c r="E607" s="194"/>
      <c r="F607" s="194"/>
      <c r="G607" s="194"/>
      <c r="H607" s="184"/>
      <c r="I607" s="194"/>
      <c r="J607" s="194"/>
      <c r="K607" s="194"/>
      <c r="L607" s="184"/>
      <c r="M607" s="184"/>
      <c r="N607" s="184"/>
      <c r="O607" s="184"/>
      <c r="P607" s="184"/>
      <c r="Q607" s="184"/>
      <c r="R607" s="184"/>
      <c r="S607" s="184"/>
      <c r="T607" s="184"/>
      <c r="U607" s="184"/>
      <c r="V607" s="184"/>
      <c r="W607" s="184"/>
      <c r="X607" s="184"/>
      <c r="Y607" s="184"/>
      <c r="Z607" s="184"/>
      <c r="AA607" s="184"/>
    </row>
    <row r="608">
      <c r="A608" s="184"/>
      <c r="B608" s="184"/>
      <c r="C608" s="194"/>
      <c r="D608" s="194"/>
      <c r="E608" s="194"/>
      <c r="F608" s="194"/>
      <c r="G608" s="194"/>
      <c r="H608" s="184"/>
      <c r="I608" s="194"/>
      <c r="J608" s="194"/>
      <c r="K608" s="194"/>
      <c r="L608" s="184"/>
      <c r="M608" s="184"/>
      <c r="N608" s="184"/>
      <c r="O608" s="184"/>
      <c r="P608" s="184"/>
      <c r="Q608" s="184"/>
      <c r="R608" s="184"/>
      <c r="S608" s="184"/>
      <c r="T608" s="184"/>
      <c r="U608" s="184"/>
      <c r="V608" s="184"/>
      <c r="W608" s="184"/>
      <c r="X608" s="184"/>
      <c r="Y608" s="184"/>
      <c r="Z608" s="184"/>
      <c r="AA608" s="184"/>
    </row>
    <row r="609">
      <c r="A609" s="184"/>
      <c r="B609" s="184"/>
      <c r="C609" s="194"/>
      <c r="D609" s="194"/>
      <c r="E609" s="194"/>
      <c r="F609" s="194"/>
      <c r="G609" s="194"/>
      <c r="H609" s="184"/>
      <c r="I609" s="194"/>
      <c r="J609" s="194"/>
      <c r="K609" s="194"/>
      <c r="L609" s="184"/>
      <c r="M609" s="184"/>
      <c r="N609" s="184"/>
      <c r="O609" s="184"/>
      <c r="P609" s="184"/>
      <c r="Q609" s="184"/>
      <c r="R609" s="184"/>
      <c r="S609" s="184"/>
      <c r="T609" s="184"/>
      <c r="U609" s="184"/>
      <c r="V609" s="184"/>
      <c r="W609" s="184"/>
      <c r="X609" s="184"/>
      <c r="Y609" s="184"/>
      <c r="Z609" s="184"/>
      <c r="AA609" s="184"/>
    </row>
    <row r="610">
      <c r="A610" s="184"/>
      <c r="B610" s="184"/>
      <c r="C610" s="194"/>
      <c r="D610" s="194"/>
      <c r="E610" s="194"/>
      <c r="F610" s="194"/>
      <c r="G610" s="194"/>
      <c r="H610" s="184"/>
      <c r="I610" s="194"/>
      <c r="J610" s="194"/>
      <c r="K610" s="194"/>
      <c r="L610" s="184"/>
      <c r="M610" s="184"/>
      <c r="N610" s="184"/>
      <c r="O610" s="184"/>
      <c r="P610" s="184"/>
      <c r="Q610" s="184"/>
      <c r="R610" s="184"/>
      <c r="S610" s="184"/>
      <c r="T610" s="184"/>
      <c r="U610" s="184"/>
      <c r="V610" s="184"/>
      <c r="W610" s="184"/>
      <c r="X610" s="184"/>
      <c r="Y610" s="184"/>
      <c r="Z610" s="184"/>
      <c r="AA610" s="184"/>
    </row>
    <row r="611">
      <c r="A611" s="184"/>
      <c r="B611" s="184"/>
      <c r="C611" s="194"/>
      <c r="D611" s="194"/>
      <c r="E611" s="194"/>
      <c r="F611" s="194"/>
      <c r="G611" s="194"/>
      <c r="H611" s="184"/>
      <c r="I611" s="194"/>
      <c r="J611" s="194"/>
      <c r="K611" s="194"/>
      <c r="L611" s="184"/>
      <c r="M611" s="184"/>
      <c r="N611" s="184"/>
      <c r="O611" s="184"/>
      <c r="P611" s="184"/>
      <c r="Q611" s="184"/>
      <c r="R611" s="184"/>
      <c r="S611" s="184"/>
      <c r="T611" s="184"/>
      <c r="U611" s="184"/>
      <c r="V611" s="184"/>
      <c r="W611" s="184"/>
      <c r="X611" s="184"/>
      <c r="Y611" s="184"/>
      <c r="Z611" s="184"/>
      <c r="AA611" s="184"/>
    </row>
    <row r="612">
      <c r="A612" s="184"/>
      <c r="B612" s="184"/>
      <c r="C612" s="194"/>
      <c r="D612" s="194"/>
      <c r="E612" s="194"/>
      <c r="F612" s="194"/>
      <c r="G612" s="194"/>
      <c r="H612" s="184"/>
      <c r="I612" s="194"/>
      <c r="J612" s="194"/>
      <c r="K612" s="194"/>
      <c r="L612" s="184"/>
      <c r="M612" s="184"/>
      <c r="N612" s="184"/>
      <c r="O612" s="184"/>
      <c r="P612" s="184"/>
      <c r="Q612" s="184"/>
      <c r="R612" s="184"/>
      <c r="S612" s="184"/>
      <c r="T612" s="184"/>
      <c r="U612" s="184"/>
      <c r="V612" s="184"/>
      <c r="W612" s="184"/>
      <c r="X612" s="184"/>
      <c r="Y612" s="184"/>
      <c r="Z612" s="184"/>
      <c r="AA612" s="184"/>
    </row>
    <row r="613">
      <c r="A613" s="184"/>
      <c r="B613" s="184"/>
      <c r="C613" s="194"/>
      <c r="D613" s="194"/>
      <c r="E613" s="194"/>
      <c r="F613" s="194"/>
      <c r="G613" s="194"/>
      <c r="H613" s="184"/>
      <c r="I613" s="194"/>
      <c r="J613" s="194"/>
      <c r="K613" s="194"/>
      <c r="L613" s="184"/>
      <c r="M613" s="184"/>
      <c r="N613" s="184"/>
      <c r="O613" s="184"/>
      <c r="P613" s="184"/>
      <c r="Q613" s="184"/>
      <c r="R613" s="184"/>
      <c r="S613" s="184"/>
      <c r="T613" s="184"/>
      <c r="U613" s="184"/>
      <c r="V613" s="184"/>
      <c r="W613" s="184"/>
      <c r="X613" s="184"/>
      <c r="Y613" s="184"/>
      <c r="Z613" s="184"/>
      <c r="AA613" s="184"/>
    </row>
    <row r="614">
      <c r="A614" s="184"/>
      <c r="B614" s="184"/>
      <c r="C614" s="194"/>
      <c r="D614" s="194"/>
      <c r="E614" s="194"/>
      <c r="F614" s="194"/>
      <c r="G614" s="194"/>
      <c r="H614" s="184"/>
      <c r="I614" s="194"/>
      <c r="J614" s="194"/>
      <c r="K614" s="194"/>
      <c r="L614" s="184"/>
      <c r="M614" s="184"/>
      <c r="N614" s="184"/>
      <c r="O614" s="184"/>
      <c r="P614" s="184"/>
      <c r="Q614" s="184"/>
      <c r="R614" s="184"/>
      <c r="S614" s="184"/>
      <c r="T614" s="184"/>
      <c r="U614" s="184"/>
      <c r="V614" s="184"/>
      <c r="W614" s="184"/>
      <c r="X614" s="184"/>
      <c r="Y614" s="184"/>
      <c r="Z614" s="184"/>
      <c r="AA614" s="184"/>
    </row>
    <row r="615">
      <c r="A615" s="184"/>
      <c r="B615" s="184"/>
      <c r="C615" s="194"/>
      <c r="D615" s="194"/>
      <c r="E615" s="194"/>
      <c r="F615" s="194"/>
      <c r="G615" s="194"/>
      <c r="H615" s="184"/>
      <c r="I615" s="194"/>
      <c r="J615" s="194"/>
      <c r="K615" s="194"/>
      <c r="L615" s="184"/>
      <c r="M615" s="184"/>
      <c r="N615" s="184"/>
      <c r="O615" s="184"/>
      <c r="P615" s="184"/>
      <c r="Q615" s="184"/>
      <c r="R615" s="184"/>
      <c r="S615" s="184"/>
      <c r="T615" s="184"/>
      <c r="U615" s="184"/>
      <c r="V615" s="184"/>
      <c r="W615" s="184"/>
      <c r="X615" s="184"/>
      <c r="Y615" s="184"/>
      <c r="Z615" s="184"/>
      <c r="AA615" s="184"/>
    </row>
    <row r="616">
      <c r="A616" s="184"/>
      <c r="B616" s="184"/>
      <c r="C616" s="194"/>
      <c r="D616" s="194"/>
      <c r="E616" s="194"/>
      <c r="F616" s="194"/>
      <c r="G616" s="194"/>
      <c r="H616" s="184"/>
      <c r="I616" s="194"/>
      <c r="J616" s="194"/>
      <c r="K616" s="194"/>
      <c r="L616" s="184"/>
      <c r="M616" s="184"/>
      <c r="N616" s="184"/>
      <c r="O616" s="184"/>
      <c r="P616" s="184"/>
      <c r="Q616" s="184"/>
      <c r="R616" s="184"/>
      <c r="S616" s="184"/>
      <c r="T616" s="184"/>
      <c r="U616" s="184"/>
      <c r="V616" s="184"/>
      <c r="W616" s="184"/>
      <c r="X616" s="184"/>
      <c r="Y616" s="184"/>
      <c r="Z616" s="184"/>
      <c r="AA616" s="184"/>
    </row>
    <row r="617">
      <c r="A617" s="184"/>
      <c r="B617" s="184"/>
      <c r="C617" s="194"/>
      <c r="D617" s="194"/>
      <c r="E617" s="194"/>
      <c r="F617" s="194"/>
      <c r="G617" s="194"/>
      <c r="H617" s="184"/>
      <c r="I617" s="194"/>
      <c r="J617" s="194"/>
      <c r="K617" s="194"/>
      <c r="L617" s="184"/>
      <c r="M617" s="184"/>
      <c r="N617" s="184"/>
      <c r="O617" s="184"/>
      <c r="P617" s="184"/>
      <c r="Q617" s="184"/>
      <c r="R617" s="184"/>
      <c r="S617" s="184"/>
      <c r="T617" s="184"/>
      <c r="U617" s="184"/>
      <c r="V617" s="184"/>
      <c r="W617" s="184"/>
      <c r="X617" s="184"/>
      <c r="Y617" s="184"/>
      <c r="Z617" s="184"/>
      <c r="AA617" s="184"/>
    </row>
    <row r="618">
      <c r="A618" s="184"/>
      <c r="B618" s="184"/>
      <c r="C618" s="194"/>
      <c r="D618" s="194"/>
      <c r="E618" s="194"/>
      <c r="F618" s="194"/>
      <c r="G618" s="194"/>
      <c r="H618" s="184"/>
      <c r="I618" s="194"/>
      <c r="J618" s="194"/>
      <c r="K618" s="194"/>
      <c r="L618" s="184"/>
      <c r="M618" s="184"/>
      <c r="N618" s="184"/>
      <c r="O618" s="184"/>
      <c r="P618" s="184"/>
      <c r="Q618" s="184"/>
      <c r="R618" s="184"/>
      <c r="S618" s="184"/>
      <c r="T618" s="184"/>
      <c r="U618" s="184"/>
      <c r="V618" s="184"/>
      <c r="W618" s="184"/>
      <c r="X618" s="184"/>
      <c r="Y618" s="184"/>
      <c r="Z618" s="184"/>
      <c r="AA618" s="184"/>
    </row>
    <row r="619">
      <c r="A619" s="184"/>
      <c r="B619" s="184"/>
      <c r="C619" s="194"/>
      <c r="D619" s="194"/>
      <c r="E619" s="194"/>
      <c r="F619" s="194"/>
      <c r="G619" s="194"/>
      <c r="H619" s="184"/>
      <c r="I619" s="194"/>
      <c r="J619" s="194"/>
      <c r="K619" s="194"/>
      <c r="L619" s="184"/>
      <c r="M619" s="184"/>
      <c r="N619" s="184"/>
      <c r="O619" s="184"/>
      <c r="P619" s="184"/>
      <c r="Q619" s="184"/>
      <c r="R619" s="184"/>
      <c r="S619" s="184"/>
      <c r="T619" s="184"/>
      <c r="U619" s="184"/>
      <c r="V619" s="184"/>
      <c r="W619" s="184"/>
      <c r="X619" s="184"/>
      <c r="Y619" s="184"/>
      <c r="Z619" s="184"/>
      <c r="AA619" s="184"/>
    </row>
    <row r="620">
      <c r="A620" s="184"/>
      <c r="B620" s="184"/>
      <c r="C620" s="194"/>
      <c r="D620" s="194"/>
      <c r="E620" s="194"/>
      <c r="F620" s="194"/>
      <c r="G620" s="194"/>
      <c r="H620" s="184"/>
      <c r="I620" s="194"/>
      <c r="J620" s="194"/>
      <c r="K620" s="194"/>
      <c r="L620" s="184"/>
      <c r="M620" s="184"/>
      <c r="N620" s="184"/>
      <c r="O620" s="184"/>
      <c r="P620" s="184"/>
      <c r="Q620" s="184"/>
      <c r="R620" s="184"/>
      <c r="S620" s="184"/>
      <c r="T620" s="184"/>
      <c r="U620" s="184"/>
      <c r="V620" s="184"/>
      <c r="W620" s="184"/>
      <c r="X620" s="184"/>
      <c r="Y620" s="184"/>
      <c r="Z620" s="184"/>
      <c r="AA620" s="184"/>
    </row>
    <row r="621">
      <c r="A621" s="184"/>
      <c r="B621" s="184"/>
      <c r="C621" s="194"/>
      <c r="D621" s="194"/>
      <c r="E621" s="194"/>
      <c r="F621" s="194"/>
      <c r="G621" s="194"/>
      <c r="H621" s="184"/>
      <c r="I621" s="194"/>
      <c r="J621" s="194"/>
      <c r="K621" s="194"/>
      <c r="L621" s="184"/>
      <c r="M621" s="184"/>
      <c r="N621" s="184"/>
      <c r="O621" s="184"/>
      <c r="P621" s="184"/>
      <c r="Q621" s="184"/>
      <c r="R621" s="184"/>
      <c r="S621" s="184"/>
      <c r="T621" s="184"/>
      <c r="U621" s="184"/>
      <c r="V621" s="184"/>
      <c r="W621" s="184"/>
      <c r="X621" s="184"/>
      <c r="Y621" s="184"/>
      <c r="Z621" s="184"/>
      <c r="AA621" s="184"/>
    </row>
    <row r="622">
      <c r="A622" s="184"/>
      <c r="B622" s="184"/>
      <c r="C622" s="194"/>
      <c r="D622" s="194"/>
      <c r="E622" s="194"/>
      <c r="F622" s="194"/>
      <c r="G622" s="194"/>
      <c r="H622" s="184"/>
      <c r="I622" s="194"/>
      <c r="J622" s="194"/>
      <c r="K622" s="194"/>
      <c r="L622" s="184"/>
      <c r="M622" s="184"/>
      <c r="N622" s="184"/>
      <c r="O622" s="184"/>
      <c r="P622" s="184"/>
      <c r="Q622" s="184"/>
      <c r="R622" s="184"/>
      <c r="S622" s="184"/>
      <c r="T622" s="184"/>
      <c r="U622" s="184"/>
      <c r="V622" s="184"/>
      <c r="W622" s="184"/>
      <c r="X622" s="184"/>
      <c r="Y622" s="184"/>
      <c r="Z622" s="184"/>
      <c r="AA622" s="184"/>
    </row>
    <row r="623">
      <c r="A623" s="184"/>
      <c r="B623" s="184"/>
      <c r="C623" s="194"/>
      <c r="D623" s="194"/>
      <c r="E623" s="194"/>
      <c r="F623" s="194"/>
      <c r="G623" s="194"/>
      <c r="H623" s="184"/>
      <c r="I623" s="194"/>
      <c r="J623" s="194"/>
      <c r="K623" s="194"/>
      <c r="L623" s="184"/>
      <c r="M623" s="184"/>
      <c r="N623" s="184"/>
      <c r="O623" s="184"/>
      <c r="P623" s="184"/>
      <c r="Q623" s="184"/>
      <c r="R623" s="184"/>
      <c r="S623" s="184"/>
      <c r="T623" s="184"/>
      <c r="U623" s="184"/>
      <c r="V623" s="184"/>
      <c r="W623" s="184"/>
      <c r="X623" s="184"/>
      <c r="Y623" s="184"/>
      <c r="Z623" s="184"/>
      <c r="AA623" s="184"/>
    </row>
    <row r="624">
      <c r="A624" s="184"/>
      <c r="B624" s="184"/>
      <c r="C624" s="194"/>
      <c r="D624" s="194"/>
      <c r="E624" s="194"/>
      <c r="F624" s="194"/>
      <c r="G624" s="194"/>
      <c r="H624" s="184"/>
      <c r="I624" s="194"/>
      <c r="J624" s="194"/>
      <c r="K624" s="194"/>
      <c r="L624" s="184"/>
      <c r="M624" s="184"/>
      <c r="N624" s="184"/>
      <c r="O624" s="184"/>
      <c r="P624" s="184"/>
      <c r="Q624" s="184"/>
      <c r="R624" s="184"/>
      <c r="S624" s="184"/>
      <c r="T624" s="184"/>
      <c r="U624" s="184"/>
      <c r="V624" s="184"/>
      <c r="W624" s="184"/>
      <c r="X624" s="184"/>
      <c r="Y624" s="184"/>
      <c r="Z624" s="184"/>
      <c r="AA624" s="184"/>
    </row>
    <row r="625">
      <c r="A625" s="184"/>
      <c r="B625" s="184"/>
      <c r="C625" s="194"/>
      <c r="D625" s="194"/>
      <c r="E625" s="194"/>
      <c r="F625" s="194"/>
      <c r="G625" s="194"/>
      <c r="H625" s="184"/>
      <c r="I625" s="194"/>
      <c r="J625" s="194"/>
      <c r="K625" s="194"/>
      <c r="L625" s="184"/>
      <c r="M625" s="184"/>
      <c r="N625" s="184"/>
      <c r="O625" s="184"/>
      <c r="P625" s="184"/>
      <c r="Q625" s="184"/>
      <c r="R625" s="184"/>
      <c r="S625" s="184"/>
      <c r="T625" s="184"/>
      <c r="U625" s="184"/>
      <c r="V625" s="184"/>
      <c r="W625" s="184"/>
      <c r="X625" s="184"/>
      <c r="Y625" s="184"/>
      <c r="Z625" s="184"/>
      <c r="AA625" s="184"/>
    </row>
    <row r="626">
      <c r="A626" s="184"/>
      <c r="B626" s="184"/>
      <c r="C626" s="194"/>
      <c r="D626" s="194"/>
      <c r="E626" s="194"/>
      <c r="F626" s="194"/>
      <c r="G626" s="194"/>
      <c r="H626" s="184"/>
      <c r="I626" s="194"/>
      <c r="J626" s="194"/>
      <c r="K626" s="194"/>
      <c r="L626" s="184"/>
      <c r="M626" s="184"/>
      <c r="N626" s="184"/>
      <c r="O626" s="184"/>
      <c r="P626" s="184"/>
      <c r="Q626" s="184"/>
      <c r="R626" s="184"/>
      <c r="S626" s="184"/>
      <c r="T626" s="184"/>
      <c r="U626" s="184"/>
      <c r="V626" s="184"/>
      <c r="W626" s="184"/>
      <c r="X626" s="184"/>
      <c r="Y626" s="184"/>
      <c r="Z626" s="184"/>
      <c r="AA626" s="184"/>
    </row>
    <row r="627">
      <c r="A627" s="184"/>
      <c r="B627" s="184"/>
      <c r="C627" s="194"/>
      <c r="D627" s="194"/>
      <c r="E627" s="194"/>
      <c r="F627" s="194"/>
      <c r="G627" s="194"/>
      <c r="H627" s="184"/>
      <c r="I627" s="194"/>
      <c r="J627" s="194"/>
      <c r="K627" s="194"/>
      <c r="L627" s="184"/>
      <c r="M627" s="184"/>
      <c r="N627" s="184"/>
      <c r="O627" s="184"/>
      <c r="P627" s="184"/>
      <c r="Q627" s="184"/>
      <c r="R627" s="184"/>
      <c r="S627" s="184"/>
      <c r="T627" s="184"/>
      <c r="U627" s="184"/>
      <c r="V627" s="184"/>
      <c r="W627" s="184"/>
      <c r="X627" s="184"/>
      <c r="Y627" s="184"/>
      <c r="Z627" s="184"/>
      <c r="AA627" s="184"/>
    </row>
    <row r="628">
      <c r="A628" s="184"/>
      <c r="B628" s="184"/>
      <c r="C628" s="194"/>
      <c r="D628" s="194"/>
      <c r="E628" s="194"/>
      <c r="F628" s="194"/>
      <c r="G628" s="194"/>
      <c r="H628" s="184"/>
      <c r="I628" s="194"/>
      <c r="J628" s="194"/>
      <c r="K628" s="194"/>
      <c r="L628" s="184"/>
      <c r="M628" s="184"/>
      <c r="N628" s="184"/>
      <c r="O628" s="184"/>
      <c r="P628" s="184"/>
      <c r="Q628" s="184"/>
      <c r="R628" s="184"/>
      <c r="S628" s="184"/>
      <c r="T628" s="184"/>
      <c r="U628" s="184"/>
      <c r="V628" s="184"/>
      <c r="W628" s="184"/>
      <c r="X628" s="184"/>
      <c r="Y628" s="184"/>
      <c r="Z628" s="184"/>
      <c r="AA628" s="184"/>
    </row>
    <row r="629">
      <c r="A629" s="184"/>
      <c r="B629" s="184"/>
      <c r="C629" s="194"/>
      <c r="D629" s="194"/>
      <c r="E629" s="194"/>
      <c r="F629" s="194"/>
      <c r="G629" s="194"/>
      <c r="H629" s="184"/>
      <c r="I629" s="194"/>
      <c r="J629" s="194"/>
      <c r="K629" s="194"/>
      <c r="L629" s="184"/>
      <c r="M629" s="184"/>
      <c r="N629" s="184"/>
      <c r="O629" s="184"/>
      <c r="P629" s="184"/>
      <c r="Q629" s="184"/>
      <c r="R629" s="184"/>
      <c r="S629" s="184"/>
      <c r="T629" s="184"/>
      <c r="U629" s="184"/>
      <c r="V629" s="184"/>
      <c r="W629" s="184"/>
      <c r="X629" s="184"/>
      <c r="Y629" s="184"/>
      <c r="Z629" s="184"/>
      <c r="AA629" s="184"/>
    </row>
    <row r="630">
      <c r="A630" s="184"/>
      <c r="B630" s="184"/>
      <c r="C630" s="194"/>
      <c r="D630" s="194"/>
      <c r="E630" s="194"/>
      <c r="F630" s="194"/>
      <c r="G630" s="194"/>
      <c r="H630" s="184"/>
      <c r="I630" s="194"/>
      <c r="J630" s="194"/>
      <c r="K630" s="194"/>
      <c r="L630" s="184"/>
      <c r="M630" s="184"/>
      <c r="N630" s="184"/>
      <c r="O630" s="184"/>
      <c r="P630" s="184"/>
      <c r="Q630" s="184"/>
      <c r="R630" s="184"/>
      <c r="S630" s="184"/>
      <c r="T630" s="184"/>
      <c r="U630" s="184"/>
      <c r="V630" s="184"/>
      <c r="W630" s="184"/>
      <c r="X630" s="184"/>
      <c r="Y630" s="184"/>
      <c r="Z630" s="184"/>
      <c r="AA630" s="184"/>
    </row>
    <row r="631">
      <c r="A631" s="184"/>
      <c r="B631" s="184"/>
      <c r="C631" s="194"/>
      <c r="D631" s="194"/>
      <c r="E631" s="194"/>
      <c r="F631" s="194"/>
      <c r="G631" s="194"/>
      <c r="H631" s="184"/>
      <c r="I631" s="194"/>
      <c r="J631" s="194"/>
      <c r="K631" s="194"/>
      <c r="L631" s="184"/>
      <c r="M631" s="184"/>
      <c r="N631" s="184"/>
      <c r="O631" s="184"/>
      <c r="P631" s="184"/>
      <c r="Q631" s="184"/>
      <c r="R631" s="184"/>
      <c r="S631" s="184"/>
      <c r="T631" s="184"/>
      <c r="U631" s="184"/>
      <c r="V631" s="184"/>
      <c r="W631" s="184"/>
      <c r="X631" s="184"/>
      <c r="Y631" s="184"/>
      <c r="Z631" s="184"/>
      <c r="AA631" s="184"/>
    </row>
    <row r="632">
      <c r="A632" s="184"/>
      <c r="B632" s="184"/>
      <c r="C632" s="194"/>
      <c r="D632" s="194"/>
      <c r="E632" s="194"/>
      <c r="F632" s="194"/>
      <c r="G632" s="194"/>
      <c r="H632" s="184"/>
      <c r="I632" s="194"/>
      <c r="J632" s="194"/>
      <c r="K632" s="194"/>
      <c r="L632" s="184"/>
      <c r="M632" s="184"/>
      <c r="N632" s="184"/>
      <c r="O632" s="184"/>
      <c r="P632" s="184"/>
      <c r="Q632" s="184"/>
      <c r="R632" s="184"/>
      <c r="S632" s="184"/>
      <c r="T632" s="184"/>
      <c r="U632" s="184"/>
      <c r="V632" s="184"/>
      <c r="W632" s="184"/>
      <c r="X632" s="184"/>
      <c r="Y632" s="184"/>
      <c r="Z632" s="184"/>
      <c r="AA632" s="184"/>
    </row>
    <row r="633">
      <c r="A633" s="184"/>
      <c r="B633" s="184"/>
      <c r="C633" s="194"/>
      <c r="D633" s="194"/>
      <c r="E633" s="194"/>
      <c r="F633" s="194"/>
      <c r="G633" s="194"/>
      <c r="H633" s="184"/>
      <c r="I633" s="194"/>
      <c r="J633" s="194"/>
      <c r="K633" s="194"/>
      <c r="L633" s="184"/>
      <c r="M633" s="184"/>
      <c r="N633" s="184"/>
      <c r="O633" s="184"/>
      <c r="P633" s="184"/>
      <c r="Q633" s="184"/>
      <c r="R633" s="184"/>
      <c r="S633" s="184"/>
      <c r="T633" s="184"/>
      <c r="U633" s="184"/>
      <c r="V633" s="184"/>
      <c r="W633" s="184"/>
      <c r="X633" s="184"/>
      <c r="Y633" s="184"/>
      <c r="Z633" s="184"/>
      <c r="AA633" s="184"/>
    </row>
    <row r="634">
      <c r="A634" s="184"/>
      <c r="B634" s="184"/>
      <c r="C634" s="194"/>
      <c r="D634" s="194"/>
      <c r="E634" s="194"/>
      <c r="F634" s="194"/>
      <c r="G634" s="194"/>
      <c r="H634" s="184"/>
      <c r="I634" s="194"/>
      <c r="J634" s="194"/>
      <c r="K634" s="194"/>
      <c r="L634" s="184"/>
      <c r="M634" s="184"/>
      <c r="N634" s="184"/>
      <c r="O634" s="184"/>
      <c r="P634" s="184"/>
      <c r="Q634" s="184"/>
      <c r="R634" s="184"/>
      <c r="S634" s="184"/>
      <c r="T634" s="184"/>
      <c r="U634" s="184"/>
      <c r="V634" s="184"/>
      <c r="W634" s="184"/>
      <c r="X634" s="184"/>
      <c r="Y634" s="184"/>
      <c r="Z634" s="184"/>
      <c r="AA634" s="184"/>
    </row>
    <row r="635">
      <c r="A635" s="184"/>
      <c r="B635" s="184"/>
      <c r="C635" s="194"/>
      <c r="D635" s="194"/>
      <c r="E635" s="194"/>
      <c r="F635" s="194"/>
      <c r="G635" s="194"/>
      <c r="H635" s="184"/>
      <c r="I635" s="194"/>
      <c r="J635" s="194"/>
      <c r="K635" s="194"/>
      <c r="L635" s="184"/>
      <c r="M635" s="184"/>
      <c r="N635" s="184"/>
      <c r="O635" s="184"/>
      <c r="P635" s="184"/>
      <c r="Q635" s="184"/>
      <c r="R635" s="184"/>
      <c r="S635" s="184"/>
      <c r="T635" s="184"/>
      <c r="U635" s="184"/>
      <c r="V635" s="184"/>
      <c r="W635" s="184"/>
      <c r="X635" s="184"/>
      <c r="Y635" s="184"/>
      <c r="Z635" s="184"/>
      <c r="AA635" s="184"/>
    </row>
    <row r="636">
      <c r="A636" s="184"/>
      <c r="B636" s="184"/>
      <c r="C636" s="194"/>
      <c r="D636" s="194"/>
      <c r="E636" s="194"/>
      <c r="F636" s="194"/>
      <c r="G636" s="194"/>
      <c r="H636" s="184"/>
      <c r="I636" s="194"/>
      <c r="J636" s="194"/>
      <c r="K636" s="194"/>
      <c r="L636" s="184"/>
      <c r="M636" s="184"/>
      <c r="N636" s="184"/>
      <c r="O636" s="184"/>
      <c r="P636" s="184"/>
      <c r="Q636" s="184"/>
      <c r="R636" s="184"/>
      <c r="S636" s="184"/>
      <c r="T636" s="184"/>
      <c r="U636" s="184"/>
      <c r="V636" s="184"/>
      <c r="W636" s="184"/>
      <c r="X636" s="184"/>
      <c r="Y636" s="184"/>
      <c r="Z636" s="184"/>
      <c r="AA636" s="184"/>
    </row>
    <row r="637">
      <c r="A637" s="184"/>
      <c r="B637" s="184"/>
      <c r="C637" s="194"/>
      <c r="D637" s="194"/>
      <c r="E637" s="194"/>
      <c r="F637" s="194"/>
      <c r="G637" s="194"/>
      <c r="H637" s="184"/>
      <c r="I637" s="194"/>
      <c r="J637" s="194"/>
      <c r="K637" s="194"/>
      <c r="L637" s="184"/>
      <c r="M637" s="184"/>
      <c r="N637" s="184"/>
      <c r="O637" s="184"/>
      <c r="P637" s="184"/>
      <c r="Q637" s="184"/>
      <c r="R637" s="184"/>
      <c r="S637" s="184"/>
      <c r="T637" s="184"/>
      <c r="U637" s="184"/>
      <c r="V637" s="184"/>
      <c r="W637" s="184"/>
      <c r="X637" s="184"/>
      <c r="Y637" s="184"/>
      <c r="Z637" s="184"/>
      <c r="AA637" s="184"/>
    </row>
    <row r="638">
      <c r="A638" s="184"/>
      <c r="B638" s="184"/>
      <c r="C638" s="194"/>
      <c r="D638" s="194"/>
      <c r="E638" s="194"/>
      <c r="F638" s="194"/>
      <c r="G638" s="194"/>
      <c r="H638" s="184"/>
      <c r="I638" s="194"/>
      <c r="J638" s="194"/>
      <c r="K638" s="194"/>
      <c r="L638" s="184"/>
      <c r="M638" s="184"/>
      <c r="N638" s="184"/>
      <c r="O638" s="184"/>
      <c r="P638" s="184"/>
      <c r="Q638" s="184"/>
      <c r="R638" s="184"/>
      <c r="S638" s="184"/>
      <c r="T638" s="184"/>
      <c r="U638" s="184"/>
      <c r="V638" s="184"/>
      <c r="W638" s="184"/>
      <c r="X638" s="184"/>
      <c r="Y638" s="184"/>
      <c r="Z638" s="184"/>
      <c r="AA638" s="184"/>
    </row>
    <row r="639">
      <c r="A639" s="184"/>
      <c r="B639" s="184"/>
      <c r="C639" s="194"/>
      <c r="D639" s="194"/>
      <c r="E639" s="194"/>
      <c r="F639" s="194"/>
      <c r="G639" s="194"/>
      <c r="H639" s="184"/>
      <c r="I639" s="194"/>
      <c r="J639" s="194"/>
      <c r="K639" s="194"/>
      <c r="L639" s="184"/>
      <c r="M639" s="184"/>
      <c r="N639" s="184"/>
      <c r="O639" s="184"/>
      <c r="P639" s="184"/>
      <c r="Q639" s="184"/>
      <c r="R639" s="184"/>
      <c r="S639" s="184"/>
      <c r="T639" s="184"/>
      <c r="U639" s="184"/>
      <c r="V639" s="184"/>
      <c r="W639" s="184"/>
      <c r="X639" s="184"/>
      <c r="Y639" s="184"/>
      <c r="Z639" s="184"/>
      <c r="AA639" s="184"/>
    </row>
    <row r="640">
      <c r="A640" s="184"/>
      <c r="B640" s="184"/>
      <c r="C640" s="194"/>
      <c r="D640" s="194"/>
      <c r="E640" s="194"/>
      <c r="F640" s="194"/>
      <c r="G640" s="194"/>
      <c r="H640" s="184"/>
      <c r="I640" s="194"/>
      <c r="J640" s="194"/>
      <c r="K640" s="194"/>
      <c r="L640" s="184"/>
      <c r="M640" s="184"/>
      <c r="N640" s="184"/>
      <c r="O640" s="184"/>
      <c r="P640" s="184"/>
      <c r="Q640" s="184"/>
      <c r="R640" s="184"/>
      <c r="S640" s="184"/>
      <c r="T640" s="184"/>
      <c r="U640" s="184"/>
      <c r="V640" s="184"/>
      <c r="W640" s="184"/>
      <c r="X640" s="184"/>
      <c r="Y640" s="184"/>
      <c r="Z640" s="184"/>
      <c r="AA640" s="184"/>
    </row>
    <row r="641">
      <c r="A641" s="184"/>
      <c r="B641" s="184"/>
      <c r="C641" s="194"/>
      <c r="D641" s="194"/>
      <c r="E641" s="194"/>
      <c r="F641" s="194"/>
      <c r="G641" s="194"/>
      <c r="H641" s="184"/>
      <c r="I641" s="194"/>
      <c r="J641" s="194"/>
      <c r="K641" s="194"/>
      <c r="L641" s="184"/>
      <c r="M641" s="184"/>
      <c r="N641" s="184"/>
      <c r="O641" s="184"/>
      <c r="P641" s="184"/>
      <c r="Q641" s="184"/>
      <c r="R641" s="184"/>
      <c r="S641" s="184"/>
      <c r="T641" s="184"/>
      <c r="U641" s="184"/>
      <c r="V641" s="184"/>
      <c r="W641" s="184"/>
      <c r="X641" s="184"/>
      <c r="Y641" s="184"/>
      <c r="Z641" s="184"/>
      <c r="AA641" s="184"/>
    </row>
    <row r="642">
      <c r="A642" s="184"/>
      <c r="B642" s="184"/>
      <c r="C642" s="194"/>
      <c r="D642" s="194"/>
      <c r="E642" s="194"/>
      <c r="F642" s="194"/>
      <c r="G642" s="194"/>
      <c r="H642" s="184"/>
      <c r="I642" s="194"/>
      <c r="J642" s="194"/>
      <c r="K642" s="194"/>
      <c r="L642" s="184"/>
      <c r="M642" s="184"/>
      <c r="N642" s="184"/>
      <c r="O642" s="184"/>
      <c r="P642" s="184"/>
      <c r="Q642" s="184"/>
      <c r="R642" s="184"/>
      <c r="S642" s="184"/>
      <c r="T642" s="184"/>
      <c r="U642" s="184"/>
      <c r="V642" s="184"/>
      <c r="W642" s="184"/>
      <c r="X642" s="184"/>
      <c r="Y642" s="184"/>
      <c r="Z642" s="184"/>
      <c r="AA642" s="184"/>
    </row>
    <row r="643">
      <c r="A643" s="184"/>
      <c r="B643" s="184"/>
      <c r="C643" s="194"/>
      <c r="D643" s="194"/>
      <c r="E643" s="194"/>
      <c r="F643" s="194"/>
      <c r="G643" s="194"/>
      <c r="H643" s="184"/>
      <c r="I643" s="194"/>
      <c r="J643" s="194"/>
      <c r="K643" s="194"/>
      <c r="L643" s="184"/>
      <c r="M643" s="184"/>
      <c r="N643" s="184"/>
      <c r="O643" s="184"/>
      <c r="P643" s="184"/>
      <c r="Q643" s="184"/>
      <c r="R643" s="184"/>
      <c r="S643" s="184"/>
      <c r="T643" s="184"/>
      <c r="U643" s="184"/>
      <c r="V643" s="184"/>
      <c r="W643" s="184"/>
      <c r="X643" s="184"/>
      <c r="Y643" s="184"/>
      <c r="Z643" s="184"/>
      <c r="AA643" s="184"/>
    </row>
    <row r="644">
      <c r="A644" s="184"/>
      <c r="B644" s="184"/>
      <c r="C644" s="194"/>
      <c r="D644" s="194"/>
      <c r="E644" s="194"/>
      <c r="F644" s="194"/>
      <c r="G644" s="194"/>
      <c r="H644" s="184"/>
      <c r="I644" s="194"/>
      <c r="J644" s="194"/>
      <c r="K644" s="194"/>
      <c r="L644" s="184"/>
      <c r="M644" s="184"/>
      <c r="N644" s="184"/>
      <c r="O644" s="184"/>
      <c r="P644" s="184"/>
      <c r="Q644" s="184"/>
      <c r="R644" s="184"/>
      <c r="S644" s="184"/>
      <c r="T644" s="184"/>
      <c r="U644" s="184"/>
      <c r="V644" s="184"/>
      <c r="W644" s="184"/>
      <c r="X644" s="184"/>
      <c r="Y644" s="184"/>
      <c r="Z644" s="184"/>
      <c r="AA644" s="184"/>
    </row>
    <row r="645">
      <c r="A645" s="184"/>
      <c r="B645" s="184"/>
      <c r="C645" s="194"/>
      <c r="D645" s="194"/>
      <c r="E645" s="194"/>
      <c r="F645" s="194"/>
      <c r="G645" s="194"/>
      <c r="H645" s="184"/>
      <c r="I645" s="194"/>
      <c r="J645" s="194"/>
      <c r="K645" s="194"/>
      <c r="L645" s="184"/>
      <c r="M645" s="184"/>
      <c r="N645" s="184"/>
      <c r="O645" s="184"/>
      <c r="P645" s="184"/>
      <c r="Q645" s="184"/>
      <c r="R645" s="184"/>
      <c r="S645" s="184"/>
      <c r="T645" s="184"/>
      <c r="U645" s="184"/>
      <c r="V645" s="184"/>
      <c r="W645" s="184"/>
      <c r="X645" s="184"/>
      <c r="Y645" s="184"/>
      <c r="Z645" s="184"/>
      <c r="AA645" s="184"/>
    </row>
    <row r="646">
      <c r="A646" s="184"/>
      <c r="B646" s="184"/>
      <c r="C646" s="194"/>
      <c r="D646" s="194"/>
      <c r="E646" s="194"/>
      <c r="F646" s="194"/>
      <c r="G646" s="194"/>
      <c r="H646" s="184"/>
      <c r="I646" s="194"/>
      <c r="J646" s="194"/>
      <c r="K646" s="194"/>
      <c r="L646" s="184"/>
      <c r="M646" s="184"/>
      <c r="N646" s="184"/>
      <c r="O646" s="184"/>
      <c r="P646" s="184"/>
      <c r="Q646" s="184"/>
      <c r="R646" s="184"/>
      <c r="S646" s="184"/>
      <c r="T646" s="184"/>
      <c r="U646" s="184"/>
      <c r="V646" s="184"/>
      <c r="W646" s="184"/>
      <c r="X646" s="184"/>
      <c r="Y646" s="184"/>
      <c r="Z646" s="184"/>
      <c r="AA646" s="184"/>
    </row>
    <row r="647">
      <c r="A647" s="184"/>
      <c r="B647" s="184"/>
      <c r="C647" s="194"/>
      <c r="D647" s="194"/>
      <c r="E647" s="194"/>
      <c r="F647" s="194"/>
      <c r="G647" s="194"/>
      <c r="H647" s="184"/>
      <c r="I647" s="194"/>
      <c r="J647" s="194"/>
      <c r="K647" s="194"/>
      <c r="L647" s="184"/>
      <c r="M647" s="184"/>
      <c r="N647" s="184"/>
      <c r="O647" s="184"/>
      <c r="P647" s="184"/>
      <c r="Q647" s="184"/>
      <c r="R647" s="184"/>
      <c r="S647" s="184"/>
      <c r="T647" s="184"/>
      <c r="U647" s="184"/>
      <c r="V647" s="184"/>
      <c r="W647" s="184"/>
      <c r="X647" s="184"/>
      <c r="Y647" s="184"/>
      <c r="Z647" s="184"/>
      <c r="AA647" s="184"/>
    </row>
    <row r="648">
      <c r="A648" s="184"/>
      <c r="B648" s="184"/>
      <c r="C648" s="194"/>
      <c r="D648" s="194"/>
      <c r="E648" s="194"/>
      <c r="F648" s="194"/>
      <c r="G648" s="194"/>
      <c r="H648" s="184"/>
      <c r="I648" s="194"/>
      <c r="J648" s="194"/>
      <c r="K648" s="194"/>
      <c r="L648" s="184"/>
      <c r="M648" s="184"/>
      <c r="N648" s="184"/>
      <c r="O648" s="184"/>
      <c r="P648" s="184"/>
      <c r="Q648" s="184"/>
      <c r="R648" s="184"/>
      <c r="S648" s="184"/>
      <c r="T648" s="184"/>
      <c r="U648" s="184"/>
      <c r="V648" s="184"/>
      <c r="W648" s="184"/>
      <c r="X648" s="184"/>
      <c r="Y648" s="184"/>
      <c r="Z648" s="184"/>
      <c r="AA648" s="184"/>
    </row>
    <row r="649">
      <c r="A649" s="184"/>
      <c r="B649" s="184"/>
      <c r="C649" s="194"/>
      <c r="D649" s="194"/>
      <c r="E649" s="194"/>
      <c r="F649" s="194"/>
      <c r="G649" s="194"/>
      <c r="H649" s="184"/>
      <c r="I649" s="194"/>
      <c r="J649" s="194"/>
      <c r="K649" s="194"/>
      <c r="L649" s="184"/>
      <c r="M649" s="184"/>
      <c r="N649" s="184"/>
      <c r="O649" s="184"/>
      <c r="P649" s="184"/>
      <c r="Q649" s="184"/>
      <c r="R649" s="184"/>
      <c r="S649" s="184"/>
      <c r="T649" s="184"/>
      <c r="U649" s="184"/>
      <c r="V649" s="184"/>
      <c r="W649" s="184"/>
      <c r="X649" s="184"/>
      <c r="Y649" s="184"/>
      <c r="Z649" s="184"/>
      <c r="AA649" s="184"/>
    </row>
    <row r="650">
      <c r="A650" s="184"/>
      <c r="B650" s="184"/>
      <c r="C650" s="194"/>
      <c r="D650" s="194"/>
      <c r="E650" s="194"/>
      <c r="F650" s="194"/>
      <c r="G650" s="194"/>
      <c r="H650" s="184"/>
      <c r="I650" s="194"/>
      <c r="J650" s="194"/>
      <c r="K650" s="194"/>
      <c r="L650" s="184"/>
      <c r="M650" s="184"/>
      <c r="N650" s="184"/>
      <c r="O650" s="184"/>
      <c r="P650" s="184"/>
      <c r="Q650" s="184"/>
      <c r="R650" s="184"/>
      <c r="S650" s="184"/>
      <c r="T650" s="184"/>
      <c r="U650" s="184"/>
      <c r="V650" s="184"/>
      <c r="W650" s="184"/>
      <c r="X650" s="184"/>
      <c r="Y650" s="184"/>
      <c r="Z650" s="184"/>
      <c r="AA650" s="184"/>
    </row>
    <row r="651">
      <c r="A651" s="184"/>
      <c r="B651" s="184"/>
      <c r="C651" s="194"/>
      <c r="D651" s="194"/>
      <c r="E651" s="194"/>
      <c r="F651" s="194"/>
      <c r="G651" s="194"/>
      <c r="H651" s="184"/>
      <c r="I651" s="194"/>
      <c r="J651" s="194"/>
      <c r="K651" s="194"/>
      <c r="L651" s="184"/>
      <c r="M651" s="184"/>
      <c r="N651" s="184"/>
      <c r="O651" s="184"/>
      <c r="P651" s="184"/>
      <c r="Q651" s="184"/>
      <c r="R651" s="184"/>
      <c r="S651" s="184"/>
      <c r="T651" s="184"/>
      <c r="U651" s="184"/>
      <c r="V651" s="184"/>
      <c r="W651" s="184"/>
      <c r="X651" s="184"/>
      <c r="Y651" s="184"/>
      <c r="Z651" s="184"/>
      <c r="AA651" s="184"/>
    </row>
    <row r="652">
      <c r="A652" s="184"/>
      <c r="B652" s="184"/>
      <c r="C652" s="194"/>
      <c r="D652" s="194"/>
      <c r="E652" s="194"/>
      <c r="F652" s="194"/>
      <c r="G652" s="194"/>
      <c r="H652" s="184"/>
      <c r="I652" s="194"/>
      <c r="J652" s="194"/>
      <c r="K652" s="194"/>
      <c r="L652" s="184"/>
      <c r="M652" s="184"/>
      <c r="N652" s="184"/>
      <c r="O652" s="184"/>
      <c r="P652" s="184"/>
      <c r="Q652" s="184"/>
      <c r="R652" s="184"/>
      <c r="S652" s="184"/>
      <c r="T652" s="184"/>
      <c r="U652" s="184"/>
      <c r="V652" s="184"/>
      <c r="W652" s="184"/>
      <c r="X652" s="184"/>
      <c r="Y652" s="184"/>
      <c r="Z652" s="184"/>
      <c r="AA652" s="184"/>
    </row>
    <row r="653">
      <c r="A653" s="184"/>
      <c r="B653" s="184"/>
      <c r="C653" s="194"/>
      <c r="D653" s="194"/>
      <c r="E653" s="194"/>
      <c r="F653" s="194"/>
      <c r="G653" s="194"/>
      <c r="H653" s="184"/>
      <c r="I653" s="194"/>
      <c r="J653" s="194"/>
      <c r="K653" s="194"/>
      <c r="L653" s="184"/>
      <c r="M653" s="184"/>
      <c r="N653" s="184"/>
      <c r="O653" s="184"/>
      <c r="P653" s="184"/>
      <c r="Q653" s="184"/>
      <c r="R653" s="184"/>
      <c r="S653" s="184"/>
      <c r="T653" s="184"/>
      <c r="U653" s="184"/>
      <c r="V653" s="184"/>
      <c r="W653" s="184"/>
      <c r="X653" s="184"/>
      <c r="Y653" s="184"/>
      <c r="Z653" s="184"/>
      <c r="AA653" s="184"/>
    </row>
    <row r="654">
      <c r="A654" s="184"/>
      <c r="B654" s="184"/>
      <c r="C654" s="194"/>
      <c r="D654" s="194"/>
      <c r="E654" s="194"/>
      <c r="F654" s="194"/>
      <c r="G654" s="194"/>
      <c r="H654" s="184"/>
      <c r="I654" s="194"/>
      <c r="J654" s="194"/>
      <c r="K654" s="194"/>
      <c r="L654" s="184"/>
      <c r="M654" s="184"/>
      <c r="N654" s="184"/>
      <c r="O654" s="184"/>
      <c r="P654" s="184"/>
      <c r="Q654" s="184"/>
      <c r="R654" s="184"/>
      <c r="S654" s="184"/>
      <c r="T654" s="184"/>
      <c r="U654" s="184"/>
      <c r="V654" s="184"/>
      <c r="W654" s="184"/>
      <c r="X654" s="184"/>
      <c r="Y654" s="184"/>
      <c r="Z654" s="184"/>
      <c r="AA654" s="184"/>
    </row>
    <row r="655">
      <c r="A655" s="184"/>
      <c r="B655" s="184"/>
      <c r="C655" s="194"/>
      <c r="D655" s="194"/>
      <c r="E655" s="194"/>
      <c r="F655" s="194"/>
      <c r="G655" s="194"/>
      <c r="H655" s="184"/>
      <c r="I655" s="194"/>
      <c r="J655" s="194"/>
      <c r="K655" s="194"/>
      <c r="L655" s="184"/>
      <c r="M655" s="184"/>
      <c r="N655" s="184"/>
      <c r="O655" s="184"/>
      <c r="P655" s="184"/>
      <c r="Q655" s="184"/>
      <c r="R655" s="184"/>
      <c r="S655" s="184"/>
      <c r="T655" s="184"/>
      <c r="U655" s="184"/>
      <c r="V655" s="184"/>
      <c r="W655" s="184"/>
      <c r="X655" s="184"/>
      <c r="Y655" s="184"/>
      <c r="Z655" s="184"/>
      <c r="AA655" s="184"/>
    </row>
    <row r="656">
      <c r="A656" s="184"/>
      <c r="B656" s="184"/>
      <c r="C656" s="194"/>
      <c r="D656" s="194"/>
      <c r="E656" s="194"/>
      <c r="F656" s="194"/>
      <c r="G656" s="194"/>
      <c r="H656" s="184"/>
      <c r="I656" s="194"/>
      <c r="J656" s="194"/>
      <c r="K656" s="194"/>
      <c r="L656" s="184"/>
      <c r="M656" s="184"/>
      <c r="N656" s="184"/>
      <c r="O656" s="184"/>
      <c r="P656" s="184"/>
      <c r="Q656" s="184"/>
      <c r="R656" s="184"/>
      <c r="S656" s="184"/>
      <c r="T656" s="184"/>
      <c r="U656" s="184"/>
      <c r="V656" s="184"/>
      <c r="W656" s="184"/>
      <c r="X656" s="184"/>
      <c r="Y656" s="184"/>
      <c r="Z656" s="184"/>
      <c r="AA656" s="184"/>
    </row>
    <row r="657">
      <c r="A657" s="184"/>
      <c r="B657" s="184"/>
      <c r="C657" s="194"/>
      <c r="D657" s="194"/>
      <c r="E657" s="194"/>
      <c r="F657" s="194"/>
      <c r="G657" s="194"/>
      <c r="H657" s="184"/>
      <c r="I657" s="194"/>
      <c r="J657" s="194"/>
      <c r="K657" s="194"/>
      <c r="L657" s="184"/>
      <c r="M657" s="184"/>
      <c r="N657" s="184"/>
      <c r="O657" s="184"/>
      <c r="P657" s="184"/>
      <c r="Q657" s="184"/>
      <c r="R657" s="184"/>
      <c r="S657" s="184"/>
      <c r="T657" s="184"/>
      <c r="U657" s="184"/>
      <c r="V657" s="184"/>
      <c r="W657" s="184"/>
      <c r="X657" s="184"/>
      <c r="Y657" s="184"/>
      <c r="Z657" s="184"/>
      <c r="AA657" s="184"/>
    </row>
    <row r="658">
      <c r="A658" s="184"/>
      <c r="B658" s="184"/>
      <c r="C658" s="194"/>
      <c r="D658" s="194"/>
      <c r="E658" s="194"/>
      <c r="F658" s="194"/>
      <c r="G658" s="194"/>
      <c r="H658" s="184"/>
      <c r="I658" s="194"/>
      <c r="J658" s="194"/>
      <c r="K658" s="194"/>
      <c r="L658" s="184"/>
      <c r="M658" s="184"/>
      <c r="N658" s="184"/>
      <c r="O658" s="184"/>
      <c r="P658" s="184"/>
      <c r="Q658" s="184"/>
      <c r="R658" s="184"/>
      <c r="S658" s="184"/>
      <c r="T658" s="184"/>
      <c r="U658" s="184"/>
      <c r="V658" s="184"/>
      <c r="W658" s="184"/>
      <c r="X658" s="184"/>
      <c r="Y658" s="184"/>
      <c r="Z658" s="184"/>
      <c r="AA658" s="184"/>
    </row>
    <row r="659">
      <c r="A659" s="184"/>
      <c r="B659" s="184"/>
      <c r="C659" s="194"/>
      <c r="D659" s="194"/>
      <c r="E659" s="194"/>
      <c r="F659" s="194"/>
      <c r="G659" s="194"/>
      <c r="H659" s="184"/>
      <c r="I659" s="194"/>
      <c r="J659" s="194"/>
      <c r="K659" s="194"/>
      <c r="L659" s="184"/>
      <c r="M659" s="184"/>
      <c r="N659" s="184"/>
      <c r="O659" s="184"/>
      <c r="P659" s="184"/>
      <c r="Q659" s="184"/>
      <c r="R659" s="184"/>
      <c r="S659" s="184"/>
      <c r="T659" s="184"/>
      <c r="U659" s="184"/>
      <c r="V659" s="184"/>
      <c r="W659" s="184"/>
      <c r="X659" s="184"/>
      <c r="Y659" s="184"/>
      <c r="Z659" s="184"/>
      <c r="AA659" s="184"/>
    </row>
    <row r="660">
      <c r="A660" s="184"/>
      <c r="B660" s="184"/>
      <c r="C660" s="194"/>
      <c r="D660" s="194"/>
      <c r="E660" s="194"/>
      <c r="F660" s="194"/>
      <c r="G660" s="194"/>
      <c r="H660" s="184"/>
      <c r="I660" s="194"/>
      <c r="J660" s="194"/>
      <c r="K660" s="194"/>
      <c r="L660" s="184"/>
      <c r="M660" s="184"/>
      <c r="N660" s="184"/>
      <c r="O660" s="184"/>
      <c r="P660" s="184"/>
      <c r="Q660" s="184"/>
      <c r="R660" s="184"/>
      <c r="S660" s="184"/>
      <c r="T660" s="184"/>
      <c r="U660" s="184"/>
      <c r="V660" s="184"/>
      <c r="W660" s="184"/>
      <c r="X660" s="184"/>
      <c r="Y660" s="184"/>
      <c r="Z660" s="184"/>
      <c r="AA660" s="184"/>
    </row>
    <row r="661">
      <c r="A661" s="184"/>
      <c r="B661" s="184"/>
      <c r="C661" s="194"/>
      <c r="D661" s="194"/>
      <c r="E661" s="194"/>
      <c r="F661" s="194"/>
      <c r="G661" s="194"/>
      <c r="H661" s="184"/>
      <c r="I661" s="194"/>
      <c r="J661" s="194"/>
      <c r="K661" s="194"/>
      <c r="L661" s="184"/>
      <c r="M661" s="184"/>
      <c r="N661" s="184"/>
      <c r="O661" s="184"/>
      <c r="P661" s="184"/>
      <c r="Q661" s="184"/>
      <c r="R661" s="184"/>
      <c r="S661" s="184"/>
      <c r="T661" s="184"/>
      <c r="U661" s="184"/>
      <c r="V661" s="184"/>
      <c r="W661" s="184"/>
      <c r="X661" s="184"/>
      <c r="Y661" s="184"/>
      <c r="Z661" s="184"/>
      <c r="AA661" s="184"/>
    </row>
    <row r="662">
      <c r="A662" s="184"/>
      <c r="B662" s="184"/>
      <c r="C662" s="194"/>
      <c r="D662" s="194"/>
      <c r="E662" s="194"/>
      <c r="F662" s="194"/>
      <c r="G662" s="194"/>
      <c r="H662" s="184"/>
      <c r="I662" s="194"/>
      <c r="J662" s="194"/>
      <c r="K662" s="194"/>
      <c r="L662" s="184"/>
      <c r="M662" s="184"/>
      <c r="N662" s="184"/>
      <c r="O662" s="184"/>
      <c r="P662" s="184"/>
      <c r="Q662" s="184"/>
      <c r="R662" s="184"/>
      <c r="S662" s="184"/>
      <c r="T662" s="184"/>
      <c r="U662" s="184"/>
      <c r="V662" s="184"/>
      <c r="W662" s="184"/>
      <c r="X662" s="184"/>
      <c r="Y662" s="184"/>
      <c r="Z662" s="184"/>
      <c r="AA662" s="184"/>
    </row>
    <row r="663">
      <c r="A663" s="184"/>
      <c r="B663" s="184"/>
      <c r="C663" s="194"/>
      <c r="D663" s="194"/>
      <c r="E663" s="194"/>
      <c r="F663" s="194"/>
      <c r="G663" s="194"/>
      <c r="H663" s="184"/>
      <c r="I663" s="194"/>
      <c r="J663" s="194"/>
      <c r="K663" s="194"/>
      <c r="L663" s="184"/>
      <c r="M663" s="184"/>
      <c r="N663" s="184"/>
      <c r="O663" s="184"/>
      <c r="P663" s="184"/>
      <c r="Q663" s="184"/>
      <c r="R663" s="184"/>
      <c r="S663" s="184"/>
      <c r="T663" s="184"/>
      <c r="U663" s="184"/>
      <c r="V663" s="184"/>
      <c r="W663" s="184"/>
      <c r="X663" s="184"/>
      <c r="Y663" s="184"/>
      <c r="Z663" s="184"/>
      <c r="AA663" s="184"/>
    </row>
    <row r="664">
      <c r="A664" s="184"/>
      <c r="B664" s="184"/>
      <c r="C664" s="194"/>
      <c r="D664" s="194"/>
      <c r="E664" s="194"/>
      <c r="F664" s="194"/>
      <c r="G664" s="194"/>
      <c r="H664" s="184"/>
      <c r="I664" s="194"/>
      <c r="J664" s="194"/>
      <c r="K664" s="194"/>
      <c r="L664" s="184"/>
      <c r="M664" s="184"/>
      <c r="N664" s="184"/>
      <c r="O664" s="184"/>
      <c r="P664" s="184"/>
      <c r="Q664" s="184"/>
      <c r="R664" s="184"/>
      <c r="S664" s="184"/>
      <c r="T664" s="184"/>
      <c r="U664" s="184"/>
      <c r="V664" s="184"/>
      <c r="W664" s="184"/>
      <c r="X664" s="184"/>
      <c r="Y664" s="184"/>
      <c r="Z664" s="184"/>
      <c r="AA664" s="184"/>
    </row>
    <row r="665">
      <c r="A665" s="184"/>
      <c r="B665" s="184"/>
      <c r="C665" s="194"/>
      <c r="D665" s="194"/>
      <c r="E665" s="194"/>
      <c r="F665" s="194"/>
      <c r="G665" s="194"/>
      <c r="H665" s="184"/>
      <c r="I665" s="194"/>
      <c r="J665" s="194"/>
      <c r="K665" s="194"/>
      <c r="L665" s="184"/>
      <c r="M665" s="184"/>
      <c r="N665" s="184"/>
      <c r="O665" s="184"/>
      <c r="P665" s="184"/>
      <c r="Q665" s="184"/>
      <c r="R665" s="184"/>
      <c r="S665" s="184"/>
      <c r="T665" s="184"/>
      <c r="U665" s="184"/>
      <c r="V665" s="184"/>
      <c r="W665" s="184"/>
      <c r="X665" s="184"/>
      <c r="Y665" s="184"/>
      <c r="Z665" s="184"/>
      <c r="AA665" s="184"/>
    </row>
    <row r="666">
      <c r="A666" s="184"/>
      <c r="B666" s="184"/>
      <c r="C666" s="194"/>
      <c r="D666" s="194"/>
      <c r="E666" s="194"/>
      <c r="F666" s="194"/>
      <c r="G666" s="194"/>
      <c r="H666" s="184"/>
      <c r="I666" s="194"/>
      <c r="J666" s="194"/>
      <c r="K666" s="194"/>
      <c r="L666" s="184"/>
      <c r="M666" s="184"/>
      <c r="N666" s="184"/>
      <c r="O666" s="184"/>
      <c r="P666" s="184"/>
      <c r="Q666" s="184"/>
      <c r="R666" s="184"/>
      <c r="S666" s="184"/>
      <c r="T666" s="184"/>
      <c r="U666" s="184"/>
      <c r="V666" s="184"/>
      <c r="W666" s="184"/>
      <c r="X666" s="184"/>
      <c r="Y666" s="184"/>
      <c r="Z666" s="184"/>
      <c r="AA666" s="184"/>
    </row>
    <row r="667">
      <c r="A667" s="184"/>
      <c r="B667" s="184"/>
      <c r="C667" s="194"/>
      <c r="D667" s="194"/>
      <c r="E667" s="194"/>
      <c r="F667" s="194"/>
      <c r="G667" s="194"/>
      <c r="H667" s="184"/>
      <c r="I667" s="194"/>
      <c r="J667" s="194"/>
      <c r="K667" s="194"/>
      <c r="L667" s="184"/>
      <c r="M667" s="184"/>
      <c r="N667" s="184"/>
      <c r="O667" s="184"/>
      <c r="P667" s="184"/>
      <c r="Q667" s="184"/>
      <c r="R667" s="184"/>
      <c r="S667" s="184"/>
      <c r="T667" s="184"/>
      <c r="U667" s="184"/>
      <c r="V667" s="184"/>
      <c r="W667" s="184"/>
      <c r="X667" s="184"/>
      <c r="Y667" s="184"/>
      <c r="Z667" s="184"/>
      <c r="AA667" s="184"/>
    </row>
    <row r="668">
      <c r="A668" s="184"/>
      <c r="B668" s="184"/>
      <c r="C668" s="194"/>
      <c r="D668" s="194"/>
      <c r="E668" s="194"/>
      <c r="F668" s="194"/>
      <c r="G668" s="194"/>
      <c r="H668" s="184"/>
      <c r="I668" s="194"/>
      <c r="J668" s="194"/>
      <c r="K668" s="194"/>
      <c r="L668" s="184"/>
      <c r="M668" s="184"/>
      <c r="N668" s="184"/>
      <c r="O668" s="184"/>
      <c r="P668" s="184"/>
      <c r="Q668" s="184"/>
      <c r="R668" s="184"/>
      <c r="S668" s="184"/>
      <c r="T668" s="184"/>
      <c r="U668" s="184"/>
      <c r="V668" s="184"/>
      <c r="W668" s="184"/>
      <c r="X668" s="184"/>
      <c r="Y668" s="184"/>
      <c r="Z668" s="184"/>
      <c r="AA668" s="184"/>
    </row>
    <row r="669">
      <c r="A669" s="184"/>
      <c r="B669" s="184"/>
      <c r="C669" s="194"/>
      <c r="D669" s="194"/>
      <c r="E669" s="194"/>
      <c r="F669" s="194"/>
      <c r="G669" s="194"/>
      <c r="H669" s="184"/>
      <c r="I669" s="194"/>
      <c r="J669" s="194"/>
      <c r="K669" s="194"/>
      <c r="L669" s="184"/>
      <c r="M669" s="184"/>
      <c r="N669" s="184"/>
      <c r="O669" s="184"/>
      <c r="P669" s="184"/>
      <c r="Q669" s="184"/>
      <c r="R669" s="184"/>
      <c r="S669" s="184"/>
      <c r="T669" s="184"/>
      <c r="U669" s="184"/>
      <c r="V669" s="184"/>
      <c r="W669" s="184"/>
      <c r="X669" s="184"/>
      <c r="Y669" s="184"/>
      <c r="Z669" s="184"/>
      <c r="AA669" s="184"/>
    </row>
    <row r="670">
      <c r="A670" s="184"/>
      <c r="B670" s="184"/>
      <c r="C670" s="194"/>
      <c r="D670" s="194"/>
      <c r="E670" s="194"/>
      <c r="F670" s="194"/>
      <c r="G670" s="194"/>
      <c r="H670" s="184"/>
      <c r="I670" s="194"/>
      <c r="J670" s="194"/>
      <c r="K670" s="194"/>
      <c r="L670" s="184"/>
      <c r="M670" s="184"/>
      <c r="N670" s="184"/>
      <c r="O670" s="184"/>
      <c r="P670" s="184"/>
      <c r="Q670" s="184"/>
      <c r="R670" s="184"/>
      <c r="S670" s="184"/>
      <c r="T670" s="184"/>
      <c r="U670" s="184"/>
      <c r="V670" s="184"/>
      <c r="W670" s="184"/>
      <c r="X670" s="184"/>
      <c r="Y670" s="184"/>
      <c r="Z670" s="184"/>
      <c r="AA670" s="184"/>
    </row>
    <row r="671">
      <c r="A671" s="184"/>
      <c r="B671" s="184"/>
      <c r="C671" s="194"/>
      <c r="D671" s="194"/>
      <c r="E671" s="194"/>
      <c r="F671" s="194"/>
      <c r="G671" s="194"/>
      <c r="H671" s="184"/>
      <c r="I671" s="194"/>
      <c r="J671" s="194"/>
      <c r="K671" s="194"/>
      <c r="L671" s="184"/>
      <c r="M671" s="184"/>
      <c r="N671" s="184"/>
      <c r="O671" s="184"/>
      <c r="P671" s="184"/>
      <c r="Q671" s="184"/>
      <c r="R671" s="184"/>
      <c r="S671" s="184"/>
      <c r="T671" s="184"/>
      <c r="U671" s="184"/>
      <c r="V671" s="184"/>
      <c r="W671" s="184"/>
      <c r="X671" s="184"/>
      <c r="Y671" s="184"/>
      <c r="Z671" s="184"/>
      <c r="AA671" s="184"/>
    </row>
    <row r="672">
      <c r="A672" s="184"/>
      <c r="B672" s="184"/>
      <c r="C672" s="194"/>
      <c r="D672" s="194"/>
      <c r="E672" s="194"/>
      <c r="F672" s="194"/>
      <c r="G672" s="194"/>
      <c r="H672" s="184"/>
      <c r="I672" s="194"/>
      <c r="J672" s="194"/>
      <c r="K672" s="194"/>
      <c r="L672" s="184"/>
      <c r="M672" s="184"/>
      <c r="N672" s="184"/>
      <c r="O672" s="184"/>
      <c r="P672" s="184"/>
      <c r="Q672" s="184"/>
      <c r="R672" s="184"/>
      <c r="S672" s="184"/>
      <c r="T672" s="184"/>
      <c r="U672" s="184"/>
      <c r="V672" s="184"/>
      <c r="W672" s="184"/>
      <c r="X672" s="184"/>
      <c r="Y672" s="184"/>
      <c r="Z672" s="184"/>
      <c r="AA672" s="184"/>
    </row>
    <row r="673">
      <c r="A673" s="184"/>
      <c r="B673" s="184"/>
      <c r="C673" s="194"/>
      <c r="D673" s="194"/>
      <c r="E673" s="194"/>
      <c r="F673" s="194"/>
      <c r="G673" s="194"/>
      <c r="H673" s="184"/>
      <c r="I673" s="194"/>
      <c r="J673" s="194"/>
      <c r="K673" s="194"/>
      <c r="L673" s="184"/>
      <c r="M673" s="184"/>
      <c r="N673" s="184"/>
      <c r="O673" s="184"/>
      <c r="P673" s="184"/>
      <c r="Q673" s="184"/>
      <c r="R673" s="184"/>
      <c r="S673" s="184"/>
      <c r="T673" s="184"/>
      <c r="U673" s="184"/>
      <c r="V673" s="184"/>
      <c r="W673" s="184"/>
      <c r="X673" s="184"/>
      <c r="Y673" s="184"/>
      <c r="Z673" s="184"/>
      <c r="AA673" s="184"/>
    </row>
    <row r="674">
      <c r="A674" s="184"/>
      <c r="B674" s="184"/>
      <c r="C674" s="194"/>
      <c r="D674" s="194"/>
      <c r="E674" s="194"/>
      <c r="F674" s="194"/>
      <c r="G674" s="194"/>
      <c r="H674" s="184"/>
      <c r="I674" s="194"/>
      <c r="J674" s="194"/>
      <c r="K674" s="194"/>
      <c r="L674" s="184"/>
      <c r="M674" s="184"/>
      <c r="N674" s="184"/>
      <c r="O674" s="184"/>
      <c r="P674" s="184"/>
      <c r="Q674" s="184"/>
      <c r="R674" s="184"/>
      <c r="S674" s="184"/>
      <c r="T674" s="184"/>
      <c r="U674" s="184"/>
      <c r="V674" s="184"/>
      <c r="W674" s="184"/>
      <c r="X674" s="184"/>
      <c r="Y674" s="184"/>
      <c r="Z674" s="184"/>
      <c r="AA674" s="184"/>
    </row>
    <row r="675">
      <c r="A675" s="184"/>
      <c r="B675" s="184"/>
      <c r="C675" s="194"/>
      <c r="D675" s="194"/>
      <c r="E675" s="194"/>
      <c r="F675" s="194"/>
      <c r="G675" s="194"/>
      <c r="H675" s="184"/>
      <c r="I675" s="194"/>
      <c r="J675" s="194"/>
      <c r="K675" s="194"/>
      <c r="L675" s="184"/>
      <c r="M675" s="184"/>
      <c r="N675" s="184"/>
      <c r="O675" s="184"/>
      <c r="P675" s="184"/>
      <c r="Q675" s="184"/>
      <c r="R675" s="184"/>
      <c r="S675" s="184"/>
      <c r="T675" s="184"/>
      <c r="U675" s="184"/>
      <c r="V675" s="184"/>
      <c r="W675" s="184"/>
      <c r="X675" s="184"/>
      <c r="Y675" s="184"/>
      <c r="Z675" s="184"/>
      <c r="AA675" s="184"/>
    </row>
    <row r="676">
      <c r="A676" s="184"/>
      <c r="B676" s="184"/>
      <c r="C676" s="194"/>
      <c r="D676" s="194"/>
      <c r="E676" s="194"/>
      <c r="F676" s="194"/>
      <c r="G676" s="194"/>
      <c r="H676" s="184"/>
      <c r="I676" s="194"/>
      <c r="J676" s="194"/>
      <c r="K676" s="194"/>
      <c r="L676" s="184"/>
      <c r="M676" s="184"/>
      <c r="N676" s="184"/>
      <c r="O676" s="184"/>
      <c r="P676" s="184"/>
      <c r="Q676" s="184"/>
      <c r="R676" s="184"/>
      <c r="S676" s="184"/>
      <c r="T676" s="184"/>
      <c r="U676" s="184"/>
      <c r="V676" s="184"/>
      <c r="W676" s="184"/>
      <c r="X676" s="184"/>
      <c r="Y676" s="184"/>
      <c r="Z676" s="184"/>
      <c r="AA676" s="184"/>
    </row>
    <row r="677">
      <c r="A677" s="184"/>
      <c r="B677" s="184"/>
      <c r="C677" s="194"/>
      <c r="D677" s="194"/>
      <c r="E677" s="194"/>
      <c r="F677" s="194"/>
      <c r="G677" s="194"/>
      <c r="H677" s="184"/>
      <c r="I677" s="194"/>
      <c r="J677" s="194"/>
      <c r="K677" s="194"/>
      <c r="L677" s="184"/>
      <c r="M677" s="184"/>
      <c r="N677" s="184"/>
      <c r="O677" s="184"/>
      <c r="P677" s="184"/>
      <c r="Q677" s="184"/>
      <c r="R677" s="184"/>
      <c r="S677" s="184"/>
      <c r="T677" s="184"/>
      <c r="U677" s="184"/>
      <c r="V677" s="184"/>
      <c r="W677" s="184"/>
      <c r="X677" s="184"/>
      <c r="Y677" s="184"/>
      <c r="Z677" s="184"/>
      <c r="AA677" s="184"/>
    </row>
    <row r="678">
      <c r="A678" s="184"/>
      <c r="B678" s="184"/>
      <c r="C678" s="194"/>
      <c r="D678" s="194"/>
      <c r="E678" s="194"/>
      <c r="F678" s="194"/>
      <c r="G678" s="194"/>
      <c r="H678" s="184"/>
      <c r="I678" s="194"/>
      <c r="J678" s="194"/>
      <c r="K678" s="194"/>
      <c r="L678" s="184"/>
      <c r="M678" s="184"/>
      <c r="N678" s="184"/>
      <c r="O678" s="184"/>
      <c r="P678" s="184"/>
      <c r="Q678" s="184"/>
      <c r="R678" s="184"/>
      <c r="S678" s="184"/>
      <c r="T678" s="184"/>
      <c r="U678" s="184"/>
      <c r="V678" s="184"/>
      <c r="W678" s="184"/>
      <c r="X678" s="184"/>
      <c r="Y678" s="184"/>
      <c r="Z678" s="184"/>
      <c r="AA678" s="184"/>
    </row>
    <row r="679">
      <c r="A679" s="184"/>
      <c r="B679" s="184"/>
      <c r="C679" s="194"/>
      <c r="D679" s="194"/>
      <c r="E679" s="194"/>
      <c r="F679" s="194"/>
      <c r="G679" s="194"/>
      <c r="H679" s="184"/>
      <c r="I679" s="194"/>
      <c r="J679" s="194"/>
      <c r="K679" s="194"/>
      <c r="L679" s="184"/>
      <c r="M679" s="184"/>
      <c r="N679" s="184"/>
      <c r="O679" s="184"/>
      <c r="P679" s="184"/>
      <c r="Q679" s="184"/>
      <c r="R679" s="184"/>
      <c r="S679" s="184"/>
      <c r="T679" s="184"/>
      <c r="U679" s="184"/>
      <c r="V679" s="184"/>
      <c r="W679" s="184"/>
      <c r="X679" s="184"/>
      <c r="Y679" s="184"/>
      <c r="Z679" s="184"/>
      <c r="AA679" s="184"/>
    </row>
    <row r="680">
      <c r="A680" s="184"/>
      <c r="B680" s="184"/>
      <c r="C680" s="194"/>
      <c r="D680" s="194"/>
      <c r="E680" s="194"/>
      <c r="F680" s="194"/>
      <c r="G680" s="194"/>
      <c r="H680" s="184"/>
      <c r="I680" s="194"/>
      <c r="J680" s="194"/>
      <c r="K680" s="194"/>
      <c r="L680" s="184"/>
      <c r="M680" s="184"/>
      <c r="N680" s="184"/>
      <c r="O680" s="184"/>
      <c r="P680" s="184"/>
      <c r="Q680" s="184"/>
      <c r="R680" s="184"/>
      <c r="S680" s="184"/>
      <c r="T680" s="184"/>
      <c r="U680" s="184"/>
      <c r="V680" s="184"/>
      <c r="W680" s="184"/>
      <c r="X680" s="184"/>
      <c r="Y680" s="184"/>
      <c r="Z680" s="184"/>
      <c r="AA680" s="184"/>
    </row>
    <row r="681">
      <c r="A681" s="184"/>
      <c r="B681" s="184"/>
      <c r="C681" s="194"/>
      <c r="D681" s="194"/>
      <c r="E681" s="194"/>
      <c r="F681" s="194"/>
      <c r="G681" s="194"/>
      <c r="H681" s="184"/>
      <c r="I681" s="194"/>
      <c r="J681" s="194"/>
      <c r="K681" s="194"/>
      <c r="L681" s="184"/>
      <c r="M681" s="184"/>
      <c r="N681" s="184"/>
      <c r="O681" s="184"/>
      <c r="P681" s="184"/>
      <c r="Q681" s="184"/>
      <c r="R681" s="184"/>
      <c r="S681" s="184"/>
      <c r="T681" s="184"/>
      <c r="U681" s="184"/>
      <c r="V681" s="184"/>
      <c r="W681" s="184"/>
      <c r="X681" s="184"/>
      <c r="Y681" s="184"/>
      <c r="Z681" s="184"/>
      <c r="AA681" s="184"/>
    </row>
    <row r="682">
      <c r="A682" s="184"/>
      <c r="B682" s="184"/>
      <c r="C682" s="194"/>
      <c r="D682" s="194"/>
      <c r="E682" s="194"/>
      <c r="F682" s="194"/>
      <c r="G682" s="194"/>
      <c r="H682" s="184"/>
      <c r="I682" s="194"/>
      <c r="J682" s="194"/>
      <c r="K682" s="194"/>
      <c r="L682" s="184"/>
      <c r="M682" s="184"/>
      <c r="N682" s="184"/>
      <c r="O682" s="184"/>
      <c r="P682" s="184"/>
      <c r="Q682" s="184"/>
      <c r="R682" s="184"/>
      <c r="S682" s="184"/>
      <c r="T682" s="184"/>
      <c r="U682" s="184"/>
      <c r="V682" s="184"/>
      <c r="W682" s="184"/>
      <c r="X682" s="184"/>
      <c r="Y682" s="184"/>
      <c r="Z682" s="184"/>
      <c r="AA682" s="184"/>
    </row>
    <row r="683">
      <c r="A683" s="184"/>
      <c r="B683" s="184"/>
      <c r="C683" s="194"/>
      <c r="D683" s="194"/>
      <c r="E683" s="194"/>
      <c r="F683" s="194"/>
      <c r="G683" s="194"/>
      <c r="H683" s="184"/>
      <c r="I683" s="194"/>
      <c r="J683" s="194"/>
      <c r="K683" s="194"/>
      <c r="L683" s="184"/>
      <c r="M683" s="184"/>
      <c r="N683" s="184"/>
      <c r="O683" s="184"/>
      <c r="P683" s="184"/>
      <c r="Q683" s="184"/>
      <c r="R683" s="184"/>
      <c r="S683" s="184"/>
      <c r="T683" s="184"/>
      <c r="U683" s="184"/>
      <c r="V683" s="184"/>
      <c r="W683" s="184"/>
      <c r="X683" s="184"/>
      <c r="Y683" s="184"/>
      <c r="Z683" s="184"/>
      <c r="AA683" s="184"/>
    </row>
    <row r="684">
      <c r="A684" s="184"/>
      <c r="B684" s="184"/>
      <c r="C684" s="194"/>
      <c r="D684" s="194"/>
      <c r="E684" s="194"/>
      <c r="F684" s="194"/>
      <c r="G684" s="194"/>
      <c r="H684" s="184"/>
      <c r="I684" s="194"/>
      <c r="J684" s="194"/>
      <c r="K684" s="194"/>
      <c r="L684" s="184"/>
      <c r="M684" s="184"/>
      <c r="N684" s="184"/>
      <c r="O684" s="184"/>
      <c r="P684" s="184"/>
      <c r="Q684" s="184"/>
      <c r="R684" s="184"/>
      <c r="S684" s="184"/>
      <c r="T684" s="184"/>
      <c r="U684" s="184"/>
      <c r="V684" s="184"/>
      <c r="W684" s="184"/>
      <c r="X684" s="184"/>
      <c r="Y684" s="184"/>
      <c r="Z684" s="184"/>
      <c r="AA684" s="184"/>
    </row>
    <row r="685">
      <c r="A685" s="184"/>
      <c r="B685" s="184"/>
      <c r="C685" s="194"/>
      <c r="D685" s="194"/>
      <c r="E685" s="194"/>
      <c r="F685" s="194"/>
      <c r="G685" s="194"/>
      <c r="H685" s="184"/>
      <c r="I685" s="194"/>
      <c r="J685" s="194"/>
      <c r="K685" s="194"/>
      <c r="L685" s="184"/>
      <c r="M685" s="184"/>
      <c r="N685" s="184"/>
      <c r="O685" s="184"/>
      <c r="P685" s="184"/>
      <c r="Q685" s="184"/>
      <c r="R685" s="184"/>
      <c r="S685" s="184"/>
      <c r="T685" s="184"/>
      <c r="U685" s="184"/>
      <c r="V685" s="184"/>
      <c r="W685" s="184"/>
      <c r="X685" s="184"/>
      <c r="Y685" s="184"/>
      <c r="Z685" s="184"/>
      <c r="AA685" s="184"/>
    </row>
    <row r="686">
      <c r="A686" s="184"/>
      <c r="B686" s="184"/>
      <c r="C686" s="194"/>
      <c r="D686" s="194"/>
      <c r="E686" s="194"/>
      <c r="F686" s="194"/>
      <c r="G686" s="194"/>
      <c r="H686" s="184"/>
      <c r="I686" s="194"/>
      <c r="J686" s="194"/>
      <c r="K686" s="194"/>
      <c r="L686" s="184"/>
      <c r="M686" s="184"/>
      <c r="N686" s="184"/>
      <c r="O686" s="184"/>
      <c r="P686" s="184"/>
      <c r="Q686" s="184"/>
      <c r="R686" s="184"/>
      <c r="S686" s="184"/>
      <c r="T686" s="184"/>
      <c r="U686" s="184"/>
      <c r="V686" s="184"/>
      <c r="W686" s="184"/>
      <c r="X686" s="184"/>
      <c r="Y686" s="184"/>
      <c r="Z686" s="184"/>
      <c r="AA686" s="184"/>
    </row>
    <row r="687">
      <c r="A687" s="184"/>
      <c r="B687" s="184"/>
      <c r="C687" s="194"/>
      <c r="D687" s="194"/>
      <c r="E687" s="194"/>
      <c r="F687" s="194"/>
      <c r="G687" s="194"/>
      <c r="H687" s="184"/>
      <c r="I687" s="194"/>
      <c r="J687" s="194"/>
      <c r="K687" s="194"/>
      <c r="L687" s="184"/>
      <c r="M687" s="184"/>
      <c r="N687" s="184"/>
      <c r="O687" s="184"/>
      <c r="P687" s="184"/>
      <c r="Q687" s="184"/>
      <c r="R687" s="184"/>
      <c r="S687" s="184"/>
      <c r="T687" s="184"/>
      <c r="U687" s="184"/>
      <c r="V687" s="184"/>
      <c r="W687" s="184"/>
      <c r="X687" s="184"/>
      <c r="Y687" s="184"/>
      <c r="Z687" s="184"/>
      <c r="AA687" s="184"/>
    </row>
    <row r="688">
      <c r="A688" s="184"/>
      <c r="B688" s="184"/>
      <c r="C688" s="194"/>
      <c r="D688" s="194"/>
      <c r="E688" s="194"/>
      <c r="F688" s="194"/>
      <c r="G688" s="194"/>
      <c r="H688" s="184"/>
      <c r="I688" s="194"/>
      <c r="J688" s="194"/>
      <c r="K688" s="194"/>
      <c r="L688" s="184"/>
      <c r="M688" s="184"/>
      <c r="N688" s="184"/>
      <c r="O688" s="184"/>
      <c r="P688" s="184"/>
      <c r="Q688" s="184"/>
      <c r="R688" s="184"/>
      <c r="S688" s="184"/>
      <c r="T688" s="184"/>
      <c r="U688" s="184"/>
      <c r="V688" s="184"/>
      <c r="W688" s="184"/>
      <c r="X688" s="184"/>
      <c r="Y688" s="184"/>
      <c r="Z688" s="184"/>
      <c r="AA688" s="184"/>
    </row>
    <row r="689">
      <c r="A689" s="184"/>
      <c r="B689" s="184"/>
      <c r="C689" s="194"/>
      <c r="D689" s="194"/>
      <c r="E689" s="194"/>
      <c r="F689" s="194"/>
      <c r="G689" s="194"/>
      <c r="H689" s="184"/>
      <c r="I689" s="194"/>
      <c r="J689" s="194"/>
      <c r="K689" s="194"/>
      <c r="L689" s="184"/>
      <c r="M689" s="184"/>
      <c r="N689" s="184"/>
      <c r="O689" s="184"/>
      <c r="P689" s="184"/>
      <c r="Q689" s="184"/>
      <c r="R689" s="184"/>
      <c r="S689" s="184"/>
      <c r="T689" s="184"/>
      <c r="U689" s="184"/>
      <c r="V689" s="184"/>
      <c r="W689" s="184"/>
      <c r="X689" s="184"/>
      <c r="Y689" s="184"/>
      <c r="Z689" s="184"/>
      <c r="AA689" s="184"/>
    </row>
    <row r="690">
      <c r="A690" s="184"/>
      <c r="B690" s="184"/>
      <c r="C690" s="194"/>
      <c r="D690" s="194"/>
      <c r="E690" s="194"/>
      <c r="F690" s="194"/>
      <c r="G690" s="194"/>
      <c r="H690" s="184"/>
      <c r="I690" s="194"/>
      <c r="J690" s="194"/>
      <c r="K690" s="194"/>
      <c r="L690" s="184"/>
      <c r="M690" s="184"/>
      <c r="N690" s="184"/>
      <c r="O690" s="184"/>
      <c r="P690" s="184"/>
      <c r="Q690" s="184"/>
      <c r="R690" s="184"/>
      <c r="S690" s="184"/>
      <c r="T690" s="184"/>
      <c r="U690" s="184"/>
      <c r="V690" s="184"/>
      <c r="W690" s="184"/>
      <c r="X690" s="184"/>
      <c r="Y690" s="184"/>
      <c r="Z690" s="184"/>
      <c r="AA690" s="184"/>
    </row>
    <row r="691">
      <c r="A691" s="184"/>
      <c r="B691" s="184"/>
      <c r="C691" s="194"/>
      <c r="D691" s="194"/>
      <c r="E691" s="194"/>
      <c r="F691" s="194"/>
      <c r="G691" s="194"/>
      <c r="H691" s="184"/>
      <c r="I691" s="194"/>
      <c r="J691" s="194"/>
      <c r="K691" s="194"/>
      <c r="L691" s="184"/>
      <c r="M691" s="184"/>
      <c r="N691" s="184"/>
      <c r="O691" s="184"/>
      <c r="P691" s="184"/>
      <c r="Q691" s="184"/>
      <c r="R691" s="184"/>
      <c r="S691" s="184"/>
      <c r="T691" s="184"/>
      <c r="U691" s="184"/>
      <c r="V691" s="184"/>
      <c r="W691" s="184"/>
      <c r="X691" s="184"/>
      <c r="Y691" s="184"/>
      <c r="Z691" s="184"/>
      <c r="AA691" s="184"/>
    </row>
    <row r="692">
      <c r="A692" s="184"/>
      <c r="B692" s="184"/>
      <c r="C692" s="194"/>
      <c r="D692" s="194"/>
      <c r="E692" s="194"/>
      <c r="F692" s="194"/>
      <c r="G692" s="194"/>
      <c r="H692" s="184"/>
      <c r="I692" s="194"/>
      <c r="J692" s="194"/>
      <c r="K692" s="194"/>
      <c r="L692" s="184"/>
      <c r="M692" s="184"/>
      <c r="N692" s="184"/>
      <c r="O692" s="184"/>
      <c r="P692" s="184"/>
      <c r="Q692" s="184"/>
      <c r="R692" s="184"/>
      <c r="S692" s="184"/>
      <c r="T692" s="184"/>
      <c r="U692" s="184"/>
      <c r="V692" s="184"/>
      <c r="W692" s="184"/>
      <c r="X692" s="184"/>
      <c r="Y692" s="184"/>
      <c r="Z692" s="184"/>
      <c r="AA692" s="184"/>
    </row>
    <row r="693">
      <c r="A693" s="184"/>
      <c r="B693" s="184"/>
      <c r="C693" s="194"/>
      <c r="D693" s="194"/>
      <c r="E693" s="194"/>
      <c r="F693" s="194"/>
      <c r="G693" s="194"/>
      <c r="H693" s="184"/>
      <c r="I693" s="194"/>
      <c r="J693" s="194"/>
      <c r="K693" s="194"/>
      <c r="L693" s="184"/>
      <c r="M693" s="184"/>
      <c r="N693" s="184"/>
      <c r="O693" s="184"/>
      <c r="P693" s="184"/>
      <c r="Q693" s="184"/>
      <c r="R693" s="184"/>
      <c r="S693" s="184"/>
      <c r="T693" s="184"/>
      <c r="U693" s="184"/>
      <c r="V693" s="184"/>
      <c r="W693" s="184"/>
      <c r="X693" s="184"/>
      <c r="Y693" s="184"/>
      <c r="Z693" s="184"/>
      <c r="AA693" s="184"/>
    </row>
    <row r="694">
      <c r="A694" s="184"/>
      <c r="B694" s="184"/>
      <c r="C694" s="194"/>
      <c r="D694" s="194"/>
      <c r="E694" s="194"/>
      <c r="F694" s="194"/>
      <c r="G694" s="194"/>
      <c r="H694" s="184"/>
      <c r="I694" s="194"/>
      <c r="J694" s="194"/>
      <c r="K694" s="194"/>
      <c r="L694" s="184"/>
      <c r="M694" s="184"/>
      <c r="N694" s="184"/>
      <c r="O694" s="184"/>
      <c r="P694" s="184"/>
      <c r="Q694" s="184"/>
      <c r="R694" s="184"/>
      <c r="S694" s="184"/>
      <c r="T694" s="184"/>
      <c r="U694" s="184"/>
      <c r="V694" s="184"/>
      <c r="W694" s="184"/>
      <c r="X694" s="184"/>
      <c r="Y694" s="184"/>
      <c r="Z694" s="184"/>
      <c r="AA694" s="184"/>
    </row>
    <row r="695">
      <c r="A695" s="184"/>
      <c r="B695" s="184"/>
      <c r="C695" s="194"/>
      <c r="D695" s="194"/>
      <c r="E695" s="194"/>
      <c r="F695" s="194"/>
      <c r="G695" s="194"/>
      <c r="H695" s="184"/>
      <c r="I695" s="194"/>
      <c r="J695" s="194"/>
      <c r="K695" s="194"/>
      <c r="L695" s="184"/>
      <c r="M695" s="184"/>
      <c r="N695" s="184"/>
      <c r="O695" s="184"/>
      <c r="P695" s="184"/>
      <c r="Q695" s="184"/>
      <c r="R695" s="184"/>
      <c r="S695" s="184"/>
      <c r="T695" s="184"/>
      <c r="U695" s="184"/>
      <c r="V695" s="184"/>
      <c r="W695" s="184"/>
      <c r="X695" s="184"/>
      <c r="Y695" s="184"/>
      <c r="Z695" s="184"/>
      <c r="AA695" s="184"/>
    </row>
    <row r="696">
      <c r="A696" s="184"/>
      <c r="B696" s="184"/>
      <c r="C696" s="194"/>
      <c r="D696" s="194"/>
      <c r="E696" s="194"/>
      <c r="F696" s="194"/>
      <c r="G696" s="194"/>
      <c r="H696" s="184"/>
      <c r="I696" s="194"/>
      <c r="J696" s="194"/>
      <c r="K696" s="194"/>
      <c r="L696" s="184"/>
      <c r="M696" s="184"/>
      <c r="N696" s="184"/>
      <c r="O696" s="184"/>
      <c r="P696" s="184"/>
      <c r="Q696" s="184"/>
      <c r="R696" s="184"/>
      <c r="S696" s="184"/>
      <c r="T696" s="184"/>
      <c r="U696" s="184"/>
      <c r="V696" s="184"/>
      <c r="W696" s="184"/>
      <c r="X696" s="184"/>
      <c r="Y696" s="184"/>
      <c r="Z696" s="184"/>
      <c r="AA696" s="184"/>
    </row>
    <row r="697">
      <c r="A697" s="184"/>
      <c r="B697" s="184"/>
      <c r="C697" s="194"/>
      <c r="D697" s="194"/>
      <c r="E697" s="194"/>
      <c r="F697" s="194"/>
      <c r="G697" s="194"/>
      <c r="H697" s="184"/>
      <c r="I697" s="194"/>
      <c r="J697" s="194"/>
      <c r="K697" s="194"/>
      <c r="L697" s="184"/>
      <c r="M697" s="184"/>
      <c r="N697" s="184"/>
      <c r="O697" s="184"/>
      <c r="P697" s="184"/>
      <c r="Q697" s="184"/>
      <c r="R697" s="184"/>
      <c r="S697" s="184"/>
      <c r="T697" s="184"/>
      <c r="U697" s="184"/>
      <c r="V697" s="184"/>
      <c r="W697" s="184"/>
      <c r="X697" s="184"/>
      <c r="Y697" s="184"/>
      <c r="Z697" s="184"/>
      <c r="AA697" s="184"/>
    </row>
    <row r="698">
      <c r="A698" s="184"/>
      <c r="B698" s="184"/>
      <c r="C698" s="194"/>
      <c r="D698" s="194"/>
      <c r="E698" s="194"/>
      <c r="F698" s="194"/>
      <c r="G698" s="194"/>
      <c r="H698" s="184"/>
      <c r="I698" s="194"/>
      <c r="J698" s="194"/>
      <c r="K698" s="194"/>
      <c r="L698" s="184"/>
      <c r="M698" s="184"/>
      <c r="N698" s="184"/>
      <c r="O698" s="184"/>
      <c r="P698" s="184"/>
      <c r="Q698" s="184"/>
      <c r="R698" s="184"/>
      <c r="S698" s="184"/>
      <c r="T698" s="184"/>
      <c r="U698" s="184"/>
      <c r="V698" s="184"/>
      <c r="W698" s="184"/>
      <c r="X698" s="184"/>
      <c r="Y698" s="184"/>
      <c r="Z698" s="184"/>
      <c r="AA698" s="184"/>
    </row>
    <row r="699">
      <c r="A699" s="184"/>
      <c r="B699" s="184"/>
      <c r="C699" s="194"/>
      <c r="D699" s="194"/>
      <c r="E699" s="194"/>
      <c r="F699" s="194"/>
      <c r="G699" s="194"/>
      <c r="H699" s="184"/>
      <c r="I699" s="194"/>
      <c r="J699" s="194"/>
      <c r="K699" s="194"/>
      <c r="L699" s="184"/>
      <c r="M699" s="184"/>
      <c r="N699" s="184"/>
      <c r="O699" s="184"/>
      <c r="P699" s="184"/>
      <c r="Q699" s="184"/>
      <c r="R699" s="184"/>
      <c r="S699" s="184"/>
      <c r="T699" s="184"/>
      <c r="U699" s="184"/>
      <c r="V699" s="184"/>
      <c r="W699" s="184"/>
      <c r="X699" s="184"/>
      <c r="Y699" s="184"/>
      <c r="Z699" s="184"/>
      <c r="AA699" s="184"/>
    </row>
    <row r="700">
      <c r="A700" s="184"/>
      <c r="B700" s="184"/>
      <c r="C700" s="194"/>
      <c r="D700" s="194"/>
      <c r="E700" s="194"/>
      <c r="F700" s="194"/>
      <c r="G700" s="194"/>
      <c r="H700" s="184"/>
      <c r="I700" s="194"/>
      <c r="J700" s="194"/>
      <c r="K700" s="194"/>
      <c r="L700" s="184"/>
      <c r="M700" s="184"/>
      <c r="N700" s="184"/>
      <c r="O700" s="184"/>
      <c r="P700" s="184"/>
      <c r="Q700" s="184"/>
      <c r="R700" s="184"/>
      <c r="S700" s="184"/>
      <c r="T700" s="184"/>
      <c r="U700" s="184"/>
      <c r="V700" s="184"/>
      <c r="W700" s="184"/>
      <c r="X700" s="184"/>
      <c r="Y700" s="184"/>
      <c r="Z700" s="184"/>
      <c r="AA700" s="184"/>
    </row>
    <row r="701">
      <c r="A701" s="184"/>
      <c r="B701" s="184"/>
      <c r="C701" s="194"/>
      <c r="D701" s="194"/>
      <c r="E701" s="194"/>
      <c r="F701" s="194"/>
      <c r="G701" s="194"/>
      <c r="H701" s="184"/>
      <c r="I701" s="194"/>
      <c r="J701" s="194"/>
      <c r="K701" s="194"/>
      <c r="L701" s="184"/>
      <c r="M701" s="184"/>
      <c r="N701" s="184"/>
      <c r="O701" s="184"/>
      <c r="P701" s="184"/>
      <c r="Q701" s="184"/>
      <c r="R701" s="184"/>
      <c r="S701" s="184"/>
      <c r="T701" s="184"/>
      <c r="U701" s="184"/>
      <c r="V701" s="184"/>
      <c r="W701" s="184"/>
      <c r="X701" s="184"/>
      <c r="Y701" s="184"/>
      <c r="Z701" s="184"/>
      <c r="AA701" s="184"/>
    </row>
    <row r="702">
      <c r="A702" s="184"/>
      <c r="B702" s="184"/>
      <c r="C702" s="194"/>
      <c r="D702" s="194"/>
      <c r="E702" s="194"/>
      <c r="F702" s="194"/>
      <c r="G702" s="194"/>
      <c r="H702" s="184"/>
      <c r="I702" s="194"/>
      <c r="J702" s="194"/>
      <c r="K702" s="194"/>
      <c r="L702" s="184"/>
      <c r="M702" s="184"/>
      <c r="N702" s="184"/>
      <c r="O702" s="184"/>
      <c r="P702" s="184"/>
      <c r="Q702" s="184"/>
      <c r="R702" s="184"/>
      <c r="S702" s="184"/>
      <c r="T702" s="184"/>
      <c r="U702" s="184"/>
      <c r="V702" s="184"/>
      <c r="W702" s="184"/>
      <c r="X702" s="184"/>
      <c r="Y702" s="184"/>
      <c r="Z702" s="184"/>
      <c r="AA702" s="184"/>
    </row>
    <row r="703">
      <c r="A703" s="184"/>
      <c r="B703" s="184"/>
      <c r="C703" s="194"/>
      <c r="D703" s="194"/>
      <c r="E703" s="194"/>
      <c r="F703" s="194"/>
      <c r="G703" s="194"/>
      <c r="H703" s="184"/>
      <c r="I703" s="194"/>
      <c r="J703" s="194"/>
      <c r="K703" s="194"/>
      <c r="L703" s="184"/>
      <c r="M703" s="184"/>
      <c r="N703" s="184"/>
      <c r="O703" s="184"/>
      <c r="P703" s="184"/>
      <c r="Q703" s="184"/>
      <c r="R703" s="184"/>
      <c r="S703" s="184"/>
      <c r="T703" s="184"/>
      <c r="U703" s="184"/>
      <c r="V703" s="184"/>
      <c r="W703" s="184"/>
      <c r="X703" s="184"/>
      <c r="Y703" s="184"/>
      <c r="Z703" s="184"/>
      <c r="AA703" s="184"/>
    </row>
    <row r="704">
      <c r="A704" s="184"/>
      <c r="B704" s="184"/>
      <c r="C704" s="194"/>
      <c r="D704" s="194"/>
      <c r="E704" s="194"/>
      <c r="F704" s="194"/>
      <c r="G704" s="194"/>
      <c r="H704" s="184"/>
      <c r="I704" s="194"/>
      <c r="J704" s="194"/>
      <c r="K704" s="194"/>
      <c r="L704" s="184"/>
      <c r="M704" s="184"/>
      <c r="N704" s="184"/>
      <c r="O704" s="184"/>
      <c r="P704" s="184"/>
      <c r="Q704" s="184"/>
      <c r="R704" s="184"/>
      <c r="S704" s="184"/>
      <c r="T704" s="184"/>
      <c r="U704" s="184"/>
      <c r="V704" s="184"/>
      <c r="W704" s="184"/>
      <c r="X704" s="184"/>
      <c r="Y704" s="184"/>
      <c r="Z704" s="184"/>
      <c r="AA704" s="184"/>
    </row>
    <row r="705">
      <c r="A705" s="184"/>
      <c r="B705" s="184"/>
      <c r="C705" s="194"/>
      <c r="D705" s="194"/>
      <c r="E705" s="194"/>
      <c r="F705" s="194"/>
      <c r="G705" s="194"/>
      <c r="H705" s="184"/>
      <c r="I705" s="194"/>
      <c r="J705" s="194"/>
      <c r="K705" s="194"/>
      <c r="L705" s="184"/>
      <c r="M705" s="184"/>
      <c r="N705" s="184"/>
      <c r="O705" s="184"/>
      <c r="P705" s="184"/>
      <c r="Q705" s="184"/>
      <c r="R705" s="184"/>
      <c r="S705" s="184"/>
      <c r="T705" s="184"/>
      <c r="U705" s="184"/>
      <c r="V705" s="184"/>
      <c r="W705" s="184"/>
      <c r="X705" s="184"/>
      <c r="Y705" s="184"/>
      <c r="Z705" s="184"/>
      <c r="AA705" s="184"/>
    </row>
    <row r="706">
      <c r="A706" s="184"/>
      <c r="B706" s="184"/>
      <c r="C706" s="194"/>
      <c r="D706" s="194"/>
      <c r="E706" s="194"/>
      <c r="F706" s="194"/>
      <c r="G706" s="194"/>
      <c r="H706" s="184"/>
      <c r="I706" s="194"/>
      <c r="J706" s="194"/>
      <c r="K706" s="194"/>
      <c r="L706" s="184"/>
      <c r="M706" s="184"/>
      <c r="N706" s="184"/>
      <c r="O706" s="184"/>
      <c r="P706" s="184"/>
      <c r="Q706" s="184"/>
      <c r="R706" s="184"/>
      <c r="S706" s="184"/>
      <c r="T706" s="184"/>
      <c r="U706" s="184"/>
      <c r="V706" s="184"/>
      <c r="W706" s="184"/>
      <c r="X706" s="184"/>
      <c r="Y706" s="184"/>
      <c r="Z706" s="184"/>
      <c r="AA706" s="184"/>
    </row>
    <row r="707">
      <c r="A707" s="184"/>
      <c r="B707" s="184"/>
      <c r="C707" s="194"/>
      <c r="D707" s="194"/>
      <c r="E707" s="194"/>
      <c r="F707" s="194"/>
      <c r="G707" s="194"/>
      <c r="H707" s="184"/>
      <c r="I707" s="194"/>
      <c r="J707" s="194"/>
      <c r="K707" s="194"/>
      <c r="L707" s="184"/>
      <c r="M707" s="184"/>
      <c r="N707" s="184"/>
      <c r="O707" s="184"/>
      <c r="P707" s="184"/>
      <c r="Q707" s="184"/>
      <c r="R707" s="184"/>
      <c r="S707" s="184"/>
      <c r="T707" s="184"/>
      <c r="U707" s="184"/>
      <c r="V707" s="184"/>
      <c r="W707" s="184"/>
      <c r="X707" s="184"/>
      <c r="Y707" s="184"/>
      <c r="Z707" s="184"/>
      <c r="AA707" s="184"/>
    </row>
    <row r="708">
      <c r="A708" s="184"/>
      <c r="B708" s="184"/>
      <c r="C708" s="194"/>
      <c r="D708" s="194"/>
      <c r="E708" s="194"/>
      <c r="F708" s="194"/>
      <c r="G708" s="194"/>
      <c r="H708" s="184"/>
      <c r="I708" s="194"/>
      <c r="J708" s="194"/>
      <c r="K708" s="194"/>
      <c r="L708" s="184"/>
      <c r="M708" s="184"/>
      <c r="N708" s="184"/>
      <c r="O708" s="184"/>
      <c r="P708" s="184"/>
      <c r="Q708" s="184"/>
      <c r="R708" s="184"/>
      <c r="S708" s="184"/>
      <c r="T708" s="184"/>
      <c r="U708" s="184"/>
      <c r="V708" s="184"/>
      <c r="W708" s="184"/>
      <c r="X708" s="184"/>
      <c r="Y708" s="184"/>
      <c r="Z708" s="184"/>
      <c r="AA708" s="184"/>
    </row>
    <row r="709">
      <c r="A709" s="184"/>
      <c r="B709" s="184"/>
      <c r="C709" s="194"/>
      <c r="D709" s="194"/>
      <c r="E709" s="194"/>
      <c r="F709" s="194"/>
      <c r="G709" s="194"/>
      <c r="H709" s="184"/>
      <c r="I709" s="194"/>
      <c r="J709" s="194"/>
      <c r="K709" s="194"/>
      <c r="L709" s="184"/>
      <c r="M709" s="184"/>
      <c r="N709" s="184"/>
      <c r="O709" s="184"/>
      <c r="P709" s="184"/>
      <c r="Q709" s="184"/>
      <c r="R709" s="184"/>
      <c r="S709" s="184"/>
      <c r="T709" s="184"/>
      <c r="U709" s="184"/>
      <c r="V709" s="184"/>
      <c r="W709" s="184"/>
      <c r="X709" s="184"/>
      <c r="Y709" s="184"/>
      <c r="Z709" s="184"/>
      <c r="AA709" s="184"/>
    </row>
    <row r="710">
      <c r="A710" s="184"/>
      <c r="B710" s="184"/>
      <c r="C710" s="194"/>
      <c r="D710" s="194"/>
      <c r="E710" s="194"/>
      <c r="F710" s="194"/>
      <c r="G710" s="194"/>
      <c r="H710" s="184"/>
      <c r="I710" s="194"/>
      <c r="J710" s="194"/>
      <c r="K710" s="194"/>
      <c r="L710" s="184"/>
      <c r="M710" s="184"/>
      <c r="N710" s="184"/>
      <c r="O710" s="184"/>
      <c r="P710" s="184"/>
      <c r="Q710" s="184"/>
      <c r="R710" s="184"/>
      <c r="S710" s="184"/>
      <c r="T710" s="184"/>
      <c r="U710" s="184"/>
      <c r="V710" s="184"/>
      <c r="W710" s="184"/>
      <c r="X710" s="184"/>
      <c r="Y710" s="184"/>
      <c r="Z710" s="184"/>
      <c r="AA710" s="184"/>
    </row>
    <row r="711">
      <c r="A711" s="184"/>
      <c r="B711" s="184"/>
      <c r="C711" s="194"/>
      <c r="D711" s="194"/>
      <c r="E711" s="194"/>
      <c r="F711" s="194"/>
      <c r="G711" s="194"/>
      <c r="H711" s="184"/>
      <c r="I711" s="194"/>
      <c r="J711" s="194"/>
      <c r="K711" s="194"/>
      <c r="L711" s="184"/>
      <c r="M711" s="184"/>
      <c r="N711" s="184"/>
      <c r="O711" s="184"/>
      <c r="P711" s="184"/>
      <c r="Q711" s="184"/>
      <c r="R711" s="184"/>
      <c r="S711" s="184"/>
      <c r="T711" s="184"/>
      <c r="U711" s="184"/>
      <c r="V711" s="184"/>
      <c r="W711" s="184"/>
      <c r="X711" s="184"/>
      <c r="Y711" s="184"/>
      <c r="Z711" s="184"/>
      <c r="AA711" s="184"/>
    </row>
    <row r="712">
      <c r="A712" s="184"/>
      <c r="B712" s="184"/>
      <c r="C712" s="194"/>
      <c r="D712" s="194"/>
      <c r="E712" s="194"/>
      <c r="F712" s="194"/>
      <c r="G712" s="194"/>
      <c r="H712" s="184"/>
      <c r="I712" s="194"/>
      <c r="J712" s="194"/>
      <c r="K712" s="194"/>
      <c r="L712" s="184"/>
      <c r="M712" s="184"/>
      <c r="N712" s="184"/>
      <c r="O712" s="184"/>
      <c r="P712" s="184"/>
      <c r="Q712" s="184"/>
      <c r="R712" s="184"/>
      <c r="S712" s="184"/>
      <c r="T712" s="184"/>
      <c r="U712" s="184"/>
      <c r="V712" s="184"/>
      <c r="W712" s="184"/>
      <c r="X712" s="184"/>
      <c r="Y712" s="184"/>
      <c r="Z712" s="184"/>
      <c r="AA712" s="184"/>
    </row>
    <row r="713">
      <c r="A713" s="184"/>
      <c r="B713" s="184"/>
      <c r="C713" s="194"/>
      <c r="D713" s="194"/>
      <c r="E713" s="194"/>
      <c r="F713" s="194"/>
      <c r="G713" s="194"/>
      <c r="H713" s="184"/>
      <c r="I713" s="194"/>
      <c r="J713" s="194"/>
      <c r="K713" s="194"/>
      <c r="L713" s="184"/>
      <c r="M713" s="184"/>
      <c r="N713" s="184"/>
      <c r="O713" s="184"/>
      <c r="P713" s="184"/>
      <c r="Q713" s="184"/>
      <c r="R713" s="184"/>
      <c r="S713" s="184"/>
      <c r="T713" s="184"/>
      <c r="U713" s="184"/>
      <c r="V713" s="184"/>
      <c r="W713" s="184"/>
      <c r="X713" s="184"/>
      <c r="Y713" s="184"/>
      <c r="Z713" s="184"/>
      <c r="AA713" s="184"/>
    </row>
    <row r="714">
      <c r="A714" s="184"/>
      <c r="B714" s="184"/>
      <c r="C714" s="194"/>
      <c r="D714" s="194"/>
      <c r="E714" s="194"/>
      <c r="F714" s="194"/>
      <c r="G714" s="194"/>
      <c r="H714" s="184"/>
      <c r="I714" s="194"/>
      <c r="J714" s="194"/>
      <c r="K714" s="194"/>
      <c r="L714" s="184"/>
      <c r="M714" s="184"/>
      <c r="N714" s="184"/>
      <c r="O714" s="184"/>
      <c r="P714" s="184"/>
      <c r="Q714" s="184"/>
      <c r="R714" s="184"/>
      <c r="S714" s="184"/>
      <c r="T714" s="184"/>
      <c r="U714" s="184"/>
      <c r="V714" s="184"/>
      <c r="W714" s="184"/>
      <c r="X714" s="184"/>
      <c r="Y714" s="184"/>
      <c r="Z714" s="184"/>
      <c r="AA714" s="184"/>
    </row>
    <row r="715">
      <c r="A715" s="184"/>
      <c r="B715" s="184"/>
      <c r="C715" s="194"/>
      <c r="D715" s="194"/>
      <c r="E715" s="194"/>
      <c r="F715" s="194"/>
      <c r="G715" s="194"/>
      <c r="H715" s="184"/>
      <c r="I715" s="194"/>
      <c r="J715" s="194"/>
      <c r="K715" s="194"/>
      <c r="L715" s="184"/>
      <c r="M715" s="184"/>
      <c r="N715" s="184"/>
      <c r="O715" s="184"/>
      <c r="P715" s="184"/>
      <c r="Q715" s="184"/>
      <c r="R715" s="184"/>
      <c r="S715" s="184"/>
      <c r="T715" s="184"/>
      <c r="U715" s="184"/>
      <c r="V715" s="184"/>
      <c r="W715" s="184"/>
      <c r="X715" s="184"/>
      <c r="Y715" s="184"/>
      <c r="Z715" s="184"/>
      <c r="AA715" s="184"/>
    </row>
    <row r="716">
      <c r="A716" s="184"/>
      <c r="B716" s="184"/>
      <c r="C716" s="194"/>
      <c r="D716" s="194"/>
      <c r="E716" s="194"/>
      <c r="F716" s="194"/>
      <c r="G716" s="194"/>
      <c r="H716" s="184"/>
      <c r="I716" s="194"/>
      <c r="J716" s="194"/>
      <c r="K716" s="194"/>
      <c r="L716" s="184"/>
      <c r="M716" s="184"/>
      <c r="N716" s="184"/>
      <c r="O716" s="184"/>
      <c r="P716" s="184"/>
      <c r="Q716" s="184"/>
      <c r="R716" s="184"/>
      <c r="S716" s="184"/>
      <c r="T716" s="184"/>
      <c r="U716" s="184"/>
      <c r="V716" s="184"/>
      <c r="W716" s="184"/>
      <c r="X716" s="184"/>
      <c r="Y716" s="184"/>
      <c r="Z716" s="184"/>
      <c r="AA716" s="184"/>
    </row>
    <row r="717">
      <c r="A717" s="184"/>
      <c r="B717" s="184"/>
      <c r="C717" s="194"/>
      <c r="D717" s="194"/>
      <c r="E717" s="194"/>
      <c r="F717" s="194"/>
      <c r="G717" s="194"/>
      <c r="H717" s="184"/>
      <c r="I717" s="194"/>
      <c r="J717" s="194"/>
      <c r="K717" s="194"/>
      <c r="L717" s="184"/>
      <c r="M717" s="184"/>
      <c r="N717" s="184"/>
      <c r="O717" s="184"/>
      <c r="P717" s="184"/>
      <c r="Q717" s="184"/>
      <c r="R717" s="184"/>
      <c r="S717" s="184"/>
      <c r="T717" s="184"/>
      <c r="U717" s="184"/>
      <c r="V717" s="184"/>
      <c r="W717" s="184"/>
      <c r="X717" s="184"/>
      <c r="Y717" s="184"/>
      <c r="Z717" s="184"/>
      <c r="AA717" s="184"/>
    </row>
    <row r="718">
      <c r="A718" s="184"/>
      <c r="B718" s="184"/>
      <c r="C718" s="194"/>
      <c r="D718" s="194"/>
      <c r="E718" s="194"/>
      <c r="F718" s="194"/>
      <c r="G718" s="194"/>
      <c r="H718" s="184"/>
      <c r="I718" s="194"/>
      <c r="J718" s="194"/>
      <c r="K718" s="194"/>
      <c r="L718" s="184"/>
      <c r="M718" s="184"/>
      <c r="N718" s="184"/>
      <c r="O718" s="184"/>
      <c r="P718" s="184"/>
      <c r="Q718" s="184"/>
      <c r="R718" s="184"/>
      <c r="S718" s="184"/>
      <c r="T718" s="184"/>
      <c r="U718" s="184"/>
      <c r="V718" s="184"/>
      <c r="W718" s="184"/>
      <c r="X718" s="184"/>
      <c r="Y718" s="184"/>
      <c r="Z718" s="184"/>
      <c r="AA718" s="184"/>
    </row>
    <row r="719">
      <c r="A719" s="184"/>
      <c r="B719" s="184"/>
      <c r="C719" s="194"/>
      <c r="D719" s="194"/>
      <c r="E719" s="194"/>
      <c r="F719" s="194"/>
      <c r="G719" s="194"/>
      <c r="H719" s="184"/>
      <c r="I719" s="194"/>
      <c r="J719" s="194"/>
      <c r="K719" s="194"/>
      <c r="L719" s="184"/>
      <c r="M719" s="184"/>
      <c r="N719" s="184"/>
      <c r="O719" s="184"/>
      <c r="P719" s="184"/>
      <c r="Q719" s="184"/>
      <c r="R719" s="184"/>
      <c r="S719" s="184"/>
      <c r="T719" s="184"/>
      <c r="U719" s="184"/>
      <c r="V719" s="184"/>
      <c r="W719" s="184"/>
      <c r="X719" s="184"/>
      <c r="Y719" s="184"/>
      <c r="Z719" s="184"/>
      <c r="AA719" s="184"/>
    </row>
    <row r="720">
      <c r="A720" s="184"/>
      <c r="B720" s="184"/>
      <c r="C720" s="194"/>
      <c r="D720" s="194"/>
      <c r="E720" s="194"/>
      <c r="F720" s="194"/>
      <c r="G720" s="194"/>
      <c r="H720" s="184"/>
      <c r="I720" s="194"/>
      <c r="J720" s="194"/>
      <c r="K720" s="194"/>
      <c r="L720" s="184"/>
      <c r="M720" s="184"/>
      <c r="N720" s="184"/>
      <c r="O720" s="184"/>
      <c r="P720" s="184"/>
      <c r="Q720" s="184"/>
      <c r="R720" s="184"/>
      <c r="S720" s="184"/>
      <c r="T720" s="184"/>
      <c r="U720" s="184"/>
      <c r="V720" s="184"/>
      <c r="W720" s="184"/>
      <c r="X720" s="184"/>
      <c r="Y720" s="184"/>
      <c r="Z720" s="184"/>
      <c r="AA720" s="184"/>
    </row>
    <row r="721">
      <c r="A721" s="184"/>
      <c r="B721" s="184"/>
      <c r="C721" s="194"/>
      <c r="D721" s="194"/>
      <c r="E721" s="194"/>
      <c r="F721" s="194"/>
      <c r="G721" s="194"/>
      <c r="H721" s="184"/>
      <c r="I721" s="194"/>
      <c r="J721" s="194"/>
      <c r="K721" s="194"/>
      <c r="L721" s="184"/>
      <c r="M721" s="184"/>
      <c r="N721" s="184"/>
      <c r="O721" s="184"/>
      <c r="P721" s="184"/>
      <c r="Q721" s="184"/>
      <c r="R721" s="184"/>
      <c r="S721" s="184"/>
      <c r="T721" s="184"/>
      <c r="U721" s="184"/>
      <c r="V721" s="184"/>
      <c r="W721" s="184"/>
      <c r="X721" s="184"/>
      <c r="Y721" s="184"/>
      <c r="Z721" s="184"/>
      <c r="AA721" s="184"/>
    </row>
    <row r="722">
      <c r="A722" s="184"/>
      <c r="B722" s="184"/>
      <c r="C722" s="194"/>
      <c r="D722" s="194"/>
      <c r="E722" s="194"/>
      <c r="F722" s="194"/>
      <c r="G722" s="194"/>
      <c r="H722" s="184"/>
      <c r="I722" s="194"/>
      <c r="J722" s="194"/>
      <c r="K722" s="194"/>
      <c r="L722" s="184"/>
      <c r="M722" s="184"/>
      <c r="N722" s="184"/>
      <c r="O722" s="184"/>
      <c r="P722" s="184"/>
      <c r="Q722" s="184"/>
      <c r="R722" s="184"/>
      <c r="S722" s="184"/>
      <c r="T722" s="184"/>
      <c r="U722" s="184"/>
      <c r="V722" s="184"/>
      <c r="W722" s="184"/>
      <c r="X722" s="184"/>
      <c r="Y722" s="184"/>
      <c r="Z722" s="184"/>
      <c r="AA722" s="184"/>
    </row>
    <row r="723">
      <c r="A723" s="184"/>
      <c r="B723" s="184"/>
      <c r="C723" s="194"/>
      <c r="D723" s="194"/>
      <c r="E723" s="194"/>
      <c r="F723" s="194"/>
      <c r="G723" s="194"/>
      <c r="H723" s="184"/>
      <c r="I723" s="194"/>
      <c r="J723" s="194"/>
      <c r="K723" s="194"/>
      <c r="L723" s="184"/>
      <c r="M723" s="184"/>
      <c r="N723" s="184"/>
      <c r="O723" s="184"/>
      <c r="P723" s="184"/>
      <c r="Q723" s="184"/>
      <c r="R723" s="184"/>
      <c r="S723" s="184"/>
      <c r="T723" s="184"/>
      <c r="U723" s="184"/>
      <c r="V723" s="184"/>
      <c r="W723" s="184"/>
      <c r="X723" s="184"/>
      <c r="Y723" s="184"/>
      <c r="Z723" s="184"/>
      <c r="AA723" s="184"/>
    </row>
    <row r="724">
      <c r="A724" s="184"/>
      <c r="B724" s="184"/>
      <c r="C724" s="194"/>
      <c r="D724" s="194"/>
      <c r="E724" s="194"/>
      <c r="F724" s="194"/>
      <c r="G724" s="194"/>
      <c r="H724" s="184"/>
      <c r="I724" s="194"/>
      <c r="J724" s="194"/>
      <c r="K724" s="194"/>
      <c r="L724" s="184"/>
      <c r="M724" s="184"/>
      <c r="N724" s="184"/>
      <c r="O724" s="184"/>
      <c r="P724" s="184"/>
      <c r="Q724" s="184"/>
      <c r="R724" s="184"/>
      <c r="S724" s="184"/>
      <c r="T724" s="184"/>
      <c r="U724" s="184"/>
      <c r="V724" s="184"/>
      <c r="W724" s="184"/>
      <c r="X724" s="184"/>
      <c r="Y724" s="184"/>
      <c r="Z724" s="184"/>
      <c r="AA724" s="184"/>
    </row>
    <row r="725">
      <c r="A725" s="184"/>
      <c r="B725" s="184"/>
      <c r="C725" s="194"/>
      <c r="D725" s="194"/>
      <c r="E725" s="194"/>
      <c r="F725" s="194"/>
      <c r="G725" s="194"/>
      <c r="H725" s="184"/>
      <c r="I725" s="194"/>
      <c r="J725" s="194"/>
      <c r="K725" s="194"/>
      <c r="L725" s="184"/>
      <c r="M725" s="184"/>
      <c r="N725" s="184"/>
      <c r="O725" s="184"/>
      <c r="P725" s="184"/>
      <c r="Q725" s="184"/>
      <c r="R725" s="184"/>
      <c r="S725" s="184"/>
      <c r="T725" s="184"/>
      <c r="U725" s="184"/>
      <c r="V725" s="184"/>
      <c r="W725" s="184"/>
      <c r="X725" s="184"/>
      <c r="Y725" s="184"/>
      <c r="Z725" s="184"/>
      <c r="AA725" s="184"/>
    </row>
    <row r="726">
      <c r="A726" s="184"/>
      <c r="B726" s="184"/>
      <c r="C726" s="194"/>
      <c r="D726" s="194"/>
      <c r="E726" s="194"/>
      <c r="F726" s="194"/>
      <c r="G726" s="194"/>
      <c r="H726" s="184"/>
      <c r="I726" s="194"/>
      <c r="J726" s="194"/>
      <c r="K726" s="194"/>
      <c r="L726" s="184"/>
      <c r="M726" s="184"/>
      <c r="N726" s="184"/>
      <c r="O726" s="184"/>
      <c r="P726" s="184"/>
      <c r="Q726" s="184"/>
      <c r="R726" s="184"/>
      <c r="S726" s="184"/>
      <c r="T726" s="184"/>
      <c r="U726" s="184"/>
      <c r="V726" s="184"/>
      <c r="W726" s="184"/>
      <c r="X726" s="184"/>
      <c r="Y726" s="184"/>
      <c r="Z726" s="184"/>
      <c r="AA726" s="184"/>
    </row>
    <row r="727">
      <c r="A727" s="184"/>
      <c r="B727" s="184"/>
      <c r="C727" s="194"/>
      <c r="D727" s="194"/>
      <c r="E727" s="194"/>
      <c r="F727" s="194"/>
      <c r="G727" s="194"/>
      <c r="H727" s="184"/>
      <c r="I727" s="194"/>
      <c r="J727" s="194"/>
      <c r="K727" s="194"/>
      <c r="L727" s="184"/>
      <c r="M727" s="184"/>
      <c r="N727" s="184"/>
      <c r="O727" s="184"/>
      <c r="P727" s="184"/>
      <c r="Q727" s="184"/>
      <c r="R727" s="184"/>
      <c r="S727" s="184"/>
      <c r="T727" s="184"/>
      <c r="U727" s="184"/>
      <c r="V727" s="184"/>
      <c r="W727" s="184"/>
      <c r="X727" s="184"/>
      <c r="Y727" s="184"/>
      <c r="Z727" s="184"/>
      <c r="AA727" s="184"/>
    </row>
    <row r="728">
      <c r="A728" s="184"/>
      <c r="B728" s="184"/>
      <c r="C728" s="194"/>
      <c r="D728" s="194"/>
      <c r="E728" s="194"/>
      <c r="F728" s="194"/>
      <c r="G728" s="194"/>
      <c r="H728" s="184"/>
      <c r="I728" s="194"/>
      <c r="J728" s="194"/>
      <c r="K728" s="194"/>
      <c r="L728" s="184"/>
      <c r="M728" s="184"/>
      <c r="N728" s="184"/>
      <c r="O728" s="184"/>
      <c r="P728" s="184"/>
      <c r="Q728" s="184"/>
      <c r="R728" s="184"/>
      <c r="S728" s="184"/>
      <c r="T728" s="184"/>
      <c r="U728" s="184"/>
      <c r="V728" s="184"/>
      <c r="W728" s="184"/>
      <c r="X728" s="184"/>
      <c r="Y728" s="184"/>
      <c r="Z728" s="184"/>
      <c r="AA728" s="184"/>
    </row>
    <row r="729">
      <c r="A729" s="184"/>
      <c r="B729" s="184"/>
      <c r="C729" s="194"/>
      <c r="D729" s="194"/>
      <c r="E729" s="194"/>
      <c r="F729" s="194"/>
      <c r="G729" s="194"/>
      <c r="H729" s="184"/>
      <c r="I729" s="194"/>
      <c r="J729" s="194"/>
      <c r="K729" s="194"/>
      <c r="L729" s="184"/>
      <c r="M729" s="184"/>
      <c r="N729" s="184"/>
      <c r="O729" s="184"/>
      <c r="P729" s="184"/>
      <c r="Q729" s="184"/>
      <c r="R729" s="184"/>
      <c r="S729" s="184"/>
      <c r="T729" s="184"/>
      <c r="U729" s="184"/>
      <c r="V729" s="184"/>
      <c r="W729" s="184"/>
      <c r="X729" s="184"/>
      <c r="Y729" s="184"/>
      <c r="Z729" s="184"/>
      <c r="AA729" s="184"/>
    </row>
    <row r="730">
      <c r="A730" s="184"/>
      <c r="B730" s="184"/>
      <c r="C730" s="194"/>
      <c r="D730" s="194"/>
      <c r="E730" s="194"/>
      <c r="F730" s="194"/>
      <c r="G730" s="194"/>
      <c r="H730" s="184"/>
      <c r="I730" s="194"/>
      <c r="J730" s="194"/>
      <c r="K730" s="194"/>
      <c r="L730" s="184"/>
      <c r="M730" s="184"/>
      <c r="N730" s="184"/>
      <c r="O730" s="184"/>
      <c r="P730" s="184"/>
      <c r="Q730" s="184"/>
      <c r="R730" s="184"/>
      <c r="S730" s="184"/>
      <c r="T730" s="184"/>
      <c r="U730" s="184"/>
      <c r="V730" s="184"/>
      <c r="W730" s="184"/>
      <c r="X730" s="184"/>
      <c r="Y730" s="184"/>
      <c r="Z730" s="184"/>
      <c r="AA730" s="184"/>
    </row>
    <row r="731">
      <c r="A731" s="184"/>
      <c r="B731" s="184"/>
      <c r="C731" s="194"/>
      <c r="D731" s="194"/>
      <c r="E731" s="194"/>
      <c r="F731" s="194"/>
      <c r="G731" s="194"/>
      <c r="H731" s="184"/>
      <c r="I731" s="194"/>
      <c r="J731" s="194"/>
      <c r="K731" s="194"/>
      <c r="L731" s="184"/>
      <c r="M731" s="184"/>
      <c r="N731" s="184"/>
      <c r="O731" s="184"/>
      <c r="P731" s="184"/>
      <c r="Q731" s="184"/>
      <c r="R731" s="184"/>
      <c r="S731" s="184"/>
      <c r="T731" s="184"/>
      <c r="U731" s="184"/>
      <c r="V731" s="184"/>
      <c r="W731" s="184"/>
      <c r="X731" s="184"/>
      <c r="Y731" s="184"/>
      <c r="Z731" s="184"/>
      <c r="AA731" s="184"/>
    </row>
    <row r="732">
      <c r="A732" s="184"/>
      <c r="B732" s="184"/>
      <c r="C732" s="194"/>
      <c r="D732" s="194"/>
      <c r="E732" s="194"/>
      <c r="F732" s="194"/>
      <c r="G732" s="194"/>
      <c r="H732" s="184"/>
      <c r="I732" s="194"/>
      <c r="J732" s="194"/>
      <c r="K732" s="194"/>
      <c r="L732" s="184"/>
      <c r="M732" s="184"/>
      <c r="N732" s="184"/>
      <c r="O732" s="184"/>
      <c r="P732" s="184"/>
      <c r="Q732" s="184"/>
      <c r="R732" s="184"/>
      <c r="S732" s="184"/>
      <c r="T732" s="184"/>
      <c r="U732" s="184"/>
      <c r="V732" s="184"/>
      <c r="W732" s="184"/>
      <c r="X732" s="184"/>
      <c r="Y732" s="184"/>
      <c r="Z732" s="184"/>
      <c r="AA732" s="184"/>
    </row>
    <row r="733">
      <c r="A733" s="184"/>
      <c r="B733" s="184"/>
      <c r="C733" s="194"/>
      <c r="D733" s="194"/>
      <c r="E733" s="194"/>
      <c r="F733" s="194"/>
      <c r="G733" s="194"/>
      <c r="H733" s="184"/>
      <c r="I733" s="194"/>
      <c r="J733" s="194"/>
      <c r="K733" s="194"/>
      <c r="L733" s="184"/>
      <c r="M733" s="184"/>
      <c r="N733" s="184"/>
      <c r="O733" s="184"/>
      <c r="P733" s="184"/>
      <c r="Q733" s="184"/>
      <c r="R733" s="184"/>
      <c r="S733" s="184"/>
      <c r="T733" s="184"/>
      <c r="U733" s="184"/>
      <c r="V733" s="184"/>
      <c r="W733" s="184"/>
      <c r="X733" s="184"/>
      <c r="Y733" s="184"/>
      <c r="Z733" s="184"/>
      <c r="AA733" s="184"/>
    </row>
    <row r="734">
      <c r="A734" s="184"/>
      <c r="B734" s="184"/>
      <c r="C734" s="194"/>
      <c r="D734" s="194"/>
      <c r="E734" s="194"/>
      <c r="F734" s="194"/>
      <c r="G734" s="194"/>
      <c r="H734" s="184"/>
      <c r="I734" s="194"/>
      <c r="J734" s="194"/>
      <c r="K734" s="194"/>
      <c r="L734" s="184"/>
      <c r="M734" s="184"/>
      <c r="N734" s="184"/>
      <c r="O734" s="184"/>
      <c r="P734" s="184"/>
      <c r="Q734" s="184"/>
      <c r="R734" s="184"/>
      <c r="S734" s="184"/>
      <c r="T734" s="184"/>
      <c r="U734" s="184"/>
      <c r="V734" s="184"/>
      <c r="W734" s="184"/>
      <c r="X734" s="184"/>
      <c r="Y734" s="184"/>
      <c r="Z734" s="184"/>
      <c r="AA734" s="184"/>
    </row>
    <row r="735">
      <c r="A735" s="184"/>
      <c r="B735" s="184"/>
      <c r="C735" s="194"/>
      <c r="D735" s="194"/>
      <c r="E735" s="194"/>
      <c r="F735" s="194"/>
      <c r="G735" s="194"/>
      <c r="H735" s="184"/>
      <c r="I735" s="194"/>
      <c r="J735" s="194"/>
      <c r="K735" s="194"/>
      <c r="L735" s="184"/>
      <c r="M735" s="184"/>
      <c r="N735" s="184"/>
      <c r="O735" s="184"/>
      <c r="P735" s="184"/>
      <c r="Q735" s="184"/>
      <c r="R735" s="184"/>
      <c r="S735" s="184"/>
      <c r="T735" s="184"/>
      <c r="U735" s="184"/>
      <c r="V735" s="184"/>
      <c r="W735" s="184"/>
      <c r="X735" s="184"/>
      <c r="Y735" s="184"/>
      <c r="Z735" s="184"/>
      <c r="AA735" s="184"/>
    </row>
    <row r="736">
      <c r="A736" s="184"/>
      <c r="B736" s="184"/>
      <c r="C736" s="194"/>
      <c r="D736" s="194"/>
      <c r="E736" s="194"/>
      <c r="F736" s="194"/>
      <c r="G736" s="194"/>
      <c r="H736" s="184"/>
      <c r="I736" s="194"/>
      <c r="J736" s="194"/>
      <c r="K736" s="194"/>
      <c r="L736" s="184"/>
      <c r="M736" s="184"/>
      <c r="N736" s="184"/>
      <c r="O736" s="184"/>
      <c r="P736" s="184"/>
      <c r="Q736" s="184"/>
      <c r="R736" s="184"/>
      <c r="S736" s="184"/>
      <c r="T736" s="184"/>
      <c r="U736" s="184"/>
      <c r="V736" s="184"/>
      <c r="W736" s="184"/>
      <c r="X736" s="184"/>
      <c r="Y736" s="184"/>
      <c r="Z736" s="184"/>
      <c r="AA736" s="184"/>
    </row>
    <row r="737">
      <c r="A737" s="184"/>
      <c r="B737" s="184"/>
      <c r="C737" s="194"/>
      <c r="D737" s="194"/>
      <c r="E737" s="194"/>
      <c r="F737" s="194"/>
      <c r="G737" s="194"/>
      <c r="H737" s="184"/>
      <c r="I737" s="194"/>
      <c r="J737" s="194"/>
      <c r="K737" s="194"/>
      <c r="L737" s="184"/>
      <c r="M737" s="184"/>
      <c r="N737" s="184"/>
      <c r="O737" s="184"/>
      <c r="P737" s="184"/>
      <c r="Q737" s="184"/>
      <c r="R737" s="184"/>
      <c r="S737" s="184"/>
      <c r="T737" s="184"/>
      <c r="U737" s="184"/>
      <c r="V737" s="184"/>
      <c r="W737" s="184"/>
      <c r="X737" s="184"/>
      <c r="Y737" s="184"/>
      <c r="Z737" s="184"/>
      <c r="AA737" s="184"/>
    </row>
    <row r="738">
      <c r="A738" s="184"/>
      <c r="B738" s="184"/>
      <c r="C738" s="194"/>
      <c r="D738" s="194"/>
      <c r="E738" s="194"/>
      <c r="F738" s="194"/>
      <c r="G738" s="194"/>
      <c r="H738" s="184"/>
      <c r="I738" s="194"/>
      <c r="J738" s="194"/>
      <c r="K738" s="194"/>
      <c r="L738" s="184"/>
      <c r="M738" s="184"/>
      <c r="N738" s="184"/>
      <c r="O738" s="184"/>
      <c r="P738" s="184"/>
      <c r="Q738" s="184"/>
      <c r="R738" s="184"/>
      <c r="S738" s="184"/>
      <c r="T738" s="184"/>
      <c r="U738" s="184"/>
      <c r="V738" s="184"/>
      <c r="W738" s="184"/>
      <c r="X738" s="184"/>
      <c r="Y738" s="184"/>
      <c r="Z738" s="184"/>
      <c r="AA738" s="184"/>
    </row>
    <row r="739">
      <c r="A739" s="184"/>
      <c r="B739" s="184"/>
      <c r="C739" s="194"/>
      <c r="D739" s="194"/>
      <c r="E739" s="194"/>
      <c r="F739" s="194"/>
      <c r="G739" s="194"/>
      <c r="H739" s="184"/>
      <c r="I739" s="194"/>
      <c r="J739" s="194"/>
      <c r="K739" s="194"/>
      <c r="L739" s="184"/>
      <c r="M739" s="184"/>
      <c r="N739" s="184"/>
      <c r="O739" s="184"/>
      <c r="P739" s="184"/>
      <c r="Q739" s="184"/>
      <c r="R739" s="184"/>
      <c r="S739" s="184"/>
      <c r="T739" s="184"/>
      <c r="U739" s="184"/>
      <c r="V739" s="184"/>
      <c r="W739" s="184"/>
      <c r="X739" s="184"/>
      <c r="Y739" s="184"/>
      <c r="Z739" s="184"/>
      <c r="AA739" s="184"/>
    </row>
    <row r="740">
      <c r="A740" s="184"/>
      <c r="B740" s="184"/>
      <c r="C740" s="194"/>
      <c r="D740" s="194"/>
      <c r="E740" s="194"/>
      <c r="F740" s="194"/>
      <c r="G740" s="194"/>
      <c r="H740" s="184"/>
      <c r="I740" s="194"/>
      <c r="J740" s="194"/>
      <c r="K740" s="194"/>
      <c r="L740" s="184"/>
      <c r="M740" s="184"/>
      <c r="N740" s="184"/>
      <c r="O740" s="184"/>
      <c r="P740" s="184"/>
      <c r="Q740" s="184"/>
      <c r="R740" s="184"/>
      <c r="S740" s="184"/>
      <c r="T740" s="184"/>
      <c r="U740" s="184"/>
      <c r="V740" s="184"/>
      <c r="W740" s="184"/>
      <c r="X740" s="184"/>
      <c r="Y740" s="184"/>
      <c r="Z740" s="184"/>
      <c r="AA740" s="184"/>
    </row>
    <row r="741">
      <c r="A741" s="184"/>
      <c r="B741" s="184"/>
      <c r="C741" s="194"/>
      <c r="D741" s="194"/>
      <c r="E741" s="194"/>
      <c r="F741" s="194"/>
      <c r="G741" s="194"/>
      <c r="H741" s="184"/>
      <c r="I741" s="194"/>
      <c r="J741" s="194"/>
      <c r="K741" s="194"/>
      <c r="L741" s="184"/>
      <c r="M741" s="184"/>
      <c r="N741" s="184"/>
      <c r="O741" s="184"/>
      <c r="P741" s="184"/>
      <c r="Q741" s="184"/>
      <c r="R741" s="184"/>
      <c r="S741" s="184"/>
      <c r="T741" s="184"/>
      <c r="U741" s="184"/>
      <c r="V741" s="184"/>
      <c r="W741" s="184"/>
      <c r="X741" s="184"/>
      <c r="Y741" s="184"/>
      <c r="Z741" s="184"/>
      <c r="AA741" s="184"/>
    </row>
    <row r="742">
      <c r="A742" s="184"/>
      <c r="B742" s="184"/>
      <c r="C742" s="194"/>
      <c r="D742" s="194"/>
      <c r="E742" s="194"/>
      <c r="F742" s="194"/>
      <c r="G742" s="194"/>
      <c r="H742" s="184"/>
      <c r="I742" s="194"/>
      <c r="J742" s="194"/>
      <c r="K742" s="194"/>
      <c r="L742" s="184"/>
      <c r="M742" s="184"/>
      <c r="N742" s="184"/>
      <c r="O742" s="184"/>
      <c r="P742" s="184"/>
      <c r="Q742" s="184"/>
      <c r="R742" s="184"/>
      <c r="S742" s="184"/>
      <c r="T742" s="184"/>
      <c r="U742" s="184"/>
      <c r="V742" s="184"/>
      <c r="W742" s="184"/>
      <c r="X742" s="184"/>
      <c r="Y742" s="184"/>
      <c r="Z742" s="184"/>
      <c r="AA742" s="184"/>
    </row>
    <row r="743">
      <c r="A743" s="184"/>
      <c r="B743" s="184"/>
      <c r="C743" s="194"/>
      <c r="D743" s="194"/>
      <c r="E743" s="194"/>
      <c r="F743" s="194"/>
      <c r="G743" s="194"/>
      <c r="H743" s="184"/>
      <c r="I743" s="194"/>
      <c r="J743" s="194"/>
      <c r="K743" s="194"/>
      <c r="L743" s="184"/>
      <c r="M743" s="184"/>
      <c r="N743" s="184"/>
      <c r="O743" s="184"/>
      <c r="P743" s="184"/>
      <c r="Q743" s="184"/>
      <c r="R743" s="184"/>
      <c r="S743" s="184"/>
      <c r="T743" s="184"/>
      <c r="U743" s="184"/>
      <c r="V743" s="184"/>
      <c r="W743" s="184"/>
      <c r="X743" s="184"/>
      <c r="Y743" s="184"/>
      <c r="Z743" s="184"/>
      <c r="AA743" s="184"/>
    </row>
    <row r="744">
      <c r="A744" s="184"/>
      <c r="B744" s="184"/>
      <c r="C744" s="194"/>
      <c r="D744" s="194"/>
      <c r="E744" s="194"/>
      <c r="F744" s="194"/>
      <c r="G744" s="194"/>
      <c r="H744" s="184"/>
      <c r="I744" s="194"/>
      <c r="J744" s="194"/>
      <c r="K744" s="194"/>
      <c r="L744" s="184"/>
      <c r="M744" s="184"/>
      <c r="N744" s="184"/>
      <c r="O744" s="184"/>
      <c r="P744" s="184"/>
      <c r="Q744" s="184"/>
      <c r="R744" s="184"/>
      <c r="S744" s="184"/>
      <c r="T744" s="184"/>
      <c r="U744" s="184"/>
      <c r="V744" s="184"/>
      <c r="W744" s="184"/>
      <c r="X744" s="184"/>
      <c r="Y744" s="184"/>
      <c r="Z744" s="184"/>
      <c r="AA744" s="184"/>
    </row>
    <row r="745">
      <c r="A745" s="184"/>
      <c r="B745" s="184"/>
      <c r="C745" s="194"/>
      <c r="D745" s="194"/>
      <c r="E745" s="194"/>
      <c r="F745" s="194"/>
      <c r="G745" s="194"/>
      <c r="H745" s="184"/>
      <c r="I745" s="194"/>
      <c r="J745" s="194"/>
      <c r="K745" s="194"/>
      <c r="L745" s="184"/>
      <c r="M745" s="184"/>
      <c r="N745" s="184"/>
      <c r="O745" s="184"/>
      <c r="P745" s="184"/>
      <c r="Q745" s="184"/>
      <c r="R745" s="184"/>
      <c r="S745" s="184"/>
      <c r="T745" s="184"/>
      <c r="U745" s="184"/>
      <c r="V745" s="184"/>
      <c r="W745" s="184"/>
      <c r="X745" s="184"/>
      <c r="Y745" s="184"/>
      <c r="Z745" s="184"/>
      <c r="AA745" s="184"/>
    </row>
    <row r="746">
      <c r="A746" s="184"/>
      <c r="B746" s="184"/>
      <c r="C746" s="194"/>
      <c r="D746" s="194"/>
      <c r="E746" s="194"/>
      <c r="F746" s="194"/>
      <c r="G746" s="194"/>
      <c r="H746" s="184"/>
      <c r="I746" s="194"/>
      <c r="J746" s="194"/>
      <c r="K746" s="194"/>
      <c r="L746" s="184"/>
      <c r="M746" s="184"/>
      <c r="N746" s="184"/>
      <c r="O746" s="184"/>
      <c r="P746" s="184"/>
      <c r="Q746" s="184"/>
      <c r="R746" s="184"/>
      <c r="S746" s="184"/>
      <c r="T746" s="184"/>
      <c r="U746" s="184"/>
      <c r="V746" s="184"/>
      <c r="W746" s="184"/>
      <c r="X746" s="184"/>
      <c r="Y746" s="184"/>
      <c r="Z746" s="184"/>
      <c r="AA746" s="184"/>
    </row>
    <row r="747">
      <c r="A747" s="184"/>
      <c r="B747" s="184"/>
      <c r="C747" s="194"/>
      <c r="D747" s="194"/>
      <c r="E747" s="194"/>
      <c r="F747" s="194"/>
      <c r="G747" s="194"/>
      <c r="H747" s="184"/>
      <c r="I747" s="194"/>
      <c r="J747" s="194"/>
      <c r="K747" s="194"/>
      <c r="L747" s="184"/>
      <c r="M747" s="184"/>
      <c r="N747" s="184"/>
      <c r="O747" s="184"/>
      <c r="P747" s="184"/>
      <c r="Q747" s="184"/>
      <c r="R747" s="184"/>
      <c r="S747" s="184"/>
      <c r="T747" s="184"/>
      <c r="U747" s="184"/>
      <c r="V747" s="184"/>
      <c r="W747" s="184"/>
      <c r="X747" s="184"/>
      <c r="Y747" s="184"/>
      <c r="Z747" s="184"/>
      <c r="AA747" s="184"/>
    </row>
    <row r="748">
      <c r="A748" s="184"/>
      <c r="B748" s="184"/>
      <c r="C748" s="194"/>
      <c r="D748" s="194"/>
      <c r="E748" s="194"/>
      <c r="F748" s="194"/>
      <c r="G748" s="194"/>
      <c r="H748" s="184"/>
      <c r="I748" s="194"/>
      <c r="J748" s="194"/>
      <c r="K748" s="194"/>
      <c r="L748" s="184"/>
      <c r="M748" s="184"/>
      <c r="N748" s="184"/>
      <c r="O748" s="184"/>
      <c r="P748" s="184"/>
      <c r="Q748" s="184"/>
      <c r="R748" s="184"/>
      <c r="S748" s="184"/>
      <c r="T748" s="184"/>
      <c r="U748" s="184"/>
      <c r="V748" s="184"/>
      <c r="W748" s="184"/>
      <c r="X748" s="184"/>
      <c r="Y748" s="184"/>
      <c r="Z748" s="184"/>
      <c r="AA748" s="184"/>
    </row>
    <row r="749">
      <c r="A749" s="184"/>
      <c r="B749" s="184"/>
      <c r="C749" s="194"/>
      <c r="D749" s="194"/>
      <c r="E749" s="194"/>
      <c r="F749" s="194"/>
      <c r="G749" s="194"/>
      <c r="H749" s="184"/>
      <c r="I749" s="194"/>
      <c r="J749" s="194"/>
      <c r="K749" s="194"/>
      <c r="L749" s="184"/>
      <c r="M749" s="184"/>
      <c r="N749" s="184"/>
      <c r="O749" s="184"/>
      <c r="P749" s="184"/>
      <c r="Q749" s="184"/>
      <c r="R749" s="184"/>
      <c r="S749" s="184"/>
      <c r="T749" s="184"/>
      <c r="U749" s="184"/>
      <c r="V749" s="184"/>
      <c r="W749" s="184"/>
      <c r="X749" s="184"/>
      <c r="Y749" s="184"/>
      <c r="Z749" s="184"/>
      <c r="AA749" s="184"/>
    </row>
    <row r="750">
      <c r="A750" s="184"/>
      <c r="B750" s="184"/>
      <c r="C750" s="194"/>
      <c r="D750" s="194"/>
      <c r="E750" s="194"/>
      <c r="F750" s="194"/>
      <c r="G750" s="194"/>
      <c r="H750" s="184"/>
      <c r="I750" s="194"/>
      <c r="J750" s="194"/>
      <c r="K750" s="194"/>
      <c r="L750" s="184"/>
      <c r="M750" s="184"/>
      <c r="N750" s="184"/>
      <c r="O750" s="184"/>
      <c r="P750" s="184"/>
      <c r="Q750" s="184"/>
      <c r="R750" s="184"/>
      <c r="S750" s="184"/>
      <c r="T750" s="184"/>
      <c r="U750" s="184"/>
      <c r="V750" s="184"/>
      <c r="W750" s="184"/>
      <c r="X750" s="184"/>
      <c r="Y750" s="184"/>
      <c r="Z750" s="184"/>
      <c r="AA750" s="184"/>
    </row>
    <row r="751">
      <c r="A751" s="184"/>
      <c r="B751" s="184"/>
      <c r="C751" s="194"/>
      <c r="D751" s="194"/>
      <c r="E751" s="194"/>
      <c r="F751" s="194"/>
      <c r="G751" s="194"/>
      <c r="H751" s="184"/>
      <c r="I751" s="194"/>
      <c r="J751" s="194"/>
      <c r="K751" s="194"/>
      <c r="L751" s="184"/>
      <c r="M751" s="184"/>
      <c r="N751" s="184"/>
      <c r="O751" s="184"/>
      <c r="P751" s="184"/>
      <c r="Q751" s="184"/>
      <c r="R751" s="184"/>
      <c r="S751" s="184"/>
      <c r="T751" s="184"/>
      <c r="U751" s="184"/>
      <c r="V751" s="184"/>
      <c r="W751" s="184"/>
      <c r="X751" s="184"/>
      <c r="Y751" s="184"/>
      <c r="Z751" s="184"/>
      <c r="AA751" s="184"/>
    </row>
    <row r="752">
      <c r="A752" s="184"/>
      <c r="B752" s="184"/>
      <c r="C752" s="194"/>
      <c r="D752" s="194"/>
      <c r="E752" s="194"/>
      <c r="F752" s="194"/>
      <c r="G752" s="194"/>
      <c r="H752" s="184"/>
      <c r="I752" s="194"/>
      <c r="J752" s="194"/>
      <c r="K752" s="194"/>
      <c r="L752" s="184"/>
      <c r="M752" s="184"/>
      <c r="N752" s="184"/>
      <c r="O752" s="184"/>
      <c r="P752" s="184"/>
      <c r="Q752" s="184"/>
      <c r="R752" s="184"/>
      <c r="S752" s="184"/>
      <c r="T752" s="184"/>
      <c r="U752" s="184"/>
      <c r="V752" s="184"/>
      <c r="W752" s="184"/>
      <c r="X752" s="184"/>
      <c r="Y752" s="184"/>
      <c r="Z752" s="184"/>
      <c r="AA752" s="184"/>
    </row>
    <row r="753">
      <c r="A753" s="184"/>
      <c r="B753" s="184"/>
      <c r="C753" s="194"/>
      <c r="D753" s="194"/>
      <c r="E753" s="194"/>
      <c r="F753" s="194"/>
      <c r="G753" s="194"/>
      <c r="H753" s="184"/>
      <c r="I753" s="194"/>
      <c r="J753" s="194"/>
      <c r="K753" s="194"/>
      <c r="L753" s="184"/>
      <c r="M753" s="184"/>
      <c r="N753" s="184"/>
      <c r="O753" s="184"/>
      <c r="P753" s="184"/>
      <c r="Q753" s="184"/>
      <c r="R753" s="184"/>
      <c r="S753" s="184"/>
      <c r="T753" s="184"/>
      <c r="U753" s="184"/>
      <c r="V753" s="184"/>
      <c r="W753" s="184"/>
      <c r="X753" s="184"/>
      <c r="Y753" s="184"/>
      <c r="Z753" s="184"/>
      <c r="AA753" s="184"/>
    </row>
    <row r="754">
      <c r="A754" s="184"/>
      <c r="B754" s="184"/>
      <c r="C754" s="194"/>
      <c r="D754" s="194"/>
      <c r="E754" s="194"/>
      <c r="F754" s="194"/>
      <c r="G754" s="194"/>
      <c r="H754" s="184"/>
      <c r="I754" s="194"/>
      <c r="J754" s="194"/>
      <c r="K754" s="194"/>
      <c r="L754" s="184"/>
      <c r="M754" s="184"/>
      <c r="N754" s="184"/>
      <c r="O754" s="184"/>
      <c r="P754" s="184"/>
      <c r="Q754" s="184"/>
      <c r="R754" s="184"/>
      <c r="S754" s="184"/>
      <c r="T754" s="184"/>
      <c r="U754" s="184"/>
      <c r="V754" s="184"/>
      <c r="W754" s="184"/>
      <c r="X754" s="184"/>
      <c r="Y754" s="184"/>
      <c r="Z754" s="184"/>
      <c r="AA754" s="184"/>
    </row>
    <row r="755">
      <c r="A755" s="184"/>
      <c r="B755" s="184"/>
      <c r="C755" s="194"/>
      <c r="D755" s="194"/>
      <c r="E755" s="194"/>
      <c r="F755" s="194"/>
      <c r="G755" s="194"/>
      <c r="H755" s="184"/>
      <c r="I755" s="194"/>
      <c r="J755" s="194"/>
      <c r="K755" s="194"/>
      <c r="L755" s="184"/>
      <c r="M755" s="184"/>
      <c r="N755" s="184"/>
      <c r="O755" s="184"/>
      <c r="P755" s="184"/>
      <c r="Q755" s="184"/>
      <c r="R755" s="184"/>
      <c r="S755" s="184"/>
      <c r="T755" s="184"/>
      <c r="U755" s="184"/>
      <c r="V755" s="184"/>
      <c r="W755" s="184"/>
      <c r="X755" s="184"/>
      <c r="Y755" s="184"/>
      <c r="Z755" s="184"/>
      <c r="AA755" s="184"/>
    </row>
    <row r="756">
      <c r="A756" s="184"/>
      <c r="B756" s="184"/>
      <c r="C756" s="194"/>
      <c r="D756" s="194"/>
      <c r="E756" s="194"/>
      <c r="F756" s="194"/>
      <c r="G756" s="194"/>
      <c r="H756" s="184"/>
      <c r="I756" s="194"/>
      <c r="J756" s="194"/>
      <c r="K756" s="194"/>
      <c r="L756" s="184"/>
      <c r="M756" s="184"/>
      <c r="N756" s="184"/>
      <c r="O756" s="184"/>
      <c r="P756" s="184"/>
      <c r="Q756" s="184"/>
      <c r="R756" s="184"/>
      <c r="S756" s="184"/>
      <c r="T756" s="184"/>
      <c r="U756" s="184"/>
      <c r="V756" s="184"/>
      <c r="W756" s="184"/>
      <c r="X756" s="184"/>
      <c r="Y756" s="184"/>
      <c r="Z756" s="184"/>
      <c r="AA756" s="184"/>
    </row>
    <row r="757">
      <c r="A757" s="184"/>
      <c r="B757" s="184"/>
      <c r="C757" s="194"/>
      <c r="D757" s="194"/>
      <c r="E757" s="194"/>
      <c r="F757" s="194"/>
      <c r="G757" s="194"/>
      <c r="H757" s="184"/>
      <c r="I757" s="194"/>
      <c r="J757" s="194"/>
      <c r="K757" s="194"/>
      <c r="L757" s="184"/>
      <c r="M757" s="184"/>
      <c r="N757" s="184"/>
      <c r="O757" s="184"/>
      <c r="P757" s="184"/>
      <c r="Q757" s="184"/>
      <c r="R757" s="184"/>
      <c r="S757" s="184"/>
      <c r="T757" s="184"/>
      <c r="U757" s="184"/>
      <c r="V757" s="184"/>
      <c r="W757" s="184"/>
      <c r="X757" s="184"/>
      <c r="Y757" s="184"/>
      <c r="Z757" s="184"/>
      <c r="AA757" s="184"/>
    </row>
    <row r="758">
      <c r="A758" s="184"/>
      <c r="B758" s="184"/>
      <c r="C758" s="194"/>
      <c r="D758" s="194"/>
      <c r="E758" s="194"/>
      <c r="F758" s="194"/>
      <c r="G758" s="194"/>
      <c r="H758" s="184"/>
      <c r="I758" s="194"/>
      <c r="J758" s="194"/>
      <c r="K758" s="194"/>
      <c r="L758" s="184"/>
      <c r="M758" s="184"/>
      <c r="N758" s="184"/>
      <c r="O758" s="184"/>
      <c r="P758" s="184"/>
      <c r="Q758" s="184"/>
      <c r="R758" s="184"/>
      <c r="S758" s="184"/>
      <c r="T758" s="184"/>
      <c r="U758" s="184"/>
      <c r="V758" s="184"/>
      <c r="W758" s="184"/>
      <c r="X758" s="184"/>
      <c r="Y758" s="184"/>
      <c r="Z758" s="184"/>
      <c r="AA758" s="184"/>
    </row>
    <row r="759">
      <c r="A759" s="184"/>
      <c r="B759" s="184"/>
      <c r="C759" s="194"/>
      <c r="D759" s="194"/>
      <c r="E759" s="194"/>
      <c r="F759" s="194"/>
      <c r="G759" s="194"/>
      <c r="H759" s="184"/>
      <c r="I759" s="194"/>
      <c r="J759" s="194"/>
      <c r="K759" s="194"/>
      <c r="L759" s="184"/>
      <c r="M759" s="184"/>
      <c r="N759" s="184"/>
      <c r="O759" s="184"/>
      <c r="P759" s="184"/>
      <c r="Q759" s="184"/>
      <c r="R759" s="184"/>
      <c r="S759" s="184"/>
      <c r="T759" s="184"/>
      <c r="U759" s="184"/>
      <c r="V759" s="184"/>
      <c r="W759" s="184"/>
      <c r="X759" s="184"/>
      <c r="Y759" s="184"/>
      <c r="Z759" s="184"/>
      <c r="AA759" s="184"/>
    </row>
    <row r="760">
      <c r="A760" s="184"/>
      <c r="B760" s="184"/>
      <c r="C760" s="194"/>
      <c r="D760" s="194"/>
      <c r="E760" s="194"/>
      <c r="F760" s="194"/>
      <c r="G760" s="194"/>
      <c r="H760" s="184"/>
      <c r="I760" s="194"/>
      <c r="J760" s="194"/>
      <c r="K760" s="194"/>
      <c r="L760" s="184"/>
      <c r="M760" s="184"/>
      <c r="N760" s="184"/>
      <c r="O760" s="184"/>
      <c r="P760" s="184"/>
      <c r="Q760" s="184"/>
      <c r="R760" s="184"/>
      <c r="S760" s="184"/>
      <c r="T760" s="184"/>
      <c r="U760" s="184"/>
      <c r="V760" s="184"/>
      <c r="W760" s="184"/>
      <c r="X760" s="184"/>
      <c r="Y760" s="184"/>
      <c r="Z760" s="184"/>
      <c r="AA760" s="184"/>
    </row>
    <row r="761">
      <c r="A761" s="184"/>
      <c r="B761" s="184"/>
      <c r="C761" s="194"/>
      <c r="D761" s="194"/>
      <c r="E761" s="194"/>
      <c r="F761" s="194"/>
      <c r="G761" s="194"/>
      <c r="H761" s="184"/>
      <c r="I761" s="194"/>
      <c r="J761" s="194"/>
      <c r="K761" s="194"/>
      <c r="L761" s="184"/>
      <c r="M761" s="184"/>
      <c r="N761" s="184"/>
      <c r="O761" s="184"/>
      <c r="P761" s="184"/>
      <c r="Q761" s="184"/>
      <c r="R761" s="184"/>
      <c r="S761" s="184"/>
      <c r="T761" s="184"/>
      <c r="U761" s="184"/>
      <c r="V761" s="184"/>
      <c r="W761" s="184"/>
      <c r="X761" s="184"/>
      <c r="Y761" s="184"/>
      <c r="Z761" s="184"/>
      <c r="AA761" s="184"/>
    </row>
    <row r="762">
      <c r="A762" s="184"/>
      <c r="B762" s="184"/>
      <c r="C762" s="194"/>
      <c r="D762" s="194"/>
      <c r="E762" s="194"/>
      <c r="F762" s="194"/>
      <c r="G762" s="194"/>
      <c r="H762" s="184"/>
      <c r="I762" s="194"/>
      <c r="J762" s="194"/>
      <c r="K762" s="194"/>
      <c r="L762" s="184"/>
      <c r="M762" s="184"/>
      <c r="N762" s="184"/>
      <c r="O762" s="184"/>
      <c r="P762" s="184"/>
      <c r="Q762" s="184"/>
      <c r="R762" s="184"/>
      <c r="S762" s="184"/>
      <c r="T762" s="184"/>
      <c r="U762" s="184"/>
      <c r="V762" s="184"/>
      <c r="W762" s="184"/>
      <c r="X762" s="184"/>
      <c r="Y762" s="184"/>
      <c r="Z762" s="184"/>
      <c r="AA762" s="184"/>
    </row>
    <row r="763">
      <c r="A763" s="184"/>
      <c r="B763" s="184"/>
      <c r="C763" s="194"/>
      <c r="D763" s="194"/>
      <c r="E763" s="194"/>
      <c r="F763" s="194"/>
      <c r="G763" s="194"/>
      <c r="H763" s="184"/>
      <c r="I763" s="194"/>
      <c r="J763" s="194"/>
      <c r="K763" s="194"/>
      <c r="L763" s="184"/>
      <c r="M763" s="184"/>
      <c r="N763" s="184"/>
      <c r="O763" s="184"/>
      <c r="P763" s="184"/>
      <c r="Q763" s="184"/>
      <c r="R763" s="184"/>
      <c r="S763" s="184"/>
      <c r="T763" s="184"/>
      <c r="U763" s="184"/>
      <c r="V763" s="184"/>
      <c r="W763" s="184"/>
      <c r="X763" s="184"/>
      <c r="Y763" s="184"/>
      <c r="Z763" s="184"/>
      <c r="AA763" s="184"/>
    </row>
    <row r="764">
      <c r="A764" s="184"/>
      <c r="B764" s="184"/>
      <c r="C764" s="194"/>
      <c r="D764" s="194"/>
      <c r="E764" s="194"/>
      <c r="F764" s="194"/>
      <c r="G764" s="194"/>
      <c r="H764" s="184"/>
      <c r="I764" s="194"/>
      <c r="J764" s="194"/>
      <c r="K764" s="194"/>
      <c r="L764" s="184"/>
      <c r="M764" s="184"/>
      <c r="N764" s="184"/>
      <c r="O764" s="184"/>
      <c r="P764" s="184"/>
      <c r="Q764" s="184"/>
      <c r="R764" s="184"/>
      <c r="S764" s="184"/>
      <c r="T764" s="184"/>
      <c r="U764" s="184"/>
      <c r="V764" s="184"/>
      <c r="W764" s="184"/>
      <c r="X764" s="184"/>
      <c r="Y764" s="184"/>
      <c r="Z764" s="184"/>
      <c r="AA764" s="184"/>
    </row>
    <row r="765">
      <c r="A765" s="184"/>
      <c r="B765" s="184"/>
      <c r="C765" s="194"/>
      <c r="D765" s="194"/>
      <c r="E765" s="194"/>
      <c r="F765" s="194"/>
      <c r="G765" s="194"/>
      <c r="H765" s="184"/>
      <c r="I765" s="194"/>
      <c r="J765" s="194"/>
      <c r="K765" s="194"/>
      <c r="L765" s="184"/>
      <c r="M765" s="184"/>
      <c r="N765" s="184"/>
      <c r="O765" s="184"/>
      <c r="P765" s="184"/>
      <c r="Q765" s="184"/>
      <c r="R765" s="184"/>
      <c r="S765" s="184"/>
      <c r="T765" s="184"/>
      <c r="U765" s="184"/>
      <c r="V765" s="184"/>
      <c r="W765" s="184"/>
      <c r="X765" s="184"/>
      <c r="Y765" s="184"/>
      <c r="Z765" s="184"/>
      <c r="AA765" s="184"/>
    </row>
    <row r="766">
      <c r="A766" s="184"/>
      <c r="B766" s="184"/>
      <c r="C766" s="194"/>
      <c r="D766" s="194"/>
      <c r="E766" s="194"/>
      <c r="F766" s="194"/>
      <c r="G766" s="194"/>
      <c r="H766" s="184"/>
      <c r="I766" s="194"/>
      <c r="J766" s="194"/>
      <c r="K766" s="194"/>
      <c r="L766" s="184"/>
      <c r="M766" s="184"/>
      <c r="N766" s="184"/>
      <c r="O766" s="184"/>
      <c r="P766" s="184"/>
      <c r="Q766" s="184"/>
      <c r="R766" s="184"/>
      <c r="S766" s="184"/>
      <c r="T766" s="184"/>
      <c r="U766" s="184"/>
      <c r="V766" s="184"/>
      <c r="W766" s="184"/>
      <c r="X766" s="184"/>
      <c r="Y766" s="184"/>
      <c r="Z766" s="184"/>
      <c r="AA766" s="184"/>
    </row>
    <row r="767">
      <c r="A767" s="184"/>
      <c r="B767" s="184"/>
      <c r="C767" s="194"/>
      <c r="D767" s="194"/>
      <c r="E767" s="194"/>
      <c r="F767" s="194"/>
      <c r="G767" s="194"/>
      <c r="H767" s="184"/>
      <c r="I767" s="194"/>
      <c r="J767" s="194"/>
      <c r="K767" s="194"/>
      <c r="L767" s="184"/>
      <c r="M767" s="184"/>
      <c r="N767" s="184"/>
      <c r="O767" s="184"/>
      <c r="P767" s="184"/>
      <c r="Q767" s="184"/>
      <c r="R767" s="184"/>
      <c r="S767" s="184"/>
      <c r="T767" s="184"/>
      <c r="U767" s="184"/>
      <c r="V767" s="184"/>
      <c r="W767" s="184"/>
      <c r="X767" s="184"/>
      <c r="Y767" s="184"/>
      <c r="Z767" s="184"/>
      <c r="AA767" s="184"/>
    </row>
    <row r="768">
      <c r="A768" s="184"/>
      <c r="B768" s="184"/>
      <c r="C768" s="194"/>
      <c r="D768" s="194"/>
      <c r="E768" s="194"/>
      <c r="F768" s="194"/>
      <c r="G768" s="194"/>
      <c r="H768" s="184"/>
      <c r="I768" s="194"/>
      <c r="J768" s="194"/>
      <c r="K768" s="194"/>
      <c r="L768" s="184"/>
      <c r="M768" s="184"/>
      <c r="N768" s="184"/>
      <c r="O768" s="184"/>
      <c r="P768" s="184"/>
      <c r="Q768" s="184"/>
      <c r="R768" s="184"/>
      <c r="S768" s="184"/>
      <c r="T768" s="184"/>
      <c r="U768" s="184"/>
      <c r="V768" s="184"/>
      <c r="W768" s="184"/>
      <c r="X768" s="184"/>
      <c r="Y768" s="184"/>
      <c r="Z768" s="184"/>
      <c r="AA768" s="184"/>
    </row>
    <row r="769">
      <c r="A769" s="184"/>
      <c r="B769" s="184"/>
      <c r="C769" s="194"/>
      <c r="D769" s="194"/>
      <c r="E769" s="194"/>
      <c r="F769" s="194"/>
      <c r="G769" s="194"/>
      <c r="H769" s="184"/>
      <c r="I769" s="194"/>
      <c r="J769" s="194"/>
      <c r="K769" s="194"/>
      <c r="L769" s="184"/>
      <c r="M769" s="184"/>
      <c r="N769" s="184"/>
      <c r="O769" s="184"/>
      <c r="P769" s="184"/>
      <c r="Q769" s="184"/>
      <c r="R769" s="184"/>
      <c r="S769" s="184"/>
      <c r="T769" s="184"/>
      <c r="U769" s="184"/>
      <c r="V769" s="184"/>
      <c r="W769" s="184"/>
      <c r="X769" s="184"/>
      <c r="Y769" s="184"/>
      <c r="Z769" s="184"/>
      <c r="AA769" s="184"/>
    </row>
    <row r="770">
      <c r="A770" s="184"/>
      <c r="B770" s="184"/>
      <c r="C770" s="194"/>
      <c r="D770" s="194"/>
      <c r="E770" s="194"/>
      <c r="F770" s="194"/>
      <c r="G770" s="194"/>
      <c r="H770" s="184"/>
      <c r="I770" s="194"/>
      <c r="J770" s="194"/>
      <c r="K770" s="194"/>
      <c r="L770" s="184"/>
      <c r="M770" s="184"/>
      <c r="N770" s="184"/>
      <c r="O770" s="184"/>
      <c r="P770" s="184"/>
      <c r="Q770" s="184"/>
      <c r="R770" s="184"/>
      <c r="S770" s="184"/>
      <c r="T770" s="184"/>
      <c r="U770" s="184"/>
      <c r="V770" s="184"/>
      <c r="W770" s="184"/>
      <c r="X770" s="184"/>
      <c r="Y770" s="184"/>
      <c r="Z770" s="184"/>
      <c r="AA770" s="184"/>
    </row>
    <row r="771">
      <c r="A771" s="184"/>
      <c r="B771" s="184"/>
      <c r="C771" s="194"/>
      <c r="D771" s="194"/>
      <c r="E771" s="194"/>
      <c r="F771" s="194"/>
      <c r="G771" s="194"/>
      <c r="H771" s="184"/>
      <c r="I771" s="194"/>
      <c r="J771" s="194"/>
      <c r="K771" s="194"/>
      <c r="L771" s="184"/>
      <c r="M771" s="184"/>
      <c r="N771" s="184"/>
      <c r="O771" s="184"/>
      <c r="P771" s="184"/>
      <c r="Q771" s="184"/>
      <c r="R771" s="184"/>
      <c r="S771" s="184"/>
      <c r="T771" s="184"/>
      <c r="U771" s="184"/>
      <c r="V771" s="184"/>
      <c r="W771" s="184"/>
      <c r="X771" s="184"/>
      <c r="Y771" s="184"/>
      <c r="Z771" s="184"/>
      <c r="AA771" s="184"/>
    </row>
    <row r="772">
      <c r="A772" s="184"/>
      <c r="B772" s="184"/>
      <c r="C772" s="194"/>
      <c r="D772" s="194"/>
      <c r="E772" s="194"/>
      <c r="F772" s="194"/>
      <c r="G772" s="194"/>
      <c r="H772" s="184"/>
      <c r="I772" s="194"/>
      <c r="J772" s="194"/>
      <c r="K772" s="194"/>
      <c r="L772" s="184"/>
      <c r="M772" s="184"/>
      <c r="N772" s="184"/>
      <c r="O772" s="184"/>
      <c r="P772" s="184"/>
      <c r="Q772" s="184"/>
      <c r="R772" s="184"/>
      <c r="S772" s="184"/>
      <c r="T772" s="184"/>
      <c r="U772" s="184"/>
      <c r="V772" s="184"/>
      <c r="W772" s="184"/>
      <c r="X772" s="184"/>
      <c r="Y772" s="184"/>
      <c r="Z772" s="184"/>
      <c r="AA772" s="184"/>
    </row>
    <row r="773">
      <c r="A773" s="184"/>
      <c r="B773" s="184"/>
      <c r="C773" s="194"/>
      <c r="D773" s="194"/>
      <c r="E773" s="194"/>
      <c r="F773" s="194"/>
      <c r="G773" s="194"/>
      <c r="H773" s="184"/>
      <c r="I773" s="194"/>
      <c r="J773" s="194"/>
      <c r="K773" s="194"/>
      <c r="L773" s="184"/>
      <c r="M773" s="184"/>
      <c r="N773" s="184"/>
      <c r="O773" s="184"/>
      <c r="P773" s="184"/>
      <c r="Q773" s="184"/>
      <c r="R773" s="184"/>
      <c r="S773" s="184"/>
      <c r="T773" s="184"/>
      <c r="U773" s="184"/>
      <c r="V773" s="184"/>
      <c r="W773" s="184"/>
      <c r="X773" s="184"/>
      <c r="Y773" s="184"/>
      <c r="Z773" s="184"/>
      <c r="AA773" s="184"/>
    </row>
    <row r="774">
      <c r="A774" s="184"/>
      <c r="B774" s="184"/>
      <c r="C774" s="194"/>
      <c r="D774" s="194"/>
      <c r="E774" s="194"/>
      <c r="F774" s="194"/>
      <c r="G774" s="194"/>
      <c r="H774" s="184"/>
      <c r="I774" s="194"/>
      <c r="J774" s="194"/>
      <c r="K774" s="194"/>
      <c r="L774" s="184"/>
      <c r="M774" s="184"/>
      <c r="N774" s="184"/>
      <c r="O774" s="184"/>
      <c r="P774" s="184"/>
      <c r="Q774" s="184"/>
      <c r="R774" s="184"/>
      <c r="S774" s="184"/>
      <c r="T774" s="184"/>
      <c r="U774" s="184"/>
      <c r="V774" s="184"/>
      <c r="W774" s="184"/>
      <c r="X774" s="184"/>
      <c r="Y774" s="184"/>
      <c r="Z774" s="184"/>
      <c r="AA774" s="184"/>
    </row>
    <row r="775">
      <c r="A775" s="184"/>
      <c r="B775" s="184"/>
      <c r="C775" s="194"/>
      <c r="D775" s="194"/>
      <c r="E775" s="194"/>
      <c r="F775" s="194"/>
      <c r="G775" s="194"/>
      <c r="H775" s="184"/>
      <c r="I775" s="194"/>
      <c r="J775" s="194"/>
      <c r="K775" s="194"/>
      <c r="L775" s="184"/>
      <c r="M775" s="184"/>
      <c r="N775" s="184"/>
      <c r="O775" s="184"/>
      <c r="P775" s="184"/>
      <c r="Q775" s="184"/>
      <c r="R775" s="184"/>
      <c r="S775" s="184"/>
      <c r="T775" s="184"/>
      <c r="U775" s="184"/>
      <c r="V775" s="184"/>
      <c r="W775" s="184"/>
      <c r="X775" s="184"/>
      <c r="Y775" s="184"/>
      <c r="Z775" s="184"/>
      <c r="AA775" s="184"/>
    </row>
    <row r="776">
      <c r="A776" s="184"/>
      <c r="B776" s="184"/>
      <c r="C776" s="194"/>
      <c r="D776" s="194"/>
      <c r="E776" s="194"/>
      <c r="F776" s="194"/>
      <c r="G776" s="194"/>
      <c r="H776" s="184"/>
      <c r="I776" s="194"/>
      <c r="J776" s="194"/>
      <c r="K776" s="194"/>
      <c r="L776" s="184"/>
      <c r="M776" s="184"/>
      <c r="N776" s="184"/>
      <c r="O776" s="184"/>
      <c r="P776" s="184"/>
      <c r="Q776" s="184"/>
      <c r="R776" s="184"/>
      <c r="S776" s="184"/>
      <c r="T776" s="184"/>
      <c r="U776" s="184"/>
      <c r="V776" s="184"/>
      <c r="W776" s="184"/>
      <c r="X776" s="184"/>
      <c r="Y776" s="184"/>
      <c r="Z776" s="184"/>
      <c r="AA776" s="184"/>
    </row>
    <row r="777">
      <c r="A777" s="184"/>
      <c r="B777" s="184"/>
      <c r="C777" s="194"/>
      <c r="D777" s="194"/>
      <c r="E777" s="194"/>
      <c r="F777" s="194"/>
      <c r="G777" s="194"/>
      <c r="H777" s="184"/>
      <c r="I777" s="194"/>
      <c r="J777" s="194"/>
      <c r="K777" s="194"/>
      <c r="L777" s="184"/>
      <c r="M777" s="184"/>
      <c r="N777" s="184"/>
      <c r="O777" s="184"/>
      <c r="P777" s="184"/>
      <c r="Q777" s="184"/>
      <c r="R777" s="184"/>
      <c r="S777" s="184"/>
      <c r="T777" s="184"/>
      <c r="U777" s="184"/>
      <c r="V777" s="184"/>
      <c r="W777" s="184"/>
      <c r="X777" s="184"/>
      <c r="Y777" s="184"/>
      <c r="Z777" s="184"/>
      <c r="AA777" s="184"/>
    </row>
    <row r="778">
      <c r="A778" s="184"/>
      <c r="B778" s="184"/>
      <c r="C778" s="194"/>
      <c r="D778" s="194"/>
      <c r="E778" s="194"/>
      <c r="F778" s="194"/>
      <c r="G778" s="194"/>
      <c r="H778" s="184"/>
      <c r="I778" s="194"/>
      <c r="J778" s="194"/>
      <c r="K778" s="194"/>
      <c r="L778" s="184"/>
      <c r="M778" s="184"/>
      <c r="N778" s="184"/>
      <c r="O778" s="184"/>
      <c r="P778" s="184"/>
      <c r="Q778" s="184"/>
      <c r="R778" s="184"/>
      <c r="S778" s="184"/>
      <c r="T778" s="184"/>
      <c r="U778" s="184"/>
      <c r="V778" s="184"/>
      <c r="W778" s="184"/>
      <c r="X778" s="184"/>
      <c r="Y778" s="184"/>
      <c r="Z778" s="184"/>
      <c r="AA778" s="184"/>
    </row>
    <row r="779">
      <c r="A779" s="184"/>
      <c r="B779" s="184"/>
      <c r="C779" s="194"/>
      <c r="D779" s="194"/>
      <c r="E779" s="194"/>
      <c r="F779" s="194"/>
      <c r="G779" s="194"/>
      <c r="H779" s="184"/>
      <c r="I779" s="194"/>
      <c r="J779" s="194"/>
      <c r="K779" s="194"/>
      <c r="L779" s="184"/>
      <c r="M779" s="184"/>
      <c r="N779" s="184"/>
      <c r="O779" s="184"/>
      <c r="P779" s="184"/>
      <c r="Q779" s="184"/>
      <c r="R779" s="184"/>
      <c r="S779" s="184"/>
      <c r="T779" s="184"/>
      <c r="U779" s="184"/>
      <c r="V779" s="184"/>
      <c r="W779" s="184"/>
      <c r="X779" s="184"/>
      <c r="Y779" s="184"/>
      <c r="Z779" s="184"/>
      <c r="AA779" s="184"/>
    </row>
    <row r="780">
      <c r="A780" s="184"/>
      <c r="B780" s="184"/>
      <c r="C780" s="194"/>
      <c r="D780" s="194"/>
      <c r="E780" s="194"/>
      <c r="F780" s="194"/>
      <c r="G780" s="194"/>
      <c r="H780" s="184"/>
      <c r="I780" s="194"/>
      <c r="J780" s="194"/>
      <c r="K780" s="194"/>
      <c r="L780" s="184"/>
      <c r="M780" s="184"/>
      <c r="N780" s="184"/>
      <c r="O780" s="184"/>
      <c r="P780" s="184"/>
      <c r="Q780" s="184"/>
      <c r="R780" s="184"/>
      <c r="S780" s="184"/>
      <c r="T780" s="184"/>
      <c r="U780" s="184"/>
      <c r="V780" s="184"/>
      <c r="W780" s="184"/>
      <c r="X780" s="184"/>
      <c r="Y780" s="184"/>
      <c r="Z780" s="184"/>
      <c r="AA780" s="184"/>
    </row>
    <row r="781">
      <c r="A781" s="184"/>
      <c r="B781" s="184"/>
      <c r="C781" s="194"/>
      <c r="D781" s="194"/>
      <c r="E781" s="194"/>
      <c r="F781" s="194"/>
      <c r="G781" s="194"/>
      <c r="H781" s="184"/>
      <c r="I781" s="194"/>
      <c r="J781" s="194"/>
      <c r="K781" s="194"/>
      <c r="L781" s="184"/>
      <c r="M781" s="184"/>
      <c r="N781" s="184"/>
      <c r="O781" s="184"/>
      <c r="P781" s="184"/>
      <c r="Q781" s="184"/>
      <c r="R781" s="184"/>
      <c r="S781" s="184"/>
      <c r="T781" s="184"/>
      <c r="U781" s="184"/>
      <c r="V781" s="184"/>
      <c r="W781" s="184"/>
      <c r="X781" s="184"/>
      <c r="Y781" s="184"/>
      <c r="Z781" s="184"/>
      <c r="AA781" s="184"/>
    </row>
    <row r="782">
      <c r="A782" s="184"/>
      <c r="B782" s="184"/>
      <c r="C782" s="194"/>
      <c r="D782" s="194"/>
      <c r="E782" s="194"/>
      <c r="F782" s="194"/>
      <c r="G782" s="194"/>
      <c r="H782" s="184"/>
      <c r="I782" s="194"/>
      <c r="J782" s="194"/>
      <c r="K782" s="194"/>
      <c r="L782" s="184"/>
      <c r="M782" s="184"/>
      <c r="N782" s="184"/>
      <c r="O782" s="184"/>
      <c r="P782" s="184"/>
      <c r="Q782" s="184"/>
      <c r="R782" s="184"/>
      <c r="S782" s="184"/>
      <c r="T782" s="184"/>
      <c r="U782" s="184"/>
      <c r="V782" s="184"/>
      <c r="W782" s="184"/>
      <c r="X782" s="184"/>
      <c r="Y782" s="184"/>
      <c r="Z782" s="184"/>
      <c r="AA782" s="184"/>
    </row>
    <row r="783">
      <c r="A783" s="184"/>
      <c r="B783" s="184"/>
      <c r="C783" s="194"/>
      <c r="D783" s="194"/>
      <c r="E783" s="194"/>
      <c r="F783" s="194"/>
      <c r="G783" s="194"/>
      <c r="H783" s="184"/>
      <c r="I783" s="194"/>
      <c r="J783" s="194"/>
      <c r="K783" s="194"/>
      <c r="L783" s="184"/>
      <c r="M783" s="184"/>
      <c r="N783" s="184"/>
      <c r="O783" s="184"/>
      <c r="P783" s="184"/>
      <c r="Q783" s="184"/>
      <c r="R783" s="184"/>
      <c r="S783" s="184"/>
      <c r="T783" s="184"/>
      <c r="U783" s="184"/>
      <c r="V783" s="184"/>
      <c r="W783" s="184"/>
      <c r="X783" s="184"/>
      <c r="Y783" s="184"/>
      <c r="Z783" s="184"/>
      <c r="AA783" s="184"/>
    </row>
    <row r="784">
      <c r="A784" s="184"/>
      <c r="B784" s="184"/>
      <c r="C784" s="194"/>
      <c r="D784" s="194"/>
      <c r="E784" s="194"/>
      <c r="F784" s="194"/>
      <c r="G784" s="194"/>
      <c r="H784" s="184"/>
      <c r="I784" s="194"/>
      <c r="J784" s="194"/>
      <c r="K784" s="194"/>
      <c r="L784" s="184"/>
      <c r="M784" s="184"/>
      <c r="N784" s="184"/>
      <c r="O784" s="184"/>
      <c r="P784" s="184"/>
      <c r="Q784" s="184"/>
      <c r="R784" s="184"/>
      <c r="S784" s="184"/>
      <c r="T784" s="184"/>
      <c r="U784" s="184"/>
      <c r="V784" s="184"/>
      <c r="W784" s="184"/>
      <c r="X784" s="184"/>
      <c r="Y784" s="184"/>
      <c r="Z784" s="184"/>
      <c r="AA784" s="184"/>
    </row>
    <row r="785">
      <c r="A785" s="184"/>
      <c r="B785" s="184"/>
      <c r="C785" s="194"/>
      <c r="D785" s="194"/>
      <c r="E785" s="194"/>
      <c r="F785" s="194"/>
      <c r="G785" s="194"/>
      <c r="H785" s="184"/>
      <c r="I785" s="194"/>
      <c r="J785" s="194"/>
      <c r="K785" s="194"/>
      <c r="L785" s="184"/>
      <c r="M785" s="184"/>
      <c r="N785" s="184"/>
      <c r="O785" s="184"/>
      <c r="P785" s="184"/>
      <c r="Q785" s="184"/>
      <c r="R785" s="184"/>
      <c r="S785" s="184"/>
      <c r="T785" s="184"/>
      <c r="U785" s="184"/>
      <c r="V785" s="184"/>
      <c r="W785" s="184"/>
      <c r="X785" s="184"/>
      <c r="Y785" s="184"/>
      <c r="Z785" s="184"/>
      <c r="AA785" s="184"/>
    </row>
    <row r="786">
      <c r="A786" s="184"/>
      <c r="B786" s="184"/>
      <c r="C786" s="194"/>
      <c r="D786" s="194"/>
      <c r="E786" s="194"/>
      <c r="F786" s="194"/>
      <c r="G786" s="194"/>
      <c r="H786" s="184"/>
      <c r="I786" s="194"/>
      <c r="J786" s="194"/>
      <c r="K786" s="194"/>
      <c r="L786" s="184"/>
      <c r="M786" s="184"/>
      <c r="N786" s="184"/>
      <c r="O786" s="184"/>
      <c r="P786" s="184"/>
      <c r="Q786" s="184"/>
      <c r="R786" s="184"/>
      <c r="S786" s="184"/>
      <c r="T786" s="184"/>
      <c r="U786" s="184"/>
      <c r="V786" s="184"/>
      <c r="W786" s="184"/>
      <c r="X786" s="184"/>
      <c r="Y786" s="184"/>
      <c r="Z786" s="184"/>
      <c r="AA786" s="184"/>
    </row>
    <row r="787">
      <c r="A787" s="184"/>
      <c r="B787" s="184"/>
      <c r="C787" s="194"/>
      <c r="D787" s="194"/>
      <c r="E787" s="194"/>
      <c r="F787" s="194"/>
      <c r="G787" s="194"/>
      <c r="H787" s="184"/>
      <c r="I787" s="194"/>
      <c r="J787" s="194"/>
      <c r="K787" s="194"/>
      <c r="L787" s="184"/>
      <c r="M787" s="184"/>
      <c r="N787" s="184"/>
      <c r="O787" s="184"/>
      <c r="P787" s="184"/>
      <c r="Q787" s="184"/>
      <c r="R787" s="184"/>
      <c r="S787" s="184"/>
      <c r="T787" s="184"/>
      <c r="U787" s="184"/>
      <c r="V787" s="184"/>
      <c r="W787" s="184"/>
      <c r="X787" s="184"/>
      <c r="Y787" s="184"/>
      <c r="Z787" s="184"/>
      <c r="AA787" s="184"/>
    </row>
    <row r="788">
      <c r="A788" s="184"/>
      <c r="B788" s="184"/>
      <c r="C788" s="194"/>
      <c r="D788" s="194"/>
      <c r="E788" s="194"/>
      <c r="F788" s="194"/>
      <c r="G788" s="194"/>
      <c r="H788" s="184"/>
      <c r="I788" s="194"/>
      <c r="J788" s="194"/>
      <c r="K788" s="194"/>
      <c r="L788" s="184"/>
      <c r="M788" s="184"/>
      <c r="N788" s="184"/>
      <c r="O788" s="184"/>
      <c r="P788" s="184"/>
      <c r="Q788" s="184"/>
      <c r="R788" s="184"/>
      <c r="S788" s="184"/>
      <c r="T788" s="184"/>
      <c r="U788" s="184"/>
      <c r="V788" s="184"/>
      <c r="W788" s="184"/>
      <c r="X788" s="184"/>
      <c r="Y788" s="184"/>
      <c r="Z788" s="184"/>
      <c r="AA788" s="184"/>
    </row>
    <row r="789">
      <c r="A789" s="184"/>
      <c r="B789" s="184"/>
      <c r="C789" s="194"/>
      <c r="D789" s="194"/>
      <c r="E789" s="194"/>
      <c r="F789" s="194"/>
      <c r="G789" s="194"/>
      <c r="H789" s="184"/>
      <c r="I789" s="194"/>
      <c r="J789" s="194"/>
      <c r="K789" s="194"/>
      <c r="L789" s="184"/>
      <c r="M789" s="184"/>
      <c r="N789" s="184"/>
      <c r="O789" s="184"/>
      <c r="P789" s="184"/>
      <c r="Q789" s="184"/>
      <c r="R789" s="184"/>
      <c r="S789" s="184"/>
      <c r="T789" s="184"/>
      <c r="U789" s="184"/>
      <c r="V789" s="184"/>
      <c r="W789" s="184"/>
      <c r="X789" s="184"/>
      <c r="Y789" s="184"/>
      <c r="Z789" s="184"/>
      <c r="AA789" s="184"/>
    </row>
    <row r="790">
      <c r="A790" s="184"/>
      <c r="B790" s="184"/>
      <c r="C790" s="194"/>
      <c r="D790" s="194"/>
      <c r="E790" s="194"/>
      <c r="F790" s="194"/>
      <c r="G790" s="194"/>
      <c r="H790" s="184"/>
      <c r="I790" s="194"/>
      <c r="J790" s="194"/>
      <c r="K790" s="194"/>
      <c r="L790" s="184"/>
      <c r="M790" s="184"/>
      <c r="N790" s="184"/>
      <c r="O790" s="184"/>
      <c r="P790" s="184"/>
      <c r="Q790" s="184"/>
      <c r="R790" s="184"/>
      <c r="S790" s="184"/>
      <c r="T790" s="184"/>
      <c r="U790" s="184"/>
      <c r="V790" s="184"/>
      <c r="W790" s="184"/>
      <c r="X790" s="184"/>
      <c r="Y790" s="184"/>
      <c r="Z790" s="184"/>
      <c r="AA790" s="184"/>
    </row>
    <row r="791">
      <c r="A791" s="184"/>
      <c r="B791" s="184"/>
      <c r="C791" s="194"/>
      <c r="D791" s="194"/>
      <c r="E791" s="194"/>
      <c r="F791" s="194"/>
      <c r="G791" s="194"/>
      <c r="H791" s="184"/>
      <c r="I791" s="194"/>
      <c r="J791" s="194"/>
      <c r="K791" s="194"/>
      <c r="L791" s="184"/>
      <c r="M791" s="184"/>
      <c r="N791" s="184"/>
      <c r="O791" s="184"/>
      <c r="P791" s="184"/>
      <c r="Q791" s="184"/>
      <c r="R791" s="184"/>
      <c r="S791" s="184"/>
      <c r="T791" s="184"/>
      <c r="U791" s="184"/>
      <c r="V791" s="184"/>
      <c r="W791" s="184"/>
      <c r="X791" s="184"/>
      <c r="Y791" s="184"/>
      <c r="Z791" s="184"/>
      <c r="AA791" s="184"/>
    </row>
    <row r="792">
      <c r="A792" s="184"/>
      <c r="B792" s="184"/>
      <c r="C792" s="194"/>
      <c r="D792" s="194"/>
      <c r="E792" s="194"/>
      <c r="F792" s="194"/>
      <c r="G792" s="194"/>
      <c r="H792" s="184"/>
      <c r="I792" s="194"/>
      <c r="J792" s="194"/>
      <c r="K792" s="194"/>
      <c r="L792" s="184"/>
      <c r="M792" s="184"/>
      <c r="N792" s="184"/>
      <c r="O792" s="184"/>
      <c r="P792" s="184"/>
      <c r="Q792" s="184"/>
      <c r="R792" s="184"/>
      <c r="S792" s="184"/>
      <c r="T792" s="184"/>
      <c r="U792" s="184"/>
      <c r="V792" s="184"/>
      <c r="W792" s="184"/>
      <c r="X792" s="184"/>
      <c r="Y792" s="184"/>
      <c r="Z792" s="184"/>
      <c r="AA792" s="184"/>
    </row>
    <row r="793">
      <c r="A793" s="184"/>
      <c r="B793" s="184"/>
      <c r="C793" s="194"/>
      <c r="D793" s="194"/>
      <c r="E793" s="194"/>
      <c r="F793" s="194"/>
      <c r="G793" s="194"/>
      <c r="H793" s="184"/>
      <c r="I793" s="194"/>
      <c r="J793" s="194"/>
      <c r="K793" s="194"/>
      <c r="L793" s="184"/>
      <c r="M793" s="184"/>
      <c r="N793" s="184"/>
      <c r="O793" s="184"/>
      <c r="P793" s="184"/>
      <c r="Q793" s="184"/>
      <c r="R793" s="184"/>
      <c r="S793" s="184"/>
      <c r="T793" s="184"/>
      <c r="U793" s="184"/>
      <c r="V793" s="184"/>
      <c r="W793" s="184"/>
      <c r="X793" s="184"/>
      <c r="Y793" s="184"/>
      <c r="Z793" s="184"/>
      <c r="AA793" s="184"/>
    </row>
    <row r="794">
      <c r="A794" s="184"/>
      <c r="B794" s="184"/>
      <c r="C794" s="194"/>
      <c r="D794" s="194"/>
      <c r="E794" s="194"/>
      <c r="F794" s="194"/>
      <c r="G794" s="194"/>
      <c r="H794" s="184"/>
      <c r="I794" s="194"/>
      <c r="J794" s="194"/>
      <c r="K794" s="194"/>
      <c r="L794" s="184"/>
      <c r="M794" s="184"/>
      <c r="N794" s="184"/>
      <c r="O794" s="184"/>
      <c r="P794" s="184"/>
      <c r="Q794" s="184"/>
      <c r="R794" s="184"/>
      <c r="S794" s="184"/>
      <c r="T794" s="184"/>
      <c r="U794" s="184"/>
      <c r="V794" s="184"/>
      <c r="W794" s="184"/>
      <c r="X794" s="184"/>
      <c r="Y794" s="184"/>
      <c r="Z794" s="184"/>
      <c r="AA794" s="184"/>
    </row>
    <row r="795">
      <c r="A795" s="184"/>
      <c r="B795" s="184"/>
      <c r="C795" s="194"/>
      <c r="D795" s="194"/>
      <c r="E795" s="194"/>
      <c r="F795" s="194"/>
      <c r="G795" s="194"/>
      <c r="H795" s="184"/>
      <c r="I795" s="194"/>
      <c r="J795" s="194"/>
      <c r="K795" s="194"/>
      <c r="L795" s="184"/>
      <c r="M795" s="184"/>
      <c r="N795" s="184"/>
      <c r="O795" s="184"/>
      <c r="P795" s="184"/>
      <c r="Q795" s="184"/>
      <c r="R795" s="184"/>
      <c r="S795" s="184"/>
      <c r="T795" s="184"/>
      <c r="U795" s="184"/>
      <c r="V795" s="184"/>
      <c r="W795" s="184"/>
      <c r="X795" s="184"/>
      <c r="Y795" s="184"/>
      <c r="Z795" s="184"/>
      <c r="AA795" s="184"/>
    </row>
    <row r="796">
      <c r="A796" s="184"/>
      <c r="B796" s="184"/>
      <c r="C796" s="194"/>
      <c r="D796" s="194"/>
      <c r="E796" s="194"/>
      <c r="F796" s="194"/>
      <c r="G796" s="194"/>
      <c r="H796" s="184"/>
      <c r="I796" s="194"/>
      <c r="J796" s="194"/>
      <c r="K796" s="194"/>
      <c r="L796" s="184"/>
      <c r="M796" s="184"/>
      <c r="N796" s="184"/>
      <c r="O796" s="184"/>
      <c r="P796" s="184"/>
      <c r="Q796" s="184"/>
      <c r="R796" s="184"/>
      <c r="S796" s="184"/>
      <c r="T796" s="184"/>
      <c r="U796" s="184"/>
      <c r="V796" s="184"/>
      <c r="W796" s="184"/>
      <c r="X796" s="184"/>
      <c r="Y796" s="184"/>
      <c r="Z796" s="184"/>
      <c r="AA796" s="184"/>
    </row>
    <row r="797">
      <c r="A797" s="184"/>
      <c r="B797" s="184"/>
      <c r="C797" s="194"/>
      <c r="D797" s="194"/>
      <c r="E797" s="194"/>
      <c r="F797" s="194"/>
      <c r="G797" s="194"/>
      <c r="H797" s="184"/>
      <c r="I797" s="194"/>
      <c r="J797" s="194"/>
      <c r="K797" s="194"/>
      <c r="L797" s="184"/>
      <c r="M797" s="184"/>
      <c r="N797" s="184"/>
      <c r="O797" s="184"/>
      <c r="P797" s="184"/>
      <c r="Q797" s="184"/>
      <c r="R797" s="184"/>
      <c r="S797" s="184"/>
      <c r="T797" s="184"/>
      <c r="U797" s="184"/>
      <c r="V797" s="184"/>
      <c r="W797" s="184"/>
      <c r="X797" s="184"/>
      <c r="Y797" s="184"/>
      <c r="Z797" s="184"/>
      <c r="AA797" s="184"/>
    </row>
    <row r="798">
      <c r="A798" s="184"/>
      <c r="B798" s="184"/>
      <c r="C798" s="194"/>
      <c r="D798" s="194"/>
      <c r="E798" s="194"/>
      <c r="F798" s="194"/>
      <c r="G798" s="194"/>
      <c r="H798" s="184"/>
      <c r="I798" s="194"/>
      <c r="J798" s="194"/>
      <c r="K798" s="194"/>
      <c r="L798" s="184"/>
      <c r="M798" s="184"/>
      <c r="N798" s="184"/>
      <c r="O798" s="184"/>
      <c r="P798" s="184"/>
      <c r="Q798" s="184"/>
      <c r="R798" s="184"/>
      <c r="S798" s="184"/>
      <c r="T798" s="184"/>
      <c r="U798" s="184"/>
      <c r="V798" s="184"/>
      <c r="W798" s="184"/>
      <c r="X798" s="184"/>
      <c r="Y798" s="184"/>
      <c r="Z798" s="184"/>
      <c r="AA798" s="184"/>
    </row>
    <row r="799">
      <c r="A799" s="184"/>
      <c r="B799" s="184"/>
      <c r="C799" s="194"/>
      <c r="D799" s="194"/>
      <c r="E799" s="194"/>
      <c r="F799" s="194"/>
      <c r="G799" s="194"/>
      <c r="H799" s="184"/>
      <c r="I799" s="194"/>
      <c r="J799" s="194"/>
      <c r="K799" s="194"/>
      <c r="L799" s="184"/>
      <c r="M799" s="184"/>
      <c r="N799" s="184"/>
      <c r="O799" s="184"/>
      <c r="P799" s="184"/>
      <c r="Q799" s="184"/>
      <c r="R799" s="184"/>
      <c r="S799" s="184"/>
      <c r="T799" s="184"/>
      <c r="U799" s="184"/>
      <c r="V799" s="184"/>
      <c r="W799" s="184"/>
      <c r="X799" s="184"/>
      <c r="Y799" s="184"/>
      <c r="Z799" s="184"/>
      <c r="AA799" s="184"/>
    </row>
    <row r="800">
      <c r="A800" s="184"/>
      <c r="B800" s="184"/>
      <c r="C800" s="194"/>
      <c r="D800" s="194"/>
      <c r="E800" s="194"/>
      <c r="F800" s="194"/>
      <c r="G800" s="194"/>
      <c r="H800" s="184"/>
      <c r="I800" s="194"/>
      <c r="J800" s="194"/>
      <c r="K800" s="194"/>
      <c r="L800" s="184"/>
      <c r="M800" s="184"/>
      <c r="N800" s="184"/>
      <c r="O800" s="184"/>
      <c r="P800" s="184"/>
      <c r="Q800" s="184"/>
      <c r="R800" s="184"/>
      <c r="S800" s="184"/>
      <c r="T800" s="184"/>
      <c r="U800" s="184"/>
      <c r="V800" s="184"/>
      <c r="W800" s="184"/>
      <c r="X800" s="184"/>
      <c r="Y800" s="184"/>
      <c r="Z800" s="184"/>
      <c r="AA800" s="184"/>
    </row>
    <row r="801">
      <c r="A801" s="184"/>
      <c r="B801" s="184"/>
      <c r="C801" s="194"/>
      <c r="D801" s="194"/>
      <c r="E801" s="194"/>
      <c r="F801" s="194"/>
      <c r="G801" s="194"/>
      <c r="H801" s="184"/>
      <c r="I801" s="194"/>
      <c r="J801" s="194"/>
      <c r="K801" s="194"/>
      <c r="L801" s="184"/>
      <c r="M801" s="184"/>
      <c r="N801" s="184"/>
      <c r="O801" s="184"/>
      <c r="P801" s="184"/>
      <c r="Q801" s="184"/>
      <c r="R801" s="184"/>
      <c r="S801" s="184"/>
      <c r="T801" s="184"/>
      <c r="U801" s="184"/>
      <c r="V801" s="184"/>
      <c r="W801" s="184"/>
      <c r="X801" s="184"/>
      <c r="Y801" s="184"/>
      <c r="Z801" s="184"/>
      <c r="AA801" s="184"/>
    </row>
    <row r="802">
      <c r="A802" s="184"/>
      <c r="B802" s="184"/>
      <c r="C802" s="194"/>
      <c r="D802" s="194"/>
      <c r="E802" s="194"/>
      <c r="F802" s="194"/>
      <c r="G802" s="194"/>
      <c r="H802" s="184"/>
      <c r="I802" s="194"/>
      <c r="J802" s="194"/>
      <c r="K802" s="194"/>
      <c r="L802" s="184"/>
      <c r="M802" s="184"/>
      <c r="N802" s="184"/>
      <c r="O802" s="184"/>
      <c r="P802" s="184"/>
      <c r="Q802" s="184"/>
      <c r="R802" s="184"/>
      <c r="S802" s="184"/>
      <c r="T802" s="184"/>
      <c r="U802" s="184"/>
      <c r="V802" s="184"/>
      <c r="W802" s="184"/>
      <c r="X802" s="184"/>
      <c r="Y802" s="184"/>
      <c r="Z802" s="184"/>
      <c r="AA802" s="184"/>
    </row>
    <row r="803">
      <c r="A803" s="184"/>
      <c r="B803" s="184"/>
      <c r="C803" s="194"/>
      <c r="D803" s="194"/>
      <c r="E803" s="194"/>
      <c r="F803" s="194"/>
      <c r="G803" s="194"/>
      <c r="H803" s="184"/>
      <c r="I803" s="194"/>
      <c r="J803" s="194"/>
      <c r="K803" s="194"/>
      <c r="L803" s="184"/>
      <c r="M803" s="184"/>
      <c r="N803" s="184"/>
      <c r="O803" s="184"/>
      <c r="P803" s="184"/>
      <c r="Q803" s="184"/>
      <c r="R803" s="184"/>
      <c r="S803" s="184"/>
      <c r="T803" s="184"/>
      <c r="U803" s="184"/>
      <c r="V803" s="184"/>
      <c r="W803" s="184"/>
      <c r="X803" s="184"/>
      <c r="Y803" s="184"/>
      <c r="Z803" s="184"/>
      <c r="AA803" s="184"/>
    </row>
    <row r="804">
      <c r="A804" s="184"/>
      <c r="B804" s="184"/>
      <c r="C804" s="194"/>
      <c r="D804" s="194"/>
      <c r="E804" s="194"/>
      <c r="F804" s="194"/>
      <c r="G804" s="194"/>
      <c r="H804" s="184"/>
      <c r="I804" s="194"/>
      <c r="J804" s="194"/>
      <c r="K804" s="194"/>
      <c r="L804" s="184"/>
      <c r="M804" s="184"/>
      <c r="N804" s="184"/>
      <c r="O804" s="184"/>
      <c r="P804" s="184"/>
      <c r="Q804" s="184"/>
      <c r="R804" s="184"/>
      <c r="S804" s="184"/>
      <c r="T804" s="184"/>
      <c r="U804" s="184"/>
      <c r="V804" s="184"/>
      <c r="W804" s="184"/>
      <c r="X804" s="184"/>
      <c r="Y804" s="184"/>
      <c r="Z804" s="184"/>
      <c r="AA804" s="184"/>
    </row>
    <row r="805">
      <c r="A805" s="184"/>
      <c r="B805" s="184"/>
      <c r="C805" s="194"/>
      <c r="D805" s="194"/>
      <c r="E805" s="194"/>
      <c r="F805" s="194"/>
      <c r="G805" s="194"/>
      <c r="H805" s="184"/>
      <c r="I805" s="194"/>
      <c r="J805" s="194"/>
      <c r="K805" s="194"/>
      <c r="L805" s="184"/>
      <c r="M805" s="184"/>
      <c r="N805" s="184"/>
      <c r="O805" s="184"/>
      <c r="P805" s="184"/>
      <c r="Q805" s="184"/>
      <c r="R805" s="184"/>
      <c r="S805" s="184"/>
      <c r="T805" s="184"/>
      <c r="U805" s="184"/>
      <c r="V805" s="184"/>
      <c r="W805" s="184"/>
      <c r="X805" s="184"/>
      <c r="Y805" s="184"/>
      <c r="Z805" s="184"/>
      <c r="AA805" s="184"/>
    </row>
    <row r="806">
      <c r="A806" s="184"/>
      <c r="B806" s="184"/>
      <c r="C806" s="194"/>
      <c r="D806" s="194"/>
      <c r="E806" s="194"/>
      <c r="F806" s="194"/>
      <c r="G806" s="194"/>
      <c r="H806" s="184"/>
      <c r="I806" s="194"/>
      <c r="J806" s="194"/>
      <c r="K806" s="194"/>
      <c r="L806" s="184"/>
      <c r="M806" s="184"/>
      <c r="N806" s="184"/>
      <c r="O806" s="184"/>
      <c r="P806" s="184"/>
      <c r="Q806" s="184"/>
      <c r="R806" s="184"/>
      <c r="S806" s="184"/>
      <c r="T806" s="184"/>
      <c r="U806" s="184"/>
      <c r="V806" s="184"/>
      <c r="W806" s="184"/>
      <c r="X806" s="184"/>
      <c r="Y806" s="184"/>
      <c r="Z806" s="184"/>
      <c r="AA806" s="184"/>
    </row>
    <row r="807">
      <c r="A807" s="184"/>
      <c r="B807" s="184"/>
      <c r="C807" s="194"/>
      <c r="D807" s="194"/>
      <c r="E807" s="194"/>
      <c r="F807" s="194"/>
      <c r="G807" s="194"/>
      <c r="H807" s="184"/>
      <c r="I807" s="194"/>
      <c r="J807" s="194"/>
      <c r="K807" s="194"/>
      <c r="L807" s="184"/>
      <c r="M807" s="184"/>
      <c r="N807" s="184"/>
      <c r="O807" s="184"/>
      <c r="P807" s="184"/>
      <c r="Q807" s="184"/>
      <c r="R807" s="184"/>
      <c r="S807" s="184"/>
      <c r="T807" s="184"/>
      <c r="U807" s="184"/>
      <c r="V807" s="184"/>
      <c r="W807" s="184"/>
      <c r="X807" s="184"/>
      <c r="Y807" s="184"/>
      <c r="Z807" s="184"/>
      <c r="AA807" s="184"/>
    </row>
    <row r="808">
      <c r="A808" s="184"/>
      <c r="B808" s="184"/>
      <c r="C808" s="194"/>
      <c r="D808" s="194"/>
      <c r="E808" s="194"/>
      <c r="F808" s="194"/>
      <c r="G808" s="194"/>
      <c r="H808" s="184"/>
      <c r="I808" s="194"/>
      <c r="J808" s="194"/>
      <c r="K808" s="194"/>
      <c r="L808" s="184"/>
      <c r="M808" s="184"/>
      <c r="N808" s="184"/>
      <c r="O808" s="184"/>
      <c r="P808" s="184"/>
      <c r="Q808" s="184"/>
      <c r="R808" s="184"/>
      <c r="S808" s="184"/>
      <c r="T808" s="184"/>
      <c r="U808" s="184"/>
      <c r="V808" s="184"/>
      <c r="W808" s="184"/>
      <c r="X808" s="184"/>
      <c r="Y808" s="184"/>
      <c r="Z808" s="184"/>
      <c r="AA808" s="184"/>
    </row>
    <row r="809">
      <c r="A809" s="184"/>
      <c r="B809" s="184"/>
      <c r="C809" s="194"/>
      <c r="D809" s="194"/>
      <c r="E809" s="194"/>
      <c r="F809" s="194"/>
      <c r="G809" s="194"/>
      <c r="H809" s="184"/>
      <c r="I809" s="194"/>
      <c r="J809" s="194"/>
      <c r="K809" s="194"/>
      <c r="L809" s="184"/>
      <c r="M809" s="184"/>
      <c r="N809" s="184"/>
      <c r="O809" s="184"/>
      <c r="P809" s="184"/>
      <c r="Q809" s="184"/>
      <c r="R809" s="184"/>
      <c r="S809" s="184"/>
      <c r="T809" s="184"/>
      <c r="U809" s="184"/>
      <c r="V809" s="184"/>
      <c r="W809" s="184"/>
      <c r="X809" s="184"/>
      <c r="Y809" s="184"/>
      <c r="Z809" s="184"/>
      <c r="AA809" s="184"/>
    </row>
    <row r="810">
      <c r="A810" s="184"/>
      <c r="B810" s="184"/>
      <c r="C810" s="194"/>
      <c r="D810" s="194"/>
      <c r="E810" s="194"/>
      <c r="F810" s="194"/>
      <c r="G810" s="194"/>
      <c r="H810" s="184"/>
      <c r="I810" s="194"/>
      <c r="J810" s="194"/>
      <c r="K810" s="194"/>
      <c r="L810" s="184"/>
      <c r="M810" s="184"/>
      <c r="N810" s="184"/>
      <c r="O810" s="184"/>
      <c r="P810" s="184"/>
      <c r="Q810" s="184"/>
      <c r="R810" s="184"/>
      <c r="S810" s="184"/>
      <c r="T810" s="184"/>
      <c r="U810" s="184"/>
      <c r="V810" s="184"/>
      <c r="W810" s="184"/>
      <c r="X810" s="184"/>
      <c r="Y810" s="184"/>
      <c r="Z810" s="184"/>
      <c r="AA810" s="184"/>
    </row>
    <row r="811">
      <c r="A811" s="184"/>
      <c r="B811" s="184"/>
      <c r="C811" s="194"/>
      <c r="D811" s="194"/>
      <c r="E811" s="194"/>
      <c r="F811" s="194"/>
      <c r="G811" s="194"/>
      <c r="H811" s="184"/>
      <c r="I811" s="194"/>
      <c r="J811" s="194"/>
      <c r="K811" s="194"/>
      <c r="L811" s="184"/>
      <c r="M811" s="184"/>
      <c r="N811" s="184"/>
      <c r="O811" s="184"/>
      <c r="P811" s="184"/>
      <c r="Q811" s="184"/>
      <c r="R811" s="184"/>
      <c r="S811" s="184"/>
      <c r="T811" s="184"/>
      <c r="U811" s="184"/>
      <c r="V811" s="184"/>
      <c r="W811" s="184"/>
      <c r="X811" s="184"/>
      <c r="Y811" s="184"/>
      <c r="Z811" s="184"/>
      <c r="AA811" s="184"/>
    </row>
    <row r="812">
      <c r="A812" s="184"/>
      <c r="B812" s="184"/>
      <c r="C812" s="194"/>
      <c r="D812" s="194"/>
      <c r="E812" s="194"/>
      <c r="F812" s="194"/>
      <c r="G812" s="194"/>
      <c r="H812" s="184"/>
      <c r="I812" s="194"/>
      <c r="J812" s="194"/>
      <c r="K812" s="194"/>
      <c r="L812" s="184"/>
      <c r="M812" s="184"/>
      <c r="N812" s="184"/>
      <c r="O812" s="184"/>
      <c r="P812" s="184"/>
      <c r="Q812" s="184"/>
      <c r="R812" s="184"/>
      <c r="S812" s="184"/>
      <c r="T812" s="184"/>
      <c r="U812" s="184"/>
      <c r="V812" s="184"/>
      <c r="W812" s="184"/>
      <c r="X812" s="184"/>
      <c r="Y812" s="184"/>
      <c r="Z812" s="184"/>
      <c r="AA812" s="184"/>
    </row>
    <row r="813">
      <c r="A813" s="184"/>
      <c r="B813" s="184"/>
      <c r="C813" s="194"/>
      <c r="D813" s="194"/>
      <c r="E813" s="194"/>
      <c r="F813" s="194"/>
      <c r="G813" s="194"/>
      <c r="H813" s="184"/>
      <c r="I813" s="194"/>
      <c r="J813" s="194"/>
      <c r="K813" s="194"/>
      <c r="L813" s="184"/>
      <c r="M813" s="184"/>
      <c r="N813" s="184"/>
      <c r="O813" s="184"/>
      <c r="P813" s="184"/>
      <c r="Q813" s="184"/>
      <c r="R813" s="184"/>
      <c r="S813" s="184"/>
      <c r="T813" s="184"/>
      <c r="U813" s="184"/>
      <c r="V813" s="184"/>
      <c r="W813" s="184"/>
      <c r="X813" s="184"/>
      <c r="Y813" s="184"/>
      <c r="Z813" s="184"/>
      <c r="AA813" s="184"/>
    </row>
    <row r="814">
      <c r="A814" s="184"/>
      <c r="B814" s="184"/>
      <c r="C814" s="194"/>
      <c r="D814" s="194"/>
      <c r="E814" s="194"/>
      <c r="F814" s="194"/>
      <c r="G814" s="194"/>
      <c r="H814" s="184"/>
      <c r="I814" s="194"/>
      <c r="J814" s="194"/>
      <c r="K814" s="194"/>
      <c r="L814" s="184"/>
      <c r="M814" s="184"/>
      <c r="N814" s="184"/>
      <c r="O814" s="184"/>
      <c r="P814" s="184"/>
      <c r="Q814" s="184"/>
      <c r="R814" s="184"/>
      <c r="S814" s="184"/>
      <c r="T814" s="184"/>
      <c r="U814" s="184"/>
      <c r="V814" s="184"/>
      <c r="W814" s="184"/>
      <c r="X814" s="184"/>
      <c r="Y814" s="184"/>
      <c r="Z814" s="184"/>
      <c r="AA814" s="184"/>
    </row>
    <row r="815">
      <c r="A815" s="184"/>
      <c r="B815" s="184"/>
      <c r="C815" s="194"/>
      <c r="D815" s="194"/>
      <c r="E815" s="194"/>
      <c r="F815" s="194"/>
      <c r="G815" s="194"/>
      <c r="H815" s="184"/>
      <c r="I815" s="194"/>
      <c r="J815" s="194"/>
      <c r="K815" s="194"/>
      <c r="L815" s="184"/>
      <c r="M815" s="184"/>
      <c r="N815" s="184"/>
      <c r="O815" s="184"/>
      <c r="P815" s="184"/>
      <c r="Q815" s="184"/>
      <c r="R815" s="184"/>
      <c r="S815" s="184"/>
      <c r="T815" s="184"/>
      <c r="U815" s="184"/>
      <c r="V815" s="184"/>
      <c r="W815" s="184"/>
      <c r="X815" s="184"/>
      <c r="Y815" s="184"/>
      <c r="Z815" s="184"/>
      <c r="AA815" s="184"/>
    </row>
    <row r="816">
      <c r="A816" s="184"/>
      <c r="B816" s="184"/>
      <c r="C816" s="194"/>
      <c r="D816" s="194"/>
      <c r="E816" s="194"/>
      <c r="F816" s="194"/>
      <c r="G816" s="194"/>
      <c r="H816" s="184"/>
      <c r="I816" s="194"/>
      <c r="J816" s="194"/>
      <c r="K816" s="194"/>
      <c r="L816" s="184"/>
      <c r="M816" s="184"/>
      <c r="N816" s="184"/>
      <c r="O816" s="184"/>
      <c r="P816" s="184"/>
      <c r="Q816" s="184"/>
      <c r="R816" s="184"/>
      <c r="S816" s="184"/>
      <c r="T816" s="184"/>
      <c r="U816" s="184"/>
      <c r="V816" s="184"/>
      <c r="W816" s="184"/>
      <c r="X816" s="184"/>
      <c r="Y816" s="184"/>
      <c r="Z816" s="184"/>
      <c r="AA816" s="184"/>
    </row>
    <row r="817">
      <c r="A817" s="184"/>
      <c r="B817" s="184"/>
      <c r="C817" s="194"/>
      <c r="D817" s="194"/>
      <c r="E817" s="194"/>
      <c r="F817" s="194"/>
      <c r="G817" s="194"/>
      <c r="H817" s="184"/>
      <c r="I817" s="194"/>
      <c r="J817" s="194"/>
      <c r="K817" s="194"/>
      <c r="L817" s="184"/>
      <c r="M817" s="184"/>
      <c r="N817" s="184"/>
      <c r="O817" s="184"/>
      <c r="P817" s="184"/>
      <c r="Q817" s="184"/>
      <c r="R817" s="184"/>
      <c r="S817" s="184"/>
      <c r="T817" s="184"/>
      <c r="U817" s="184"/>
      <c r="V817" s="184"/>
      <c r="W817" s="184"/>
      <c r="X817" s="184"/>
      <c r="Y817" s="184"/>
      <c r="Z817" s="184"/>
      <c r="AA817" s="184"/>
    </row>
    <row r="818">
      <c r="A818" s="184"/>
      <c r="B818" s="184"/>
      <c r="C818" s="194"/>
      <c r="D818" s="194"/>
      <c r="E818" s="194"/>
      <c r="F818" s="194"/>
      <c r="G818" s="194"/>
      <c r="H818" s="184"/>
      <c r="I818" s="194"/>
      <c r="J818" s="194"/>
      <c r="K818" s="194"/>
      <c r="L818" s="184"/>
      <c r="M818" s="184"/>
      <c r="N818" s="184"/>
      <c r="O818" s="184"/>
      <c r="P818" s="184"/>
      <c r="Q818" s="184"/>
      <c r="R818" s="184"/>
      <c r="S818" s="184"/>
      <c r="T818" s="184"/>
      <c r="U818" s="184"/>
      <c r="V818" s="184"/>
      <c r="W818" s="184"/>
      <c r="X818" s="184"/>
      <c r="Y818" s="184"/>
      <c r="Z818" s="184"/>
      <c r="AA818" s="184"/>
    </row>
    <row r="819">
      <c r="A819" s="184"/>
      <c r="B819" s="184"/>
      <c r="C819" s="194"/>
      <c r="D819" s="194"/>
      <c r="E819" s="194"/>
      <c r="F819" s="194"/>
      <c r="G819" s="194"/>
      <c r="H819" s="184"/>
      <c r="I819" s="194"/>
      <c r="J819" s="194"/>
      <c r="K819" s="194"/>
      <c r="L819" s="184"/>
      <c r="M819" s="184"/>
      <c r="N819" s="184"/>
      <c r="O819" s="184"/>
      <c r="P819" s="184"/>
      <c r="Q819" s="184"/>
      <c r="R819" s="184"/>
      <c r="S819" s="184"/>
      <c r="T819" s="184"/>
      <c r="U819" s="184"/>
      <c r="V819" s="184"/>
      <c r="W819" s="184"/>
      <c r="X819" s="184"/>
      <c r="Y819" s="184"/>
      <c r="Z819" s="184"/>
      <c r="AA819" s="184"/>
    </row>
    <row r="820">
      <c r="A820" s="184"/>
      <c r="B820" s="184"/>
      <c r="C820" s="194"/>
      <c r="D820" s="194"/>
      <c r="E820" s="194"/>
      <c r="F820" s="194"/>
      <c r="G820" s="194"/>
      <c r="H820" s="184"/>
      <c r="I820" s="194"/>
      <c r="J820" s="194"/>
      <c r="K820" s="194"/>
      <c r="L820" s="184"/>
      <c r="M820" s="184"/>
      <c r="N820" s="184"/>
      <c r="O820" s="184"/>
      <c r="P820" s="184"/>
      <c r="Q820" s="184"/>
      <c r="R820" s="184"/>
      <c r="S820" s="184"/>
      <c r="T820" s="184"/>
      <c r="U820" s="184"/>
      <c r="V820" s="184"/>
      <c r="W820" s="184"/>
      <c r="X820" s="184"/>
      <c r="Y820" s="184"/>
      <c r="Z820" s="184"/>
      <c r="AA820" s="184"/>
    </row>
    <row r="821">
      <c r="A821" s="184"/>
      <c r="B821" s="184"/>
      <c r="C821" s="194"/>
      <c r="D821" s="194"/>
      <c r="E821" s="194"/>
      <c r="F821" s="194"/>
      <c r="G821" s="194"/>
      <c r="H821" s="184"/>
      <c r="I821" s="194"/>
      <c r="J821" s="194"/>
      <c r="K821" s="194"/>
      <c r="L821" s="184"/>
      <c r="M821" s="184"/>
      <c r="N821" s="184"/>
      <c r="O821" s="184"/>
      <c r="P821" s="184"/>
      <c r="Q821" s="184"/>
      <c r="R821" s="184"/>
      <c r="S821" s="184"/>
      <c r="T821" s="184"/>
      <c r="U821" s="184"/>
      <c r="V821" s="184"/>
      <c r="W821" s="184"/>
      <c r="X821" s="184"/>
      <c r="Y821" s="184"/>
      <c r="Z821" s="184"/>
      <c r="AA821" s="184"/>
    </row>
    <row r="822">
      <c r="A822" s="184"/>
      <c r="B822" s="184"/>
      <c r="C822" s="194"/>
      <c r="D822" s="194"/>
      <c r="E822" s="194"/>
      <c r="F822" s="194"/>
      <c r="G822" s="194"/>
      <c r="H822" s="184"/>
      <c r="I822" s="194"/>
      <c r="J822" s="194"/>
      <c r="K822" s="194"/>
      <c r="L822" s="184"/>
      <c r="M822" s="184"/>
      <c r="N822" s="184"/>
      <c r="O822" s="184"/>
      <c r="P822" s="184"/>
      <c r="Q822" s="184"/>
      <c r="R822" s="184"/>
      <c r="S822" s="184"/>
      <c r="T822" s="184"/>
      <c r="U822" s="184"/>
      <c r="V822" s="184"/>
      <c r="W822" s="184"/>
      <c r="X822" s="184"/>
      <c r="Y822" s="184"/>
      <c r="Z822" s="184"/>
      <c r="AA822" s="184"/>
    </row>
    <row r="823">
      <c r="A823" s="184"/>
      <c r="B823" s="184"/>
      <c r="C823" s="194"/>
      <c r="D823" s="194"/>
      <c r="E823" s="194"/>
      <c r="F823" s="194"/>
      <c r="G823" s="194"/>
      <c r="H823" s="184"/>
      <c r="I823" s="194"/>
      <c r="J823" s="194"/>
      <c r="K823" s="194"/>
      <c r="L823" s="184"/>
      <c r="M823" s="184"/>
      <c r="N823" s="184"/>
      <c r="O823" s="184"/>
      <c r="P823" s="184"/>
      <c r="Q823" s="184"/>
      <c r="R823" s="184"/>
      <c r="S823" s="184"/>
      <c r="T823" s="184"/>
      <c r="U823" s="184"/>
      <c r="V823" s="184"/>
      <c r="W823" s="184"/>
      <c r="X823" s="184"/>
      <c r="Y823" s="184"/>
      <c r="Z823" s="184"/>
      <c r="AA823" s="184"/>
    </row>
    <row r="824">
      <c r="A824" s="184"/>
      <c r="B824" s="184"/>
      <c r="C824" s="194"/>
      <c r="D824" s="194"/>
      <c r="E824" s="194"/>
      <c r="F824" s="194"/>
      <c r="G824" s="194"/>
      <c r="H824" s="184"/>
      <c r="I824" s="194"/>
      <c r="J824" s="194"/>
      <c r="K824" s="194"/>
      <c r="L824" s="184"/>
      <c r="M824" s="184"/>
      <c r="N824" s="184"/>
      <c r="O824" s="184"/>
      <c r="P824" s="184"/>
      <c r="Q824" s="184"/>
      <c r="R824" s="184"/>
      <c r="S824" s="184"/>
      <c r="T824" s="184"/>
      <c r="U824" s="184"/>
      <c r="V824" s="184"/>
      <c r="W824" s="184"/>
      <c r="X824" s="184"/>
      <c r="Y824" s="184"/>
      <c r="Z824" s="184"/>
      <c r="AA824" s="184"/>
    </row>
    <row r="825">
      <c r="A825" s="184"/>
      <c r="B825" s="184"/>
      <c r="C825" s="194"/>
      <c r="D825" s="194"/>
      <c r="E825" s="194"/>
      <c r="F825" s="194"/>
      <c r="G825" s="194"/>
      <c r="H825" s="184"/>
      <c r="I825" s="194"/>
      <c r="J825" s="194"/>
      <c r="K825" s="194"/>
      <c r="L825" s="184"/>
      <c r="M825" s="184"/>
      <c r="N825" s="184"/>
      <c r="O825" s="184"/>
      <c r="P825" s="184"/>
      <c r="Q825" s="184"/>
      <c r="R825" s="184"/>
      <c r="S825" s="184"/>
      <c r="T825" s="184"/>
      <c r="U825" s="184"/>
      <c r="V825" s="184"/>
      <c r="W825" s="184"/>
      <c r="X825" s="184"/>
      <c r="Y825" s="184"/>
      <c r="Z825" s="184"/>
      <c r="AA825" s="184"/>
    </row>
    <row r="826">
      <c r="A826" s="184"/>
      <c r="B826" s="184"/>
      <c r="C826" s="194"/>
      <c r="D826" s="194"/>
      <c r="E826" s="194"/>
      <c r="F826" s="194"/>
      <c r="G826" s="194"/>
      <c r="H826" s="184"/>
      <c r="I826" s="194"/>
      <c r="J826" s="194"/>
      <c r="K826" s="194"/>
      <c r="L826" s="184"/>
      <c r="M826" s="184"/>
      <c r="N826" s="184"/>
      <c r="O826" s="184"/>
      <c r="P826" s="184"/>
      <c r="Q826" s="184"/>
      <c r="R826" s="184"/>
      <c r="S826" s="184"/>
      <c r="T826" s="184"/>
      <c r="U826" s="184"/>
      <c r="V826" s="184"/>
      <c r="W826" s="184"/>
      <c r="X826" s="184"/>
      <c r="Y826" s="184"/>
      <c r="Z826" s="184"/>
      <c r="AA826" s="184"/>
    </row>
    <row r="827">
      <c r="A827" s="184"/>
      <c r="B827" s="184"/>
      <c r="C827" s="194"/>
      <c r="D827" s="194"/>
      <c r="E827" s="194"/>
      <c r="F827" s="194"/>
      <c r="G827" s="194"/>
      <c r="H827" s="184"/>
      <c r="I827" s="194"/>
      <c r="J827" s="194"/>
      <c r="K827" s="194"/>
      <c r="L827" s="184"/>
      <c r="M827" s="184"/>
      <c r="N827" s="184"/>
      <c r="O827" s="184"/>
      <c r="P827" s="184"/>
      <c r="Q827" s="184"/>
      <c r="R827" s="184"/>
      <c r="S827" s="184"/>
      <c r="T827" s="184"/>
      <c r="U827" s="184"/>
      <c r="V827" s="184"/>
      <c r="W827" s="184"/>
      <c r="X827" s="184"/>
      <c r="Y827" s="184"/>
      <c r="Z827" s="184"/>
      <c r="AA827" s="184"/>
    </row>
    <row r="828">
      <c r="A828" s="184"/>
      <c r="B828" s="184"/>
      <c r="C828" s="194"/>
      <c r="D828" s="194"/>
      <c r="E828" s="194"/>
      <c r="F828" s="194"/>
      <c r="G828" s="194"/>
      <c r="H828" s="184"/>
      <c r="I828" s="194"/>
      <c r="J828" s="194"/>
      <c r="K828" s="194"/>
      <c r="L828" s="184"/>
      <c r="M828" s="184"/>
      <c r="N828" s="184"/>
      <c r="O828" s="184"/>
      <c r="P828" s="184"/>
      <c r="Q828" s="184"/>
      <c r="R828" s="184"/>
      <c r="S828" s="184"/>
      <c r="T828" s="184"/>
      <c r="U828" s="184"/>
      <c r="V828" s="184"/>
      <c r="W828" s="184"/>
      <c r="X828" s="184"/>
      <c r="Y828" s="184"/>
      <c r="Z828" s="184"/>
      <c r="AA828" s="184"/>
    </row>
    <row r="829">
      <c r="A829" s="184"/>
      <c r="B829" s="184"/>
      <c r="C829" s="194"/>
      <c r="D829" s="194"/>
      <c r="E829" s="194"/>
      <c r="F829" s="194"/>
      <c r="G829" s="194"/>
      <c r="H829" s="184"/>
      <c r="I829" s="194"/>
      <c r="J829" s="194"/>
      <c r="K829" s="194"/>
      <c r="L829" s="184"/>
      <c r="M829" s="184"/>
      <c r="N829" s="184"/>
      <c r="O829" s="184"/>
      <c r="P829" s="184"/>
      <c r="Q829" s="184"/>
      <c r="R829" s="184"/>
      <c r="S829" s="184"/>
      <c r="T829" s="184"/>
      <c r="U829" s="184"/>
      <c r="V829" s="184"/>
      <c r="W829" s="184"/>
      <c r="X829" s="184"/>
      <c r="Y829" s="184"/>
      <c r="Z829" s="184"/>
      <c r="AA829" s="184"/>
    </row>
    <row r="830">
      <c r="A830" s="184"/>
      <c r="B830" s="184"/>
      <c r="C830" s="194"/>
      <c r="D830" s="194"/>
      <c r="E830" s="194"/>
      <c r="F830" s="194"/>
      <c r="G830" s="194"/>
      <c r="H830" s="184"/>
      <c r="I830" s="194"/>
      <c r="J830" s="194"/>
      <c r="K830" s="194"/>
      <c r="L830" s="184"/>
      <c r="M830" s="184"/>
      <c r="N830" s="184"/>
      <c r="O830" s="184"/>
      <c r="P830" s="184"/>
      <c r="Q830" s="184"/>
      <c r="R830" s="184"/>
      <c r="S830" s="184"/>
      <c r="T830" s="184"/>
      <c r="U830" s="184"/>
      <c r="V830" s="184"/>
      <c r="W830" s="184"/>
      <c r="X830" s="184"/>
      <c r="Y830" s="184"/>
      <c r="Z830" s="184"/>
      <c r="AA830" s="184"/>
    </row>
    <row r="831">
      <c r="A831" s="184"/>
      <c r="B831" s="184"/>
      <c r="C831" s="194"/>
      <c r="D831" s="194"/>
      <c r="E831" s="194"/>
      <c r="F831" s="194"/>
      <c r="G831" s="194"/>
      <c r="H831" s="184"/>
      <c r="I831" s="194"/>
      <c r="J831" s="194"/>
      <c r="K831" s="194"/>
      <c r="L831" s="184"/>
      <c r="M831" s="184"/>
      <c r="N831" s="184"/>
      <c r="O831" s="184"/>
      <c r="P831" s="184"/>
      <c r="Q831" s="184"/>
      <c r="R831" s="184"/>
      <c r="S831" s="184"/>
      <c r="T831" s="184"/>
      <c r="U831" s="184"/>
      <c r="V831" s="184"/>
      <c r="W831" s="184"/>
      <c r="X831" s="184"/>
      <c r="Y831" s="184"/>
      <c r="Z831" s="184"/>
      <c r="AA831" s="184"/>
    </row>
    <row r="832">
      <c r="A832" s="184"/>
      <c r="B832" s="184"/>
      <c r="C832" s="194"/>
      <c r="D832" s="194"/>
      <c r="E832" s="194"/>
      <c r="F832" s="194"/>
      <c r="G832" s="194"/>
      <c r="H832" s="184"/>
      <c r="I832" s="194"/>
      <c r="J832" s="194"/>
      <c r="K832" s="194"/>
      <c r="L832" s="184"/>
      <c r="M832" s="184"/>
      <c r="N832" s="184"/>
      <c r="O832" s="184"/>
      <c r="P832" s="184"/>
      <c r="Q832" s="184"/>
      <c r="R832" s="184"/>
      <c r="S832" s="184"/>
      <c r="T832" s="184"/>
      <c r="U832" s="184"/>
      <c r="V832" s="184"/>
      <c r="W832" s="184"/>
      <c r="X832" s="184"/>
      <c r="Y832" s="184"/>
      <c r="Z832" s="184"/>
      <c r="AA832" s="184"/>
    </row>
    <row r="833">
      <c r="A833" s="184"/>
      <c r="B833" s="184"/>
      <c r="C833" s="194"/>
      <c r="D833" s="194"/>
      <c r="E833" s="194"/>
      <c r="F833" s="194"/>
      <c r="G833" s="194"/>
      <c r="H833" s="184"/>
      <c r="I833" s="194"/>
      <c r="J833" s="194"/>
      <c r="K833" s="194"/>
      <c r="L833" s="184"/>
      <c r="M833" s="184"/>
      <c r="N833" s="184"/>
      <c r="O833" s="184"/>
      <c r="P833" s="184"/>
      <c r="Q833" s="184"/>
      <c r="R833" s="184"/>
      <c r="S833" s="184"/>
      <c r="T833" s="184"/>
      <c r="U833" s="184"/>
      <c r="V833" s="184"/>
      <c r="W833" s="184"/>
      <c r="X833" s="184"/>
      <c r="Y833" s="184"/>
      <c r="Z833" s="184"/>
      <c r="AA833" s="184"/>
    </row>
    <row r="834">
      <c r="A834" s="184"/>
      <c r="B834" s="184"/>
      <c r="C834" s="194"/>
      <c r="D834" s="194"/>
      <c r="E834" s="194"/>
      <c r="F834" s="194"/>
      <c r="G834" s="194"/>
      <c r="H834" s="184"/>
      <c r="I834" s="194"/>
      <c r="J834" s="194"/>
      <c r="K834" s="194"/>
      <c r="L834" s="184"/>
      <c r="M834" s="184"/>
      <c r="N834" s="184"/>
      <c r="O834" s="184"/>
      <c r="P834" s="184"/>
      <c r="Q834" s="184"/>
      <c r="R834" s="184"/>
      <c r="S834" s="184"/>
      <c r="T834" s="184"/>
      <c r="U834" s="184"/>
      <c r="V834" s="184"/>
      <c r="W834" s="184"/>
      <c r="X834" s="184"/>
      <c r="Y834" s="184"/>
      <c r="Z834" s="184"/>
      <c r="AA834" s="184"/>
    </row>
    <row r="835">
      <c r="A835" s="184"/>
      <c r="B835" s="184"/>
      <c r="C835" s="194"/>
      <c r="D835" s="194"/>
      <c r="E835" s="194"/>
      <c r="F835" s="194"/>
      <c r="G835" s="194"/>
      <c r="H835" s="184"/>
      <c r="I835" s="194"/>
      <c r="J835" s="194"/>
      <c r="K835" s="194"/>
      <c r="L835" s="184"/>
      <c r="M835" s="184"/>
      <c r="N835" s="184"/>
      <c r="O835" s="184"/>
      <c r="P835" s="184"/>
      <c r="Q835" s="184"/>
      <c r="R835" s="184"/>
      <c r="S835" s="184"/>
      <c r="T835" s="184"/>
      <c r="U835" s="184"/>
      <c r="V835" s="184"/>
      <c r="W835" s="184"/>
      <c r="X835" s="184"/>
      <c r="Y835" s="184"/>
      <c r="Z835" s="184"/>
      <c r="AA835" s="184"/>
    </row>
    <row r="836">
      <c r="A836" s="184"/>
      <c r="B836" s="184"/>
      <c r="C836" s="194"/>
      <c r="D836" s="194"/>
      <c r="E836" s="194"/>
      <c r="F836" s="194"/>
      <c r="G836" s="194"/>
      <c r="H836" s="184"/>
      <c r="I836" s="194"/>
      <c r="J836" s="194"/>
      <c r="K836" s="194"/>
      <c r="L836" s="184"/>
      <c r="M836" s="184"/>
      <c r="N836" s="184"/>
      <c r="O836" s="184"/>
      <c r="P836" s="184"/>
      <c r="Q836" s="184"/>
      <c r="R836" s="184"/>
      <c r="S836" s="184"/>
      <c r="T836" s="184"/>
      <c r="U836" s="184"/>
      <c r="V836" s="184"/>
      <c r="W836" s="184"/>
      <c r="X836" s="184"/>
      <c r="Y836" s="184"/>
      <c r="Z836" s="184"/>
      <c r="AA836" s="184"/>
    </row>
    <row r="837">
      <c r="A837" s="184"/>
      <c r="B837" s="184"/>
      <c r="C837" s="194"/>
      <c r="D837" s="194"/>
      <c r="E837" s="194"/>
      <c r="F837" s="194"/>
      <c r="G837" s="194"/>
      <c r="H837" s="184"/>
      <c r="I837" s="194"/>
      <c r="J837" s="194"/>
      <c r="K837" s="194"/>
      <c r="L837" s="184"/>
      <c r="M837" s="184"/>
      <c r="N837" s="184"/>
      <c r="O837" s="184"/>
      <c r="P837" s="184"/>
      <c r="Q837" s="184"/>
      <c r="R837" s="184"/>
      <c r="S837" s="184"/>
      <c r="T837" s="184"/>
      <c r="U837" s="184"/>
      <c r="V837" s="184"/>
      <c r="W837" s="184"/>
      <c r="X837" s="184"/>
      <c r="Y837" s="184"/>
      <c r="Z837" s="184"/>
      <c r="AA837" s="184"/>
    </row>
    <row r="838">
      <c r="A838" s="184"/>
      <c r="B838" s="184"/>
      <c r="C838" s="194"/>
      <c r="D838" s="194"/>
      <c r="E838" s="194"/>
      <c r="F838" s="194"/>
      <c r="G838" s="194"/>
      <c r="H838" s="184"/>
      <c r="I838" s="194"/>
      <c r="J838" s="194"/>
      <c r="K838" s="194"/>
      <c r="L838" s="184"/>
      <c r="M838" s="184"/>
      <c r="N838" s="184"/>
      <c r="O838" s="184"/>
      <c r="P838" s="184"/>
      <c r="Q838" s="184"/>
      <c r="R838" s="184"/>
      <c r="S838" s="184"/>
      <c r="T838" s="184"/>
      <c r="U838" s="184"/>
      <c r="V838" s="184"/>
      <c r="W838" s="184"/>
      <c r="X838" s="184"/>
      <c r="Y838" s="184"/>
      <c r="Z838" s="184"/>
      <c r="AA838" s="184"/>
    </row>
    <row r="839">
      <c r="A839" s="184"/>
      <c r="B839" s="184"/>
      <c r="C839" s="194"/>
      <c r="D839" s="194"/>
      <c r="E839" s="194"/>
      <c r="F839" s="194"/>
      <c r="G839" s="194"/>
      <c r="H839" s="184"/>
      <c r="I839" s="194"/>
      <c r="J839" s="194"/>
      <c r="K839" s="194"/>
      <c r="L839" s="184"/>
      <c r="M839" s="184"/>
      <c r="N839" s="184"/>
      <c r="O839" s="184"/>
      <c r="P839" s="184"/>
      <c r="Q839" s="184"/>
      <c r="R839" s="184"/>
      <c r="S839" s="184"/>
      <c r="T839" s="184"/>
      <c r="U839" s="184"/>
      <c r="V839" s="184"/>
      <c r="W839" s="184"/>
      <c r="X839" s="184"/>
      <c r="Y839" s="184"/>
      <c r="Z839" s="184"/>
      <c r="AA839" s="184"/>
    </row>
    <row r="840">
      <c r="A840" s="184"/>
      <c r="B840" s="184"/>
      <c r="C840" s="194"/>
      <c r="D840" s="194"/>
      <c r="E840" s="194"/>
      <c r="F840" s="194"/>
      <c r="G840" s="194"/>
      <c r="H840" s="184"/>
      <c r="I840" s="194"/>
      <c r="J840" s="194"/>
      <c r="K840" s="194"/>
      <c r="L840" s="184"/>
      <c r="M840" s="184"/>
      <c r="N840" s="184"/>
      <c r="O840" s="184"/>
      <c r="P840" s="184"/>
      <c r="Q840" s="184"/>
      <c r="R840" s="184"/>
      <c r="S840" s="184"/>
      <c r="T840" s="184"/>
      <c r="U840" s="184"/>
      <c r="V840" s="184"/>
      <c r="W840" s="184"/>
      <c r="X840" s="184"/>
      <c r="Y840" s="184"/>
      <c r="Z840" s="184"/>
      <c r="AA840" s="184"/>
    </row>
    <row r="841">
      <c r="A841" s="184"/>
      <c r="B841" s="184"/>
      <c r="C841" s="194"/>
      <c r="D841" s="194"/>
      <c r="E841" s="194"/>
      <c r="F841" s="194"/>
      <c r="G841" s="194"/>
      <c r="H841" s="184"/>
      <c r="I841" s="194"/>
      <c r="J841" s="194"/>
      <c r="K841" s="194"/>
      <c r="L841" s="184"/>
      <c r="M841" s="184"/>
      <c r="N841" s="184"/>
      <c r="O841" s="184"/>
      <c r="P841" s="184"/>
      <c r="Q841" s="184"/>
      <c r="R841" s="184"/>
      <c r="S841" s="184"/>
      <c r="T841" s="184"/>
      <c r="U841" s="184"/>
      <c r="V841" s="184"/>
      <c r="W841" s="184"/>
      <c r="X841" s="184"/>
      <c r="Y841" s="184"/>
      <c r="Z841" s="184"/>
      <c r="AA841" s="184"/>
    </row>
    <row r="842">
      <c r="A842" s="184"/>
      <c r="B842" s="184"/>
      <c r="C842" s="194"/>
      <c r="D842" s="194"/>
      <c r="E842" s="194"/>
      <c r="F842" s="194"/>
      <c r="G842" s="194"/>
      <c r="H842" s="184"/>
      <c r="I842" s="194"/>
      <c r="J842" s="194"/>
      <c r="K842" s="194"/>
      <c r="L842" s="184"/>
      <c r="M842" s="184"/>
      <c r="N842" s="184"/>
      <c r="O842" s="184"/>
      <c r="P842" s="184"/>
      <c r="Q842" s="184"/>
      <c r="R842" s="184"/>
      <c r="S842" s="184"/>
      <c r="T842" s="184"/>
      <c r="U842" s="184"/>
      <c r="V842" s="184"/>
      <c r="W842" s="184"/>
      <c r="X842" s="184"/>
      <c r="Y842" s="184"/>
      <c r="Z842" s="184"/>
      <c r="AA842" s="184"/>
    </row>
    <row r="843">
      <c r="A843" s="184"/>
      <c r="B843" s="184"/>
      <c r="C843" s="194"/>
      <c r="D843" s="194"/>
      <c r="E843" s="194"/>
      <c r="F843" s="194"/>
      <c r="G843" s="194"/>
      <c r="H843" s="184"/>
      <c r="I843" s="194"/>
      <c r="J843" s="194"/>
      <c r="K843" s="194"/>
      <c r="L843" s="184"/>
      <c r="M843" s="184"/>
      <c r="N843" s="184"/>
      <c r="O843" s="184"/>
      <c r="P843" s="184"/>
      <c r="Q843" s="184"/>
      <c r="R843" s="184"/>
      <c r="S843" s="184"/>
      <c r="T843" s="184"/>
      <c r="U843" s="184"/>
      <c r="V843" s="184"/>
      <c r="W843" s="184"/>
      <c r="X843" s="184"/>
      <c r="Y843" s="184"/>
      <c r="Z843" s="184"/>
      <c r="AA843" s="184"/>
    </row>
    <row r="844">
      <c r="A844" s="184"/>
      <c r="B844" s="184"/>
      <c r="C844" s="194"/>
      <c r="D844" s="194"/>
      <c r="E844" s="194"/>
      <c r="F844" s="194"/>
      <c r="G844" s="194"/>
      <c r="H844" s="184"/>
      <c r="I844" s="194"/>
      <c r="J844" s="194"/>
      <c r="K844" s="194"/>
      <c r="L844" s="184"/>
      <c r="M844" s="184"/>
      <c r="N844" s="184"/>
      <c r="O844" s="184"/>
      <c r="P844" s="184"/>
      <c r="Q844" s="184"/>
      <c r="R844" s="184"/>
      <c r="S844" s="184"/>
      <c r="T844" s="184"/>
      <c r="U844" s="184"/>
      <c r="V844" s="184"/>
      <c r="W844" s="184"/>
      <c r="X844" s="184"/>
      <c r="Y844" s="184"/>
      <c r="Z844" s="184"/>
      <c r="AA844" s="184"/>
    </row>
    <row r="845">
      <c r="A845" s="184"/>
      <c r="B845" s="184"/>
      <c r="C845" s="194"/>
      <c r="D845" s="194"/>
      <c r="E845" s="194"/>
      <c r="F845" s="194"/>
      <c r="G845" s="194"/>
      <c r="H845" s="184"/>
      <c r="I845" s="194"/>
      <c r="J845" s="194"/>
      <c r="K845" s="194"/>
      <c r="L845" s="184"/>
      <c r="M845" s="184"/>
      <c r="N845" s="184"/>
      <c r="O845" s="184"/>
      <c r="P845" s="184"/>
      <c r="Q845" s="184"/>
      <c r="R845" s="184"/>
      <c r="S845" s="184"/>
      <c r="T845" s="184"/>
      <c r="U845" s="184"/>
      <c r="V845" s="184"/>
      <c r="W845" s="184"/>
      <c r="X845" s="184"/>
      <c r="Y845" s="184"/>
      <c r="Z845" s="184"/>
      <c r="AA845" s="184"/>
    </row>
    <row r="846">
      <c r="A846" s="184"/>
      <c r="B846" s="184"/>
      <c r="C846" s="194"/>
      <c r="D846" s="194"/>
      <c r="E846" s="194"/>
      <c r="F846" s="194"/>
      <c r="G846" s="194"/>
      <c r="H846" s="184"/>
      <c r="I846" s="194"/>
      <c r="J846" s="194"/>
      <c r="K846" s="194"/>
      <c r="L846" s="184"/>
      <c r="M846" s="184"/>
      <c r="N846" s="184"/>
      <c r="O846" s="184"/>
      <c r="P846" s="184"/>
      <c r="Q846" s="184"/>
      <c r="R846" s="184"/>
      <c r="S846" s="184"/>
      <c r="T846" s="184"/>
      <c r="U846" s="184"/>
      <c r="V846" s="184"/>
      <c r="W846" s="184"/>
      <c r="X846" s="184"/>
      <c r="Y846" s="184"/>
      <c r="Z846" s="184"/>
      <c r="AA846" s="184"/>
    </row>
    <row r="847">
      <c r="A847" s="184"/>
      <c r="B847" s="184"/>
      <c r="C847" s="194"/>
      <c r="D847" s="194"/>
      <c r="E847" s="194"/>
      <c r="F847" s="194"/>
      <c r="G847" s="194"/>
      <c r="H847" s="184"/>
      <c r="I847" s="194"/>
      <c r="J847" s="194"/>
      <c r="K847" s="194"/>
      <c r="L847" s="184"/>
      <c r="M847" s="184"/>
      <c r="N847" s="184"/>
      <c r="O847" s="184"/>
      <c r="P847" s="184"/>
      <c r="Q847" s="184"/>
      <c r="R847" s="184"/>
      <c r="S847" s="184"/>
      <c r="T847" s="184"/>
      <c r="U847" s="184"/>
      <c r="V847" s="184"/>
      <c r="W847" s="184"/>
      <c r="X847" s="184"/>
      <c r="Y847" s="184"/>
      <c r="Z847" s="184"/>
      <c r="AA847" s="184"/>
    </row>
    <row r="848">
      <c r="A848" s="184"/>
      <c r="B848" s="184"/>
      <c r="C848" s="194"/>
      <c r="D848" s="194"/>
      <c r="E848" s="194"/>
      <c r="F848" s="194"/>
      <c r="G848" s="194"/>
      <c r="H848" s="184"/>
      <c r="I848" s="194"/>
      <c r="J848" s="194"/>
      <c r="K848" s="194"/>
      <c r="L848" s="184"/>
      <c r="M848" s="184"/>
      <c r="N848" s="184"/>
      <c r="O848" s="184"/>
      <c r="P848" s="184"/>
      <c r="Q848" s="184"/>
      <c r="R848" s="184"/>
      <c r="S848" s="184"/>
      <c r="T848" s="184"/>
      <c r="U848" s="184"/>
      <c r="V848" s="184"/>
      <c r="W848" s="184"/>
      <c r="X848" s="184"/>
      <c r="Y848" s="184"/>
      <c r="Z848" s="184"/>
      <c r="AA848" s="184"/>
    </row>
    <row r="849">
      <c r="A849" s="184"/>
      <c r="B849" s="184"/>
      <c r="C849" s="194"/>
      <c r="D849" s="194"/>
      <c r="E849" s="194"/>
      <c r="F849" s="194"/>
      <c r="G849" s="194"/>
      <c r="H849" s="184"/>
      <c r="I849" s="194"/>
      <c r="J849" s="194"/>
      <c r="K849" s="194"/>
      <c r="L849" s="184"/>
      <c r="M849" s="184"/>
      <c r="N849" s="184"/>
      <c r="O849" s="184"/>
      <c r="P849" s="184"/>
      <c r="Q849" s="184"/>
      <c r="R849" s="184"/>
      <c r="S849" s="184"/>
      <c r="T849" s="184"/>
      <c r="U849" s="184"/>
      <c r="V849" s="184"/>
      <c r="W849" s="184"/>
      <c r="X849" s="184"/>
      <c r="Y849" s="184"/>
      <c r="Z849" s="184"/>
      <c r="AA849" s="184"/>
    </row>
    <row r="850">
      <c r="A850" s="184"/>
      <c r="B850" s="184"/>
      <c r="C850" s="194"/>
      <c r="D850" s="194"/>
      <c r="E850" s="194"/>
      <c r="F850" s="194"/>
      <c r="G850" s="194"/>
      <c r="H850" s="184"/>
      <c r="I850" s="194"/>
      <c r="J850" s="194"/>
      <c r="K850" s="194"/>
      <c r="L850" s="184"/>
      <c r="M850" s="184"/>
      <c r="N850" s="184"/>
      <c r="O850" s="184"/>
      <c r="P850" s="184"/>
      <c r="Q850" s="184"/>
      <c r="R850" s="184"/>
      <c r="S850" s="184"/>
      <c r="T850" s="184"/>
      <c r="U850" s="184"/>
      <c r="V850" s="184"/>
      <c r="W850" s="184"/>
      <c r="X850" s="184"/>
      <c r="Y850" s="184"/>
      <c r="Z850" s="184"/>
      <c r="AA850" s="184"/>
    </row>
    <row r="851">
      <c r="A851" s="184"/>
      <c r="B851" s="184"/>
      <c r="C851" s="194"/>
      <c r="D851" s="194"/>
      <c r="E851" s="194"/>
      <c r="F851" s="194"/>
      <c r="G851" s="194"/>
      <c r="H851" s="184"/>
      <c r="I851" s="194"/>
      <c r="J851" s="194"/>
      <c r="K851" s="194"/>
      <c r="L851" s="184"/>
      <c r="M851" s="184"/>
      <c r="N851" s="184"/>
      <c r="O851" s="184"/>
      <c r="P851" s="184"/>
      <c r="Q851" s="184"/>
      <c r="R851" s="184"/>
      <c r="S851" s="184"/>
      <c r="T851" s="184"/>
      <c r="U851" s="184"/>
      <c r="V851" s="184"/>
      <c r="W851" s="184"/>
      <c r="X851" s="184"/>
      <c r="Y851" s="184"/>
      <c r="Z851" s="184"/>
      <c r="AA851" s="184"/>
    </row>
    <row r="852">
      <c r="A852" s="184"/>
      <c r="B852" s="184"/>
      <c r="C852" s="194"/>
      <c r="D852" s="194"/>
      <c r="E852" s="194"/>
      <c r="F852" s="194"/>
      <c r="G852" s="194"/>
      <c r="H852" s="184"/>
      <c r="I852" s="194"/>
      <c r="J852" s="194"/>
      <c r="K852" s="194"/>
      <c r="L852" s="184"/>
      <c r="M852" s="184"/>
      <c r="N852" s="184"/>
      <c r="O852" s="184"/>
      <c r="P852" s="184"/>
      <c r="Q852" s="184"/>
      <c r="R852" s="184"/>
      <c r="S852" s="184"/>
      <c r="T852" s="184"/>
      <c r="U852" s="184"/>
      <c r="V852" s="184"/>
      <c r="W852" s="184"/>
      <c r="X852" s="184"/>
      <c r="Y852" s="184"/>
      <c r="Z852" s="184"/>
      <c r="AA852" s="184"/>
    </row>
    <row r="853">
      <c r="A853" s="184"/>
      <c r="B853" s="184"/>
      <c r="C853" s="194"/>
      <c r="D853" s="194"/>
      <c r="E853" s="194"/>
      <c r="F853" s="194"/>
      <c r="G853" s="194"/>
      <c r="H853" s="184"/>
      <c r="I853" s="194"/>
      <c r="J853" s="194"/>
      <c r="K853" s="194"/>
      <c r="L853" s="184"/>
      <c r="M853" s="184"/>
      <c r="N853" s="184"/>
      <c r="O853" s="184"/>
      <c r="P853" s="184"/>
      <c r="Q853" s="184"/>
      <c r="R853" s="184"/>
      <c r="S853" s="184"/>
      <c r="T853" s="184"/>
      <c r="U853" s="184"/>
      <c r="V853" s="184"/>
      <c r="W853" s="184"/>
      <c r="X853" s="184"/>
      <c r="Y853" s="184"/>
      <c r="Z853" s="184"/>
      <c r="AA853" s="184"/>
    </row>
    <row r="854">
      <c r="A854" s="184"/>
      <c r="B854" s="184"/>
      <c r="C854" s="194"/>
      <c r="D854" s="194"/>
      <c r="E854" s="194"/>
      <c r="F854" s="194"/>
      <c r="G854" s="194"/>
      <c r="H854" s="184"/>
      <c r="I854" s="194"/>
      <c r="J854" s="194"/>
      <c r="K854" s="194"/>
      <c r="L854" s="184"/>
      <c r="M854" s="184"/>
      <c r="N854" s="184"/>
      <c r="O854" s="184"/>
      <c r="P854" s="184"/>
      <c r="Q854" s="184"/>
      <c r="R854" s="184"/>
      <c r="S854" s="184"/>
      <c r="T854" s="184"/>
      <c r="U854" s="184"/>
      <c r="V854" s="184"/>
      <c r="W854" s="184"/>
      <c r="X854" s="184"/>
      <c r="Y854" s="184"/>
      <c r="Z854" s="184"/>
      <c r="AA854" s="184"/>
    </row>
    <row r="855">
      <c r="A855" s="184"/>
      <c r="B855" s="184"/>
      <c r="C855" s="194"/>
      <c r="D855" s="194"/>
      <c r="E855" s="194"/>
      <c r="F855" s="194"/>
      <c r="G855" s="194"/>
      <c r="H855" s="184"/>
      <c r="I855" s="194"/>
      <c r="J855" s="194"/>
      <c r="K855" s="194"/>
      <c r="L855" s="184"/>
      <c r="M855" s="184"/>
      <c r="N855" s="184"/>
      <c r="O855" s="184"/>
      <c r="P855" s="184"/>
      <c r="Q855" s="184"/>
      <c r="R855" s="184"/>
      <c r="S855" s="184"/>
      <c r="T855" s="184"/>
      <c r="U855" s="184"/>
      <c r="V855" s="184"/>
      <c r="W855" s="184"/>
      <c r="X855" s="184"/>
      <c r="Y855" s="184"/>
      <c r="Z855" s="184"/>
      <c r="AA855" s="184"/>
    </row>
    <row r="856">
      <c r="A856" s="184"/>
      <c r="B856" s="184"/>
      <c r="C856" s="194"/>
      <c r="D856" s="194"/>
      <c r="E856" s="194"/>
      <c r="F856" s="194"/>
      <c r="G856" s="194"/>
      <c r="H856" s="184"/>
      <c r="I856" s="194"/>
      <c r="J856" s="194"/>
      <c r="K856" s="194"/>
      <c r="L856" s="184"/>
      <c r="M856" s="184"/>
      <c r="N856" s="184"/>
      <c r="O856" s="184"/>
      <c r="P856" s="184"/>
      <c r="Q856" s="184"/>
      <c r="R856" s="184"/>
      <c r="S856" s="184"/>
      <c r="T856" s="184"/>
      <c r="U856" s="184"/>
      <c r="V856" s="184"/>
      <c r="W856" s="184"/>
      <c r="X856" s="184"/>
      <c r="Y856" s="184"/>
      <c r="Z856" s="184"/>
      <c r="AA856" s="184"/>
    </row>
    <row r="857">
      <c r="A857" s="184"/>
      <c r="B857" s="184"/>
      <c r="C857" s="194"/>
      <c r="D857" s="194"/>
      <c r="E857" s="194"/>
      <c r="F857" s="194"/>
      <c r="G857" s="194"/>
      <c r="H857" s="184"/>
      <c r="I857" s="194"/>
      <c r="J857" s="194"/>
      <c r="K857" s="194"/>
      <c r="L857" s="184"/>
      <c r="M857" s="184"/>
      <c r="N857" s="184"/>
      <c r="O857" s="184"/>
      <c r="P857" s="184"/>
      <c r="Q857" s="184"/>
      <c r="R857" s="184"/>
      <c r="S857" s="184"/>
      <c r="T857" s="184"/>
      <c r="U857" s="184"/>
      <c r="V857" s="184"/>
      <c r="W857" s="184"/>
      <c r="X857" s="184"/>
      <c r="Y857" s="184"/>
      <c r="Z857" s="184"/>
      <c r="AA857" s="184"/>
    </row>
    <row r="858">
      <c r="A858" s="184"/>
      <c r="B858" s="184"/>
      <c r="C858" s="194"/>
      <c r="D858" s="194"/>
      <c r="E858" s="194"/>
      <c r="F858" s="194"/>
      <c r="G858" s="194"/>
      <c r="H858" s="184"/>
      <c r="I858" s="194"/>
      <c r="J858" s="194"/>
      <c r="K858" s="194"/>
      <c r="L858" s="184"/>
      <c r="M858" s="184"/>
      <c r="N858" s="184"/>
      <c r="O858" s="184"/>
      <c r="P858" s="184"/>
      <c r="Q858" s="184"/>
      <c r="R858" s="184"/>
      <c r="S858" s="184"/>
      <c r="T858" s="184"/>
      <c r="U858" s="184"/>
      <c r="V858" s="184"/>
      <c r="W858" s="184"/>
      <c r="X858" s="184"/>
      <c r="Y858" s="184"/>
      <c r="Z858" s="184"/>
      <c r="AA858" s="184"/>
    </row>
    <row r="859">
      <c r="A859" s="184"/>
      <c r="B859" s="184"/>
      <c r="C859" s="194"/>
      <c r="D859" s="194"/>
      <c r="E859" s="194"/>
      <c r="F859" s="194"/>
      <c r="G859" s="194"/>
      <c r="H859" s="184"/>
      <c r="I859" s="194"/>
      <c r="J859" s="194"/>
      <c r="K859" s="194"/>
      <c r="L859" s="184"/>
      <c r="M859" s="184"/>
      <c r="N859" s="184"/>
      <c r="O859" s="184"/>
      <c r="P859" s="184"/>
      <c r="Q859" s="184"/>
      <c r="R859" s="184"/>
      <c r="S859" s="184"/>
      <c r="T859" s="184"/>
      <c r="U859" s="184"/>
      <c r="V859" s="184"/>
      <c r="W859" s="184"/>
      <c r="X859" s="184"/>
      <c r="Y859" s="184"/>
      <c r="Z859" s="184"/>
      <c r="AA859" s="184"/>
    </row>
    <row r="860">
      <c r="A860" s="184"/>
      <c r="B860" s="184"/>
      <c r="C860" s="194"/>
      <c r="D860" s="194"/>
      <c r="E860" s="194"/>
      <c r="F860" s="194"/>
      <c r="G860" s="194"/>
      <c r="H860" s="184"/>
      <c r="I860" s="194"/>
      <c r="J860" s="194"/>
      <c r="K860" s="194"/>
      <c r="L860" s="184"/>
      <c r="M860" s="184"/>
      <c r="N860" s="184"/>
      <c r="O860" s="184"/>
      <c r="P860" s="184"/>
      <c r="Q860" s="184"/>
      <c r="R860" s="184"/>
      <c r="S860" s="184"/>
      <c r="T860" s="184"/>
      <c r="U860" s="184"/>
      <c r="V860" s="184"/>
      <c r="W860" s="184"/>
      <c r="X860" s="184"/>
      <c r="Y860" s="184"/>
      <c r="Z860" s="184"/>
      <c r="AA860" s="184"/>
    </row>
    <row r="861">
      <c r="A861" s="184"/>
      <c r="B861" s="184"/>
      <c r="C861" s="194"/>
      <c r="D861" s="194"/>
      <c r="E861" s="194"/>
      <c r="F861" s="194"/>
      <c r="G861" s="194"/>
      <c r="H861" s="184"/>
      <c r="I861" s="194"/>
      <c r="J861" s="194"/>
      <c r="K861" s="194"/>
      <c r="L861" s="184"/>
      <c r="M861" s="184"/>
      <c r="N861" s="184"/>
      <c r="O861" s="184"/>
      <c r="P861" s="184"/>
      <c r="Q861" s="184"/>
      <c r="R861" s="184"/>
      <c r="S861" s="184"/>
      <c r="T861" s="184"/>
      <c r="U861" s="184"/>
      <c r="V861" s="184"/>
      <c r="W861" s="184"/>
      <c r="X861" s="184"/>
      <c r="Y861" s="184"/>
      <c r="Z861" s="184"/>
      <c r="AA861" s="184"/>
    </row>
    <row r="862">
      <c r="A862" s="184"/>
      <c r="B862" s="184"/>
      <c r="C862" s="194"/>
      <c r="D862" s="194"/>
      <c r="E862" s="194"/>
      <c r="F862" s="194"/>
      <c r="G862" s="194"/>
      <c r="H862" s="184"/>
      <c r="I862" s="194"/>
      <c r="J862" s="194"/>
      <c r="K862" s="194"/>
      <c r="L862" s="184"/>
      <c r="M862" s="184"/>
      <c r="N862" s="184"/>
      <c r="O862" s="184"/>
      <c r="P862" s="184"/>
      <c r="Q862" s="184"/>
      <c r="R862" s="184"/>
      <c r="S862" s="184"/>
      <c r="T862" s="184"/>
      <c r="U862" s="184"/>
      <c r="V862" s="184"/>
      <c r="W862" s="184"/>
      <c r="X862" s="184"/>
      <c r="Y862" s="184"/>
      <c r="Z862" s="184"/>
      <c r="AA862" s="184"/>
    </row>
    <row r="863">
      <c r="A863" s="184"/>
      <c r="B863" s="184"/>
      <c r="C863" s="194"/>
      <c r="D863" s="194"/>
      <c r="E863" s="194"/>
      <c r="F863" s="194"/>
      <c r="G863" s="194"/>
      <c r="H863" s="184"/>
      <c r="I863" s="194"/>
      <c r="J863" s="194"/>
      <c r="K863" s="194"/>
      <c r="L863" s="184"/>
      <c r="M863" s="184"/>
      <c r="N863" s="184"/>
      <c r="O863" s="184"/>
      <c r="P863" s="184"/>
      <c r="Q863" s="184"/>
      <c r="R863" s="184"/>
      <c r="S863" s="184"/>
      <c r="T863" s="184"/>
      <c r="U863" s="184"/>
      <c r="V863" s="184"/>
      <c r="W863" s="184"/>
      <c r="X863" s="184"/>
      <c r="Y863" s="184"/>
      <c r="Z863" s="184"/>
      <c r="AA863" s="184"/>
    </row>
    <row r="864">
      <c r="A864" s="184"/>
      <c r="B864" s="184"/>
      <c r="C864" s="194"/>
      <c r="D864" s="194"/>
      <c r="E864" s="194"/>
      <c r="F864" s="194"/>
      <c r="G864" s="194"/>
      <c r="H864" s="184"/>
      <c r="I864" s="194"/>
      <c r="J864" s="194"/>
      <c r="K864" s="194"/>
      <c r="L864" s="184"/>
      <c r="M864" s="184"/>
      <c r="N864" s="184"/>
      <c r="O864" s="184"/>
      <c r="P864" s="184"/>
      <c r="Q864" s="184"/>
      <c r="R864" s="184"/>
      <c r="S864" s="184"/>
      <c r="T864" s="184"/>
      <c r="U864" s="184"/>
      <c r="V864" s="184"/>
      <c r="W864" s="184"/>
      <c r="X864" s="184"/>
      <c r="Y864" s="184"/>
      <c r="Z864" s="184"/>
      <c r="AA864" s="184"/>
    </row>
    <row r="865">
      <c r="A865" s="184"/>
      <c r="B865" s="184"/>
      <c r="C865" s="194"/>
      <c r="D865" s="194"/>
      <c r="E865" s="194"/>
      <c r="F865" s="194"/>
      <c r="G865" s="194"/>
      <c r="H865" s="184"/>
      <c r="I865" s="194"/>
      <c r="J865" s="194"/>
      <c r="K865" s="194"/>
      <c r="L865" s="184"/>
      <c r="M865" s="184"/>
      <c r="N865" s="184"/>
      <c r="O865" s="184"/>
      <c r="P865" s="184"/>
      <c r="Q865" s="184"/>
      <c r="R865" s="184"/>
      <c r="S865" s="184"/>
      <c r="T865" s="184"/>
      <c r="U865" s="184"/>
      <c r="V865" s="184"/>
      <c r="W865" s="184"/>
      <c r="X865" s="184"/>
      <c r="Y865" s="184"/>
      <c r="Z865" s="184"/>
      <c r="AA865" s="184"/>
    </row>
    <row r="866">
      <c r="A866" s="184"/>
      <c r="B866" s="184"/>
      <c r="C866" s="194"/>
      <c r="D866" s="194"/>
      <c r="E866" s="194"/>
      <c r="F866" s="194"/>
      <c r="G866" s="194"/>
      <c r="H866" s="184"/>
      <c r="I866" s="194"/>
      <c r="J866" s="194"/>
      <c r="K866" s="194"/>
      <c r="L866" s="184"/>
      <c r="M866" s="184"/>
      <c r="N866" s="184"/>
      <c r="O866" s="184"/>
      <c r="P866" s="184"/>
      <c r="Q866" s="184"/>
      <c r="R866" s="184"/>
      <c r="S866" s="184"/>
      <c r="T866" s="184"/>
      <c r="U866" s="184"/>
      <c r="V866" s="184"/>
      <c r="W866" s="184"/>
      <c r="X866" s="184"/>
      <c r="Y866" s="184"/>
      <c r="Z866" s="184"/>
      <c r="AA866" s="184"/>
    </row>
    <row r="867">
      <c r="A867" s="184"/>
      <c r="B867" s="184"/>
      <c r="C867" s="194"/>
      <c r="D867" s="194"/>
      <c r="E867" s="194"/>
      <c r="F867" s="194"/>
      <c r="G867" s="194"/>
      <c r="H867" s="184"/>
      <c r="I867" s="194"/>
      <c r="J867" s="194"/>
      <c r="K867" s="194"/>
      <c r="L867" s="184"/>
      <c r="M867" s="184"/>
      <c r="N867" s="184"/>
      <c r="O867" s="184"/>
      <c r="P867" s="184"/>
      <c r="Q867" s="184"/>
      <c r="R867" s="184"/>
      <c r="S867" s="184"/>
      <c r="T867" s="184"/>
      <c r="U867" s="184"/>
      <c r="V867" s="184"/>
      <c r="W867" s="184"/>
      <c r="X867" s="184"/>
      <c r="Y867" s="184"/>
      <c r="Z867" s="184"/>
      <c r="AA867" s="184"/>
    </row>
    <row r="868">
      <c r="A868" s="184"/>
      <c r="B868" s="184"/>
      <c r="C868" s="194"/>
      <c r="D868" s="194"/>
      <c r="E868" s="194"/>
      <c r="F868" s="194"/>
      <c r="G868" s="194"/>
      <c r="H868" s="184"/>
      <c r="I868" s="194"/>
      <c r="J868" s="194"/>
      <c r="K868" s="194"/>
      <c r="L868" s="184"/>
      <c r="M868" s="184"/>
      <c r="N868" s="184"/>
      <c r="O868" s="184"/>
      <c r="P868" s="184"/>
      <c r="Q868" s="184"/>
      <c r="R868" s="184"/>
      <c r="S868" s="184"/>
      <c r="T868" s="184"/>
      <c r="U868" s="184"/>
      <c r="V868" s="184"/>
      <c r="W868" s="184"/>
      <c r="X868" s="184"/>
      <c r="Y868" s="184"/>
      <c r="Z868" s="184"/>
      <c r="AA868" s="184"/>
    </row>
    <row r="869">
      <c r="A869" s="184"/>
      <c r="B869" s="184"/>
      <c r="C869" s="194"/>
      <c r="D869" s="194"/>
      <c r="E869" s="194"/>
      <c r="F869" s="194"/>
      <c r="G869" s="194"/>
      <c r="H869" s="184"/>
      <c r="I869" s="194"/>
      <c r="J869" s="194"/>
      <c r="K869" s="194"/>
      <c r="L869" s="184"/>
      <c r="M869" s="184"/>
      <c r="N869" s="184"/>
      <c r="O869" s="184"/>
      <c r="P869" s="184"/>
      <c r="Q869" s="184"/>
      <c r="R869" s="184"/>
      <c r="S869" s="184"/>
      <c r="T869" s="184"/>
      <c r="U869" s="184"/>
      <c r="V869" s="184"/>
      <c r="W869" s="184"/>
      <c r="X869" s="184"/>
      <c r="Y869" s="184"/>
      <c r="Z869" s="184"/>
      <c r="AA869" s="184"/>
    </row>
    <row r="870">
      <c r="A870" s="184"/>
      <c r="B870" s="184"/>
      <c r="C870" s="194"/>
      <c r="D870" s="194"/>
      <c r="E870" s="194"/>
      <c r="F870" s="194"/>
      <c r="G870" s="194"/>
      <c r="H870" s="184"/>
      <c r="I870" s="194"/>
      <c r="J870" s="194"/>
      <c r="K870" s="194"/>
      <c r="L870" s="184"/>
      <c r="M870" s="184"/>
      <c r="N870" s="184"/>
      <c r="O870" s="184"/>
      <c r="P870" s="184"/>
      <c r="Q870" s="184"/>
      <c r="R870" s="184"/>
      <c r="S870" s="184"/>
      <c r="T870" s="184"/>
      <c r="U870" s="184"/>
      <c r="V870" s="184"/>
      <c r="W870" s="184"/>
      <c r="X870" s="184"/>
      <c r="Y870" s="184"/>
      <c r="Z870" s="184"/>
      <c r="AA870" s="184"/>
    </row>
    <row r="871">
      <c r="A871" s="184"/>
      <c r="B871" s="184"/>
      <c r="C871" s="194"/>
      <c r="D871" s="194"/>
      <c r="E871" s="194"/>
      <c r="F871" s="194"/>
      <c r="G871" s="194"/>
      <c r="H871" s="184"/>
      <c r="I871" s="194"/>
      <c r="J871" s="194"/>
      <c r="K871" s="194"/>
      <c r="L871" s="184"/>
      <c r="M871" s="184"/>
      <c r="N871" s="184"/>
      <c r="O871" s="184"/>
      <c r="P871" s="184"/>
      <c r="Q871" s="184"/>
      <c r="R871" s="184"/>
      <c r="S871" s="184"/>
      <c r="T871" s="184"/>
      <c r="U871" s="184"/>
      <c r="V871" s="184"/>
      <c r="W871" s="184"/>
      <c r="X871" s="184"/>
      <c r="Y871" s="184"/>
      <c r="Z871" s="184"/>
      <c r="AA871" s="184"/>
    </row>
    <row r="872">
      <c r="A872" s="184"/>
      <c r="B872" s="184"/>
      <c r="C872" s="194"/>
      <c r="D872" s="194"/>
      <c r="E872" s="194"/>
      <c r="F872" s="194"/>
      <c r="G872" s="194"/>
      <c r="H872" s="184"/>
      <c r="I872" s="194"/>
      <c r="J872" s="194"/>
      <c r="K872" s="194"/>
      <c r="L872" s="184"/>
      <c r="M872" s="184"/>
      <c r="N872" s="184"/>
      <c r="O872" s="184"/>
      <c r="P872" s="184"/>
      <c r="Q872" s="184"/>
      <c r="R872" s="184"/>
      <c r="S872" s="184"/>
      <c r="T872" s="184"/>
      <c r="U872" s="184"/>
      <c r="V872" s="184"/>
      <c r="W872" s="184"/>
      <c r="X872" s="184"/>
      <c r="Y872" s="184"/>
      <c r="Z872" s="184"/>
      <c r="AA872" s="184"/>
    </row>
    <row r="873">
      <c r="A873" s="184"/>
      <c r="B873" s="184"/>
      <c r="C873" s="194"/>
      <c r="D873" s="194"/>
      <c r="E873" s="194"/>
      <c r="F873" s="194"/>
      <c r="G873" s="194"/>
      <c r="H873" s="184"/>
      <c r="I873" s="194"/>
      <c r="J873" s="194"/>
      <c r="K873" s="194"/>
      <c r="L873" s="184"/>
      <c r="M873" s="184"/>
      <c r="N873" s="184"/>
      <c r="O873" s="184"/>
      <c r="P873" s="184"/>
      <c r="Q873" s="184"/>
      <c r="R873" s="184"/>
      <c r="S873" s="184"/>
      <c r="T873" s="184"/>
      <c r="U873" s="184"/>
      <c r="V873" s="184"/>
      <c r="W873" s="184"/>
      <c r="X873" s="184"/>
      <c r="Y873" s="184"/>
      <c r="Z873" s="184"/>
      <c r="AA873" s="184"/>
    </row>
    <row r="874">
      <c r="A874" s="184"/>
      <c r="B874" s="184"/>
      <c r="C874" s="194"/>
      <c r="D874" s="194"/>
      <c r="E874" s="194"/>
      <c r="F874" s="194"/>
      <c r="G874" s="194"/>
      <c r="H874" s="184"/>
      <c r="I874" s="194"/>
      <c r="J874" s="194"/>
      <c r="K874" s="194"/>
      <c r="L874" s="184"/>
      <c r="M874" s="184"/>
      <c r="N874" s="184"/>
      <c r="O874" s="184"/>
      <c r="P874" s="184"/>
      <c r="Q874" s="184"/>
      <c r="R874" s="184"/>
      <c r="S874" s="184"/>
      <c r="T874" s="184"/>
      <c r="U874" s="184"/>
      <c r="V874" s="184"/>
      <c r="W874" s="184"/>
      <c r="X874" s="184"/>
      <c r="Y874" s="184"/>
      <c r="Z874" s="184"/>
      <c r="AA874" s="184"/>
    </row>
    <row r="875">
      <c r="A875" s="184"/>
      <c r="B875" s="184"/>
      <c r="C875" s="194"/>
      <c r="D875" s="194"/>
      <c r="E875" s="194"/>
      <c r="F875" s="194"/>
      <c r="G875" s="194"/>
      <c r="H875" s="184"/>
      <c r="I875" s="194"/>
      <c r="J875" s="194"/>
      <c r="K875" s="194"/>
      <c r="L875" s="184"/>
      <c r="M875" s="184"/>
      <c r="N875" s="184"/>
      <c r="O875" s="184"/>
      <c r="P875" s="184"/>
      <c r="Q875" s="184"/>
      <c r="R875" s="184"/>
      <c r="S875" s="184"/>
      <c r="T875" s="184"/>
      <c r="U875" s="184"/>
      <c r="V875" s="184"/>
      <c r="W875" s="184"/>
      <c r="X875" s="184"/>
      <c r="Y875" s="184"/>
      <c r="Z875" s="184"/>
      <c r="AA875" s="184"/>
    </row>
    <row r="876">
      <c r="A876" s="184"/>
      <c r="B876" s="184"/>
      <c r="C876" s="194"/>
      <c r="D876" s="194"/>
      <c r="E876" s="194"/>
      <c r="F876" s="194"/>
      <c r="G876" s="194"/>
      <c r="H876" s="184"/>
      <c r="I876" s="194"/>
      <c r="J876" s="194"/>
      <c r="K876" s="194"/>
      <c r="L876" s="184"/>
      <c r="M876" s="184"/>
      <c r="N876" s="184"/>
      <c r="O876" s="184"/>
      <c r="P876" s="184"/>
      <c r="Q876" s="184"/>
      <c r="R876" s="184"/>
      <c r="S876" s="184"/>
      <c r="T876" s="184"/>
      <c r="U876" s="184"/>
      <c r="V876" s="184"/>
      <c r="W876" s="184"/>
      <c r="X876" s="184"/>
      <c r="Y876" s="184"/>
      <c r="Z876" s="184"/>
      <c r="AA876" s="184"/>
    </row>
    <row r="877">
      <c r="A877" s="184"/>
      <c r="B877" s="184"/>
      <c r="C877" s="194"/>
      <c r="D877" s="194"/>
      <c r="E877" s="194"/>
      <c r="F877" s="194"/>
      <c r="G877" s="194"/>
      <c r="H877" s="184"/>
      <c r="I877" s="194"/>
      <c r="J877" s="194"/>
      <c r="K877" s="194"/>
      <c r="L877" s="184"/>
      <c r="M877" s="184"/>
      <c r="N877" s="184"/>
      <c r="O877" s="184"/>
      <c r="P877" s="184"/>
      <c r="Q877" s="184"/>
      <c r="R877" s="184"/>
      <c r="S877" s="184"/>
      <c r="T877" s="184"/>
      <c r="U877" s="184"/>
      <c r="V877" s="184"/>
      <c r="W877" s="184"/>
      <c r="X877" s="184"/>
      <c r="Y877" s="184"/>
      <c r="Z877" s="184"/>
      <c r="AA877" s="184"/>
    </row>
    <row r="878">
      <c r="A878" s="184"/>
      <c r="B878" s="184"/>
      <c r="C878" s="194"/>
      <c r="D878" s="194"/>
      <c r="E878" s="194"/>
      <c r="F878" s="194"/>
      <c r="G878" s="194"/>
      <c r="H878" s="184"/>
      <c r="I878" s="194"/>
      <c r="J878" s="194"/>
      <c r="K878" s="194"/>
      <c r="L878" s="184"/>
      <c r="M878" s="184"/>
      <c r="N878" s="184"/>
      <c r="O878" s="184"/>
      <c r="P878" s="184"/>
      <c r="Q878" s="184"/>
      <c r="R878" s="184"/>
      <c r="S878" s="184"/>
      <c r="T878" s="184"/>
      <c r="U878" s="184"/>
      <c r="V878" s="184"/>
      <c r="W878" s="184"/>
      <c r="X878" s="184"/>
      <c r="Y878" s="184"/>
      <c r="Z878" s="184"/>
      <c r="AA878" s="184"/>
    </row>
    <row r="879">
      <c r="A879" s="184"/>
      <c r="B879" s="184"/>
      <c r="C879" s="194"/>
      <c r="D879" s="194"/>
      <c r="E879" s="194"/>
      <c r="F879" s="194"/>
      <c r="G879" s="194"/>
      <c r="H879" s="184"/>
      <c r="I879" s="194"/>
      <c r="J879" s="194"/>
      <c r="K879" s="194"/>
      <c r="L879" s="184"/>
      <c r="M879" s="184"/>
      <c r="N879" s="184"/>
      <c r="O879" s="184"/>
      <c r="P879" s="184"/>
      <c r="Q879" s="184"/>
      <c r="R879" s="184"/>
      <c r="S879" s="184"/>
      <c r="T879" s="184"/>
      <c r="U879" s="184"/>
      <c r="V879" s="184"/>
      <c r="W879" s="184"/>
      <c r="X879" s="184"/>
      <c r="Y879" s="184"/>
      <c r="Z879" s="184"/>
      <c r="AA879" s="184"/>
    </row>
    <row r="880">
      <c r="A880" s="184"/>
      <c r="B880" s="184"/>
      <c r="C880" s="194"/>
      <c r="D880" s="194"/>
      <c r="E880" s="194"/>
      <c r="F880" s="194"/>
      <c r="G880" s="194"/>
      <c r="H880" s="184"/>
      <c r="I880" s="194"/>
      <c r="J880" s="194"/>
      <c r="K880" s="194"/>
      <c r="L880" s="184"/>
      <c r="M880" s="184"/>
      <c r="N880" s="184"/>
      <c r="O880" s="184"/>
      <c r="P880" s="184"/>
      <c r="Q880" s="184"/>
      <c r="R880" s="184"/>
      <c r="S880" s="184"/>
      <c r="T880" s="184"/>
      <c r="U880" s="184"/>
      <c r="V880" s="184"/>
      <c r="W880" s="184"/>
      <c r="X880" s="184"/>
      <c r="Y880" s="184"/>
      <c r="Z880" s="184"/>
      <c r="AA880" s="184"/>
    </row>
    <row r="881">
      <c r="A881" s="184"/>
      <c r="B881" s="184"/>
      <c r="C881" s="194"/>
      <c r="D881" s="194"/>
      <c r="E881" s="194"/>
      <c r="F881" s="194"/>
      <c r="G881" s="194"/>
      <c r="H881" s="184"/>
      <c r="I881" s="194"/>
      <c r="J881" s="194"/>
      <c r="K881" s="194"/>
      <c r="L881" s="184"/>
      <c r="M881" s="184"/>
      <c r="N881" s="184"/>
      <c r="O881" s="184"/>
      <c r="P881" s="184"/>
      <c r="Q881" s="184"/>
      <c r="R881" s="184"/>
      <c r="S881" s="184"/>
      <c r="T881" s="184"/>
      <c r="U881" s="184"/>
      <c r="V881" s="184"/>
      <c r="W881" s="184"/>
      <c r="X881" s="184"/>
      <c r="Y881" s="184"/>
      <c r="Z881" s="184"/>
      <c r="AA881" s="184"/>
    </row>
    <row r="882">
      <c r="A882" s="184"/>
      <c r="B882" s="184"/>
      <c r="C882" s="194"/>
      <c r="D882" s="194"/>
      <c r="E882" s="194"/>
      <c r="F882" s="194"/>
      <c r="G882" s="194"/>
      <c r="H882" s="184"/>
      <c r="I882" s="194"/>
      <c r="J882" s="194"/>
      <c r="K882" s="194"/>
      <c r="L882" s="184"/>
      <c r="M882" s="184"/>
      <c r="N882" s="184"/>
      <c r="O882" s="184"/>
      <c r="P882" s="184"/>
      <c r="Q882" s="184"/>
      <c r="R882" s="184"/>
      <c r="S882" s="184"/>
      <c r="T882" s="184"/>
      <c r="U882" s="184"/>
      <c r="V882" s="184"/>
      <c r="W882" s="184"/>
      <c r="X882" s="184"/>
      <c r="Y882" s="184"/>
      <c r="Z882" s="184"/>
      <c r="AA882" s="184"/>
    </row>
    <row r="883">
      <c r="A883" s="184"/>
      <c r="B883" s="184"/>
      <c r="C883" s="194"/>
      <c r="D883" s="194"/>
      <c r="E883" s="194"/>
      <c r="F883" s="194"/>
      <c r="G883" s="194"/>
      <c r="H883" s="184"/>
      <c r="I883" s="194"/>
      <c r="J883" s="194"/>
      <c r="K883" s="194"/>
      <c r="L883" s="184"/>
      <c r="M883" s="184"/>
      <c r="N883" s="184"/>
      <c r="O883" s="184"/>
      <c r="P883" s="184"/>
      <c r="Q883" s="184"/>
      <c r="R883" s="184"/>
      <c r="S883" s="184"/>
      <c r="T883" s="184"/>
      <c r="U883" s="184"/>
      <c r="V883" s="184"/>
      <c r="W883" s="184"/>
      <c r="X883" s="184"/>
      <c r="Y883" s="184"/>
      <c r="Z883" s="184"/>
      <c r="AA883" s="184"/>
    </row>
    <row r="884">
      <c r="A884" s="184"/>
      <c r="B884" s="184"/>
      <c r="C884" s="194"/>
      <c r="D884" s="194"/>
      <c r="E884" s="194"/>
      <c r="F884" s="194"/>
      <c r="G884" s="194"/>
      <c r="H884" s="184"/>
      <c r="I884" s="194"/>
      <c r="J884" s="194"/>
      <c r="K884" s="194"/>
      <c r="L884" s="184"/>
      <c r="M884" s="184"/>
      <c r="N884" s="184"/>
      <c r="O884" s="184"/>
      <c r="P884" s="184"/>
      <c r="Q884" s="184"/>
      <c r="R884" s="184"/>
      <c r="S884" s="184"/>
      <c r="T884" s="184"/>
      <c r="U884" s="184"/>
      <c r="V884" s="184"/>
      <c r="W884" s="184"/>
      <c r="X884" s="184"/>
      <c r="Y884" s="184"/>
      <c r="Z884" s="184"/>
      <c r="AA884" s="184"/>
    </row>
    <row r="885">
      <c r="A885" s="184"/>
      <c r="B885" s="184"/>
      <c r="C885" s="194"/>
      <c r="D885" s="194"/>
      <c r="E885" s="194"/>
      <c r="F885" s="194"/>
      <c r="G885" s="194"/>
      <c r="H885" s="184"/>
      <c r="I885" s="194"/>
      <c r="J885" s="194"/>
      <c r="K885" s="194"/>
      <c r="L885" s="184"/>
      <c r="M885" s="184"/>
      <c r="N885" s="184"/>
      <c r="O885" s="184"/>
      <c r="P885" s="184"/>
      <c r="Q885" s="184"/>
      <c r="R885" s="184"/>
      <c r="S885" s="184"/>
      <c r="T885" s="184"/>
      <c r="U885" s="184"/>
      <c r="V885" s="184"/>
      <c r="W885" s="184"/>
      <c r="X885" s="184"/>
      <c r="Y885" s="184"/>
      <c r="Z885" s="184"/>
      <c r="AA885" s="184"/>
    </row>
    <row r="886">
      <c r="A886" s="184"/>
      <c r="B886" s="184"/>
      <c r="C886" s="194"/>
      <c r="D886" s="194"/>
      <c r="E886" s="194"/>
      <c r="F886" s="194"/>
      <c r="G886" s="194"/>
      <c r="H886" s="184"/>
      <c r="I886" s="194"/>
      <c r="J886" s="194"/>
      <c r="K886" s="194"/>
      <c r="L886" s="184"/>
      <c r="M886" s="184"/>
      <c r="N886" s="184"/>
      <c r="O886" s="184"/>
      <c r="P886" s="184"/>
      <c r="Q886" s="184"/>
      <c r="R886" s="184"/>
      <c r="S886" s="184"/>
      <c r="T886" s="184"/>
      <c r="U886" s="184"/>
      <c r="V886" s="184"/>
      <c r="W886" s="184"/>
      <c r="X886" s="184"/>
      <c r="Y886" s="184"/>
      <c r="Z886" s="184"/>
      <c r="AA886" s="184"/>
    </row>
    <row r="887">
      <c r="A887" s="184"/>
      <c r="B887" s="184"/>
      <c r="C887" s="194"/>
      <c r="D887" s="194"/>
      <c r="E887" s="194"/>
      <c r="F887" s="194"/>
      <c r="G887" s="194"/>
      <c r="H887" s="184"/>
      <c r="I887" s="194"/>
      <c r="J887" s="194"/>
      <c r="K887" s="194"/>
      <c r="L887" s="184"/>
      <c r="M887" s="184"/>
      <c r="N887" s="184"/>
      <c r="O887" s="184"/>
      <c r="P887" s="184"/>
      <c r="Q887" s="184"/>
      <c r="R887" s="184"/>
      <c r="S887" s="184"/>
      <c r="T887" s="184"/>
      <c r="U887" s="184"/>
      <c r="V887" s="184"/>
      <c r="W887" s="184"/>
      <c r="X887" s="184"/>
      <c r="Y887" s="184"/>
      <c r="Z887" s="184"/>
      <c r="AA887" s="184"/>
    </row>
    <row r="888">
      <c r="A888" s="184"/>
      <c r="B888" s="184"/>
      <c r="C888" s="194"/>
      <c r="D888" s="194"/>
      <c r="E888" s="194"/>
      <c r="F888" s="194"/>
      <c r="G888" s="194"/>
      <c r="H888" s="184"/>
      <c r="I888" s="194"/>
      <c r="J888" s="194"/>
      <c r="K888" s="194"/>
      <c r="L888" s="184"/>
      <c r="M888" s="184"/>
      <c r="N888" s="184"/>
      <c r="O888" s="184"/>
      <c r="P888" s="184"/>
      <c r="Q888" s="184"/>
      <c r="R888" s="184"/>
      <c r="S888" s="184"/>
      <c r="T888" s="184"/>
      <c r="U888" s="184"/>
      <c r="V888" s="184"/>
      <c r="W888" s="184"/>
      <c r="X888" s="184"/>
      <c r="Y888" s="184"/>
      <c r="Z888" s="184"/>
      <c r="AA888" s="184"/>
    </row>
    <row r="889">
      <c r="A889" s="184"/>
      <c r="B889" s="184"/>
      <c r="C889" s="194"/>
      <c r="D889" s="194"/>
      <c r="E889" s="194"/>
      <c r="F889" s="194"/>
      <c r="G889" s="194"/>
      <c r="H889" s="184"/>
      <c r="I889" s="194"/>
      <c r="J889" s="194"/>
      <c r="K889" s="194"/>
      <c r="L889" s="184"/>
      <c r="M889" s="184"/>
      <c r="N889" s="184"/>
      <c r="O889" s="184"/>
      <c r="P889" s="184"/>
      <c r="Q889" s="184"/>
      <c r="R889" s="184"/>
      <c r="S889" s="184"/>
      <c r="T889" s="184"/>
      <c r="U889" s="184"/>
      <c r="V889" s="184"/>
      <c r="W889" s="184"/>
      <c r="X889" s="184"/>
      <c r="Y889" s="184"/>
      <c r="Z889" s="184"/>
      <c r="AA889" s="184"/>
    </row>
    <row r="890">
      <c r="A890" s="184"/>
      <c r="B890" s="184"/>
      <c r="C890" s="194"/>
      <c r="D890" s="194"/>
      <c r="E890" s="194"/>
      <c r="F890" s="194"/>
      <c r="G890" s="194"/>
      <c r="H890" s="184"/>
      <c r="I890" s="194"/>
      <c r="J890" s="194"/>
      <c r="K890" s="194"/>
      <c r="L890" s="184"/>
      <c r="M890" s="184"/>
      <c r="N890" s="184"/>
      <c r="O890" s="184"/>
      <c r="P890" s="184"/>
      <c r="Q890" s="184"/>
      <c r="R890" s="184"/>
      <c r="S890" s="184"/>
      <c r="T890" s="184"/>
      <c r="U890" s="184"/>
      <c r="V890" s="184"/>
      <c r="W890" s="184"/>
      <c r="X890" s="184"/>
      <c r="Y890" s="184"/>
      <c r="Z890" s="184"/>
      <c r="AA890" s="184"/>
    </row>
    <row r="891">
      <c r="A891" s="184"/>
      <c r="B891" s="184"/>
      <c r="C891" s="194"/>
      <c r="D891" s="194"/>
      <c r="E891" s="194"/>
      <c r="F891" s="194"/>
      <c r="G891" s="194"/>
      <c r="H891" s="184"/>
      <c r="I891" s="194"/>
      <c r="J891" s="194"/>
      <c r="K891" s="194"/>
      <c r="L891" s="184"/>
      <c r="M891" s="184"/>
      <c r="N891" s="184"/>
      <c r="O891" s="184"/>
      <c r="P891" s="184"/>
      <c r="Q891" s="184"/>
      <c r="R891" s="184"/>
      <c r="S891" s="184"/>
      <c r="T891" s="184"/>
      <c r="U891" s="184"/>
      <c r="V891" s="184"/>
      <c r="W891" s="184"/>
      <c r="X891" s="184"/>
      <c r="Y891" s="184"/>
      <c r="Z891" s="184"/>
      <c r="AA891" s="184"/>
    </row>
    <row r="892">
      <c r="A892" s="184"/>
      <c r="B892" s="184"/>
      <c r="C892" s="194"/>
      <c r="D892" s="194"/>
      <c r="E892" s="194"/>
      <c r="F892" s="194"/>
      <c r="G892" s="194"/>
      <c r="H892" s="184"/>
      <c r="I892" s="194"/>
      <c r="J892" s="194"/>
      <c r="K892" s="194"/>
      <c r="L892" s="184"/>
      <c r="M892" s="184"/>
      <c r="N892" s="184"/>
      <c r="O892" s="184"/>
      <c r="P892" s="184"/>
      <c r="Q892" s="184"/>
      <c r="R892" s="184"/>
      <c r="S892" s="184"/>
      <c r="T892" s="184"/>
      <c r="U892" s="184"/>
      <c r="V892" s="184"/>
      <c r="W892" s="184"/>
      <c r="X892" s="184"/>
      <c r="Y892" s="184"/>
      <c r="Z892" s="184"/>
      <c r="AA892" s="184"/>
    </row>
    <row r="893">
      <c r="A893" s="184"/>
      <c r="B893" s="184"/>
      <c r="C893" s="194"/>
      <c r="D893" s="194"/>
      <c r="E893" s="194"/>
      <c r="F893" s="194"/>
      <c r="G893" s="194"/>
      <c r="H893" s="184"/>
      <c r="I893" s="194"/>
      <c r="J893" s="194"/>
      <c r="K893" s="194"/>
      <c r="L893" s="184"/>
      <c r="M893" s="184"/>
      <c r="N893" s="184"/>
      <c r="O893" s="184"/>
      <c r="P893" s="184"/>
      <c r="Q893" s="184"/>
      <c r="R893" s="184"/>
      <c r="S893" s="184"/>
      <c r="T893" s="184"/>
      <c r="U893" s="184"/>
      <c r="V893" s="184"/>
      <c r="W893" s="184"/>
      <c r="X893" s="184"/>
      <c r="Y893" s="184"/>
      <c r="Z893" s="184"/>
      <c r="AA893" s="184"/>
    </row>
    <row r="894">
      <c r="A894" s="184"/>
      <c r="B894" s="184"/>
      <c r="C894" s="194"/>
      <c r="D894" s="194"/>
      <c r="E894" s="194"/>
      <c r="F894" s="194"/>
      <c r="G894" s="194"/>
      <c r="H894" s="184"/>
      <c r="I894" s="194"/>
      <c r="J894" s="194"/>
      <c r="K894" s="194"/>
      <c r="L894" s="184"/>
      <c r="M894" s="184"/>
      <c r="N894" s="184"/>
      <c r="O894" s="184"/>
      <c r="P894" s="184"/>
      <c r="Q894" s="184"/>
      <c r="R894" s="184"/>
      <c r="S894" s="184"/>
      <c r="T894" s="184"/>
      <c r="U894" s="184"/>
      <c r="V894" s="184"/>
      <c r="W894" s="184"/>
      <c r="X894" s="184"/>
      <c r="Y894" s="184"/>
      <c r="Z894" s="184"/>
      <c r="AA894" s="184"/>
    </row>
    <row r="895">
      <c r="A895" s="184"/>
      <c r="B895" s="184"/>
      <c r="C895" s="194"/>
      <c r="D895" s="194"/>
      <c r="E895" s="194"/>
      <c r="F895" s="194"/>
      <c r="G895" s="194"/>
      <c r="H895" s="184"/>
      <c r="I895" s="194"/>
      <c r="J895" s="194"/>
      <c r="K895" s="194"/>
      <c r="L895" s="184"/>
      <c r="M895" s="184"/>
      <c r="N895" s="184"/>
      <c r="O895" s="184"/>
      <c r="P895" s="184"/>
      <c r="Q895" s="184"/>
      <c r="R895" s="184"/>
      <c r="S895" s="184"/>
      <c r="T895" s="184"/>
      <c r="U895" s="184"/>
      <c r="V895" s="184"/>
      <c r="W895" s="184"/>
      <c r="X895" s="184"/>
      <c r="Y895" s="184"/>
      <c r="Z895" s="184"/>
      <c r="AA895" s="184"/>
    </row>
    <row r="896">
      <c r="A896" s="184"/>
      <c r="B896" s="184"/>
      <c r="C896" s="194"/>
      <c r="D896" s="194"/>
      <c r="E896" s="194"/>
      <c r="F896" s="194"/>
      <c r="G896" s="194"/>
      <c r="H896" s="184"/>
      <c r="I896" s="194"/>
      <c r="J896" s="194"/>
      <c r="K896" s="194"/>
      <c r="L896" s="184"/>
      <c r="M896" s="184"/>
      <c r="N896" s="184"/>
      <c r="O896" s="184"/>
      <c r="P896" s="184"/>
      <c r="Q896" s="184"/>
      <c r="R896" s="184"/>
      <c r="S896" s="184"/>
      <c r="T896" s="184"/>
      <c r="U896" s="184"/>
      <c r="V896" s="184"/>
      <c r="W896" s="184"/>
      <c r="X896" s="184"/>
      <c r="Y896" s="184"/>
      <c r="Z896" s="184"/>
      <c r="AA896" s="184"/>
    </row>
    <row r="897">
      <c r="A897" s="184"/>
      <c r="B897" s="184"/>
      <c r="C897" s="194"/>
      <c r="D897" s="194"/>
      <c r="E897" s="194"/>
      <c r="F897" s="194"/>
      <c r="G897" s="194"/>
      <c r="H897" s="184"/>
      <c r="I897" s="194"/>
      <c r="J897" s="194"/>
      <c r="K897" s="194"/>
      <c r="L897" s="184"/>
      <c r="M897" s="184"/>
      <c r="N897" s="184"/>
      <c r="O897" s="184"/>
      <c r="P897" s="184"/>
      <c r="Q897" s="184"/>
      <c r="R897" s="184"/>
      <c r="S897" s="184"/>
      <c r="T897" s="184"/>
      <c r="U897" s="184"/>
      <c r="V897" s="184"/>
      <c r="W897" s="184"/>
      <c r="X897" s="184"/>
      <c r="Y897" s="184"/>
      <c r="Z897" s="184"/>
      <c r="AA897" s="184"/>
    </row>
    <row r="898">
      <c r="A898" s="184"/>
      <c r="B898" s="184"/>
      <c r="C898" s="194"/>
      <c r="D898" s="194"/>
      <c r="E898" s="194"/>
      <c r="F898" s="194"/>
      <c r="G898" s="194"/>
      <c r="H898" s="184"/>
      <c r="I898" s="194"/>
      <c r="J898" s="194"/>
      <c r="K898" s="194"/>
      <c r="L898" s="184"/>
      <c r="M898" s="184"/>
      <c r="N898" s="184"/>
      <c r="O898" s="184"/>
      <c r="P898" s="184"/>
      <c r="Q898" s="184"/>
      <c r="R898" s="184"/>
      <c r="S898" s="184"/>
      <c r="T898" s="184"/>
      <c r="U898" s="184"/>
      <c r="V898" s="184"/>
      <c r="W898" s="184"/>
      <c r="X898" s="184"/>
      <c r="Y898" s="184"/>
      <c r="Z898" s="184"/>
      <c r="AA898" s="184"/>
    </row>
    <row r="899">
      <c r="A899" s="184"/>
      <c r="B899" s="184"/>
      <c r="C899" s="194"/>
      <c r="D899" s="194"/>
      <c r="E899" s="194"/>
      <c r="F899" s="194"/>
      <c r="G899" s="194"/>
      <c r="H899" s="184"/>
      <c r="I899" s="194"/>
      <c r="J899" s="194"/>
      <c r="K899" s="194"/>
      <c r="L899" s="184"/>
      <c r="M899" s="184"/>
      <c r="N899" s="184"/>
      <c r="O899" s="184"/>
      <c r="P899" s="184"/>
      <c r="Q899" s="184"/>
      <c r="R899" s="184"/>
      <c r="S899" s="184"/>
      <c r="T899" s="184"/>
      <c r="U899" s="184"/>
      <c r="V899" s="184"/>
      <c r="W899" s="184"/>
      <c r="X899" s="184"/>
      <c r="Y899" s="184"/>
      <c r="Z899" s="184"/>
      <c r="AA899" s="184"/>
    </row>
    <row r="900">
      <c r="A900" s="184"/>
      <c r="B900" s="184"/>
      <c r="C900" s="194"/>
      <c r="D900" s="194"/>
      <c r="E900" s="194"/>
      <c r="F900" s="194"/>
      <c r="G900" s="194"/>
      <c r="H900" s="184"/>
      <c r="I900" s="194"/>
      <c r="J900" s="194"/>
      <c r="K900" s="194"/>
      <c r="L900" s="184"/>
      <c r="M900" s="184"/>
      <c r="N900" s="184"/>
      <c r="O900" s="184"/>
      <c r="P900" s="184"/>
      <c r="Q900" s="184"/>
      <c r="R900" s="184"/>
      <c r="S900" s="184"/>
      <c r="T900" s="184"/>
      <c r="U900" s="184"/>
      <c r="V900" s="184"/>
      <c r="W900" s="184"/>
      <c r="X900" s="184"/>
      <c r="Y900" s="184"/>
      <c r="Z900" s="184"/>
      <c r="AA900" s="184"/>
    </row>
    <row r="901">
      <c r="A901" s="184"/>
      <c r="B901" s="184"/>
      <c r="C901" s="194"/>
      <c r="D901" s="194"/>
      <c r="E901" s="194"/>
      <c r="F901" s="194"/>
      <c r="G901" s="194"/>
      <c r="H901" s="184"/>
      <c r="I901" s="194"/>
      <c r="J901" s="194"/>
      <c r="K901" s="194"/>
      <c r="L901" s="184"/>
      <c r="M901" s="184"/>
      <c r="N901" s="184"/>
      <c r="O901" s="184"/>
      <c r="P901" s="184"/>
      <c r="Q901" s="184"/>
      <c r="R901" s="184"/>
      <c r="S901" s="184"/>
      <c r="T901" s="184"/>
      <c r="U901" s="184"/>
      <c r="V901" s="184"/>
      <c r="W901" s="184"/>
      <c r="X901" s="184"/>
      <c r="Y901" s="184"/>
      <c r="Z901" s="184"/>
      <c r="AA901" s="184"/>
    </row>
    <row r="902">
      <c r="A902" s="184"/>
      <c r="B902" s="184"/>
      <c r="C902" s="194"/>
      <c r="D902" s="194"/>
      <c r="E902" s="194"/>
      <c r="F902" s="194"/>
      <c r="G902" s="194"/>
      <c r="H902" s="184"/>
      <c r="I902" s="194"/>
      <c r="J902" s="194"/>
      <c r="K902" s="194"/>
      <c r="L902" s="184"/>
      <c r="M902" s="184"/>
      <c r="N902" s="184"/>
      <c r="O902" s="184"/>
      <c r="P902" s="184"/>
      <c r="Q902" s="184"/>
      <c r="R902" s="184"/>
      <c r="S902" s="184"/>
      <c r="T902" s="184"/>
      <c r="U902" s="184"/>
      <c r="V902" s="184"/>
      <c r="W902" s="184"/>
      <c r="X902" s="184"/>
      <c r="Y902" s="184"/>
      <c r="Z902" s="184"/>
      <c r="AA902" s="184"/>
    </row>
    <row r="903">
      <c r="A903" s="184"/>
      <c r="B903" s="184"/>
      <c r="C903" s="194"/>
      <c r="D903" s="194"/>
      <c r="E903" s="194"/>
      <c r="F903" s="194"/>
      <c r="G903" s="194"/>
      <c r="H903" s="184"/>
      <c r="I903" s="194"/>
      <c r="J903" s="194"/>
      <c r="K903" s="194"/>
      <c r="L903" s="184"/>
      <c r="M903" s="184"/>
      <c r="N903" s="184"/>
      <c r="O903" s="184"/>
      <c r="P903" s="184"/>
      <c r="Q903" s="184"/>
      <c r="R903" s="184"/>
      <c r="S903" s="184"/>
      <c r="T903" s="184"/>
      <c r="U903" s="184"/>
      <c r="V903" s="184"/>
      <c r="W903" s="184"/>
      <c r="X903" s="184"/>
      <c r="Y903" s="184"/>
      <c r="Z903" s="184"/>
      <c r="AA903" s="184"/>
    </row>
    <row r="904">
      <c r="A904" s="184"/>
      <c r="B904" s="184"/>
      <c r="C904" s="194"/>
      <c r="D904" s="194"/>
      <c r="E904" s="194"/>
      <c r="F904" s="194"/>
      <c r="G904" s="194"/>
      <c r="H904" s="184"/>
      <c r="I904" s="194"/>
      <c r="J904" s="194"/>
      <c r="K904" s="194"/>
      <c r="L904" s="184"/>
      <c r="M904" s="184"/>
      <c r="N904" s="184"/>
      <c r="O904" s="184"/>
      <c r="P904" s="184"/>
      <c r="Q904" s="184"/>
      <c r="R904" s="184"/>
      <c r="S904" s="184"/>
      <c r="T904" s="184"/>
      <c r="U904" s="184"/>
      <c r="V904" s="184"/>
      <c r="W904" s="184"/>
      <c r="X904" s="184"/>
      <c r="Y904" s="184"/>
      <c r="Z904" s="184"/>
      <c r="AA904" s="184"/>
    </row>
    <row r="905">
      <c r="A905" s="184"/>
      <c r="B905" s="184"/>
      <c r="C905" s="194"/>
      <c r="D905" s="194"/>
      <c r="E905" s="194"/>
      <c r="F905" s="194"/>
      <c r="G905" s="194"/>
      <c r="H905" s="184"/>
      <c r="I905" s="194"/>
      <c r="J905" s="194"/>
      <c r="K905" s="194"/>
      <c r="L905" s="184"/>
      <c r="M905" s="184"/>
      <c r="N905" s="184"/>
      <c r="O905" s="184"/>
      <c r="P905" s="184"/>
      <c r="Q905" s="184"/>
      <c r="R905" s="184"/>
      <c r="S905" s="184"/>
      <c r="T905" s="184"/>
      <c r="U905" s="184"/>
      <c r="V905" s="184"/>
      <c r="W905" s="184"/>
      <c r="X905" s="184"/>
      <c r="Y905" s="184"/>
      <c r="Z905" s="184"/>
      <c r="AA905" s="184"/>
    </row>
    <row r="906">
      <c r="A906" s="184"/>
      <c r="B906" s="184"/>
      <c r="C906" s="194"/>
      <c r="D906" s="194"/>
      <c r="E906" s="194"/>
      <c r="F906" s="194"/>
      <c r="G906" s="194"/>
      <c r="H906" s="184"/>
      <c r="I906" s="194"/>
      <c r="J906" s="194"/>
      <c r="K906" s="194"/>
      <c r="L906" s="184"/>
      <c r="M906" s="184"/>
      <c r="N906" s="184"/>
      <c r="O906" s="184"/>
      <c r="P906" s="184"/>
      <c r="Q906" s="184"/>
      <c r="R906" s="184"/>
      <c r="S906" s="184"/>
      <c r="T906" s="184"/>
      <c r="U906" s="184"/>
      <c r="V906" s="184"/>
      <c r="W906" s="184"/>
      <c r="X906" s="184"/>
      <c r="Y906" s="184"/>
      <c r="Z906" s="184"/>
      <c r="AA906" s="184"/>
    </row>
    <row r="907">
      <c r="A907" s="184"/>
      <c r="B907" s="184"/>
      <c r="C907" s="194"/>
      <c r="D907" s="194"/>
      <c r="E907" s="194"/>
      <c r="F907" s="194"/>
      <c r="G907" s="194"/>
      <c r="H907" s="184"/>
      <c r="I907" s="194"/>
      <c r="J907" s="194"/>
      <c r="K907" s="194"/>
      <c r="L907" s="184"/>
      <c r="M907" s="184"/>
      <c r="N907" s="184"/>
      <c r="O907" s="184"/>
      <c r="P907" s="184"/>
      <c r="Q907" s="184"/>
      <c r="R907" s="184"/>
      <c r="S907" s="184"/>
      <c r="T907" s="184"/>
      <c r="U907" s="184"/>
      <c r="V907" s="184"/>
      <c r="W907" s="184"/>
      <c r="X907" s="184"/>
      <c r="Y907" s="184"/>
      <c r="Z907" s="184"/>
      <c r="AA907" s="184"/>
    </row>
    <row r="908">
      <c r="A908" s="184"/>
      <c r="B908" s="184"/>
      <c r="C908" s="194"/>
      <c r="D908" s="194"/>
      <c r="E908" s="194"/>
      <c r="F908" s="194"/>
      <c r="G908" s="194"/>
      <c r="H908" s="184"/>
      <c r="I908" s="194"/>
      <c r="J908" s="194"/>
      <c r="K908" s="194"/>
      <c r="L908" s="184"/>
      <c r="M908" s="184"/>
      <c r="N908" s="184"/>
      <c r="O908" s="184"/>
      <c r="P908" s="184"/>
      <c r="Q908" s="184"/>
      <c r="R908" s="184"/>
      <c r="S908" s="184"/>
      <c r="T908" s="184"/>
      <c r="U908" s="184"/>
      <c r="V908" s="184"/>
      <c r="W908" s="184"/>
      <c r="X908" s="184"/>
      <c r="Y908" s="184"/>
      <c r="Z908" s="184"/>
      <c r="AA908" s="184"/>
    </row>
    <row r="909">
      <c r="A909" s="184"/>
      <c r="B909" s="184"/>
      <c r="C909" s="194"/>
      <c r="D909" s="194"/>
      <c r="E909" s="194"/>
      <c r="F909" s="194"/>
      <c r="G909" s="194"/>
      <c r="H909" s="184"/>
      <c r="I909" s="194"/>
      <c r="J909" s="194"/>
      <c r="K909" s="194"/>
      <c r="L909" s="184"/>
      <c r="M909" s="184"/>
      <c r="N909" s="184"/>
      <c r="O909" s="184"/>
      <c r="P909" s="184"/>
      <c r="Q909" s="184"/>
      <c r="R909" s="184"/>
      <c r="S909" s="184"/>
      <c r="T909" s="184"/>
      <c r="U909" s="184"/>
      <c r="V909" s="184"/>
      <c r="W909" s="184"/>
      <c r="X909" s="184"/>
      <c r="Y909" s="184"/>
      <c r="Z909" s="184"/>
      <c r="AA909" s="184"/>
    </row>
    <row r="910">
      <c r="A910" s="184"/>
      <c r="B910" s="184"/>
      <c r="C910" s="194"/>
      <c r="D910" s="194"/>
      <c r="E910" s="194"/>
      <c r="F910" s="194"/>
      <c r="G910" s="194"/>
      <c r="H910" s="184"/>
      <c r="I910" s="194"/>
      <c r="J910" s="194"/>
      <c r="K910" s="194"/>
      <c r="L910" s="184"/>
      <c r="M910" s="184"/>
      <c r="N910" s="184"/>
      <c r="O910" s="184"/>
      <c r="P910" s="184"/>
      <c r="Q910" s="184"/>
      <c r="R910" s="184"/>
      <c r="S910" s="184"/>
      <c r="T910" s="184"/>
      <c r="U910" s="184"/>
      <c r="V910" s="184"/>
      <c r="W910" s="184"/>
      <c r="X910" s="184"/>
      <c r="Y910" s="184"/>
      <c r="Z910" s="184"/>
      <c r="AA910" s="184"/>
    </row>
    <row r="911">
      <c r="A911" s="184"/>
      <c r="B911" s="184"/>
      <c r="C911" s="194"/>
      <c r="D911" s="194"/>
      <c r="E911" s="194"/>
      <c r="F911" s="194"/>
      <c r="G911" s="194"/>
      <c r="H911" s="184"/>
      <c r="I911" s="194"/>
      <c r="J911" s="194"/>
      <c r="K911" s="194"/>
      <c r="L911" s="184"/>
      <c r="M911" s="184"/>
      <c r="N911" s="184"/>
      <c r="O911" s="184"/>
      <c r="P911" s="184"/>
      <c r="Q911" s="184"/>
      <c r="R911" s="184"/>
      <c r="S911" s="184"/>
      <c r="T911" s="184"/>
      <c r="U911" s="184"/>
      <c r="V911" s="184"/>
      <c r="W911" s="184"/>
      <c r="X911" s="184"/>
      <c r="Y911" s="184"/>
      <c r="Z911" s="184"/>
      <c r="AA911" s="184"/>
    </row>
    <row r="912">
      <c r="A912" s="184"/>
      <c r="B912" s="184"/>
      <c r="C912" s="194"/>
      <c r="D912" s="194"/>
      <c r="E912" s="194"/>
      <c r="F912" s="194"/>
      <c r="G912" s="194"/>
      <c r="H912" s="184"/>
      <c r="I912" s="194"/>
      <c r="J912" s="194"/>
      <c r="K912" s="194"/>
      <c r="L912" s="184"/>
      <c r="M912" s="184"/>
      <c r="N912" s="184"/>
      <c r="O912" s="184"/>
      <c r="P912" s="184"/>
      <c r="Q912" s="184"/>
      <c r="R912" s="184"/>
      <c r="S912" s="184"/>
      <c r="T912" s="184"/>
      <c r="U912" s="184"/>
      <c r="V912" s="184"/>
      <c r="W912" s="184"/>
      <c r="X912" s="184"/>
      <c r="Y912" s="184"/>
      <c r="Z912" s="184"/>
      <c r="AA912" s="184"/>
    </row>
    <row r="913">
      <c r="A913" s="184"/>
      <c r="B913" s="184"/>
      <c r="C913" s="194"/>
      <c r="D913" s="194"/>
      <c r="E913" s="194"/>
      <c r="F913" s="194"/>
      <c r="G913" s="194"/>
      <c r="H913" s="184"/>
      <c r="I913" s="194"/>
      <c r="J913" s="194"/>
      <c r="K913" s="194"/>
      <c r="L913" s="184"/>
      <c r="M913" s="184"/>
      <c r="N913" s="184"/>
      <c r="O913" s="184"/>
      <c r="P913" s="184"/>
      <c r="Q913" s="184"/>
      <c r="R913" s="184"/>
      <c r="S913" s="184"/>
      <c r="T913" s="184"/>
      <c r="U913" s="184"/>
      <c r="V913" s="184"/>
      <c r="W913" s="184"/>
      <c r="X913" s="184"/>
      <c r="Y913" s="184"/>
      <c r="Z913" s="184"/>
      <c r="AA913" s="184"/>
    </row>
    <row r="914">
      <c r="A914" s="184"/>
      <c r="B914" s="184"/>
      <c r="C914" s="194"/>
      <c r="D914" s="194"/>
      <c r="E914" s="194"/>
      <c r="F914" s="194"/>
      <c r="G914" s="194"/>
      <c r="H914" s="184"/>
      <c r="I914" s="194"/>
      <c r="J914" s="194"/>
      <c r="K914" s="194"/>
      <c r="L914" s="184"/>
      <c r="M914" s="184"/>
      <c r="N914" s="184"/>
      <c r="O914" s="184"/>
      <c r="P914" s="184"/>
      <c r="Q914" s="184"/>
      <c r="R914" s="184"/>
      <c r="S914" s="184"/>
      <c r="T914" s="184"/>
      <c r="U914" s="184"/>
      <c r="V914" s="184"/>
      <c r="W914" s="184"/>
      <c r="X914" s="184"/>
      <c r="Y914" s="184"/>
      <c r="Z914" s="184"/>
      <c r="AA914" s="184"/>
    </row>
    <row r="915">
      <c r="A915" s="184"/>
      <c r="B915" s="184"/>
      <c r="C915" s="194"/>
      <c r="D915" s="194"/>
      <c r="E915" s="194"/>
      <c r="F915" s="194"/>
      <c r="G915" s="194"/>
      <c r="H915" s="184"/>
      <c r="I915" s="194"/>
      <c r="J915" s="194"/>
      <c r="K915" s="194"/>
      <c r="L915" s="184"/>
      <c r="M915" s="184"/>
      <c r="N915" s="184"/>
      <c r="O915" s="184"/>
      <c r="P915" s="184"/>
      <c r="Q915" s="184"/>
      <c r="R915" s="184"/>
      <c r="S915" s="184"/>
      <c r="T915" s="184"/>
      <c r="U915" s="184"/>
      <c r="V915" s="184"/>
      <c r="W915" s="184"/>
      <c r="X915" s="184"/>
      <c r="Y915" s="184"/>
      <c r="Z915" s="184"/>
      <c r="AA915" s="184"/>
    </row>
    <row r="916">
      <c r="A916" s="184"/>
      <c r="B916" s="184"/>
      <c r="C916" s="194"/>
      <c r="D916" s="194"/>
      <c r="E916" s="194"/>
      <c r="F916" s="194"/>
      <c r="G916" s="194"/>
      <c r="H916" s="184"/>
      <c r="I916" s="194"/>
      <c r="J916" s="194"/>
      <c r="K916" s="194"/>
      <c r="L916" s="184"/>
      <c r="M916" s="184"/>
      <c r="N916" s="184"/>
      <c r="O916" s="184"/>
      <c r="P916" s="184"/>
      <c r="Q916" s="184"/>
      <c r="R916" s="184"/>
      <c r="S916" s="184"/>
      <c r="T916" s="184"/>
      <c r="U916" s="184"/>
      <c r="V916" s="184"/>
      <c r="W916" s="184"/>
      <c r="X916" s="184"/>
      <c r="Y916" s="184"/>
      <c r="Z916" s="184"/>
      <c r="AA916" s="184"/>
    </row>
    <row r="917">
      <c r="A917" s="184"/>
      <c r="B917" s="184"/>
      <c r="C917" s="194"/>
      <c r="D917" s="194"/>
      <c r="E917" s="194"/>
      <c r="F917" s="194"/>
      <c r="G917" s="194"/>
      <c r="H917" s="184"/>
      <c r="I917" s="194"/>
      <c r="J917" s="194"/>
      <c r="K917" s="194"/>
      <c r="L917" s="184"/>
      <c r="M917" s="184"/>
      <c r="N917" s="184"/>
      <c r="O917" s="184"/>
      <c r="P917" s="184"/>
      <c r="Q917" s="184"/>
      <c r="R917" s="184"/>
      <c r="S917" s="184"/>
      <c r="T917" s="184"/>
      <c r="U917" s="184"/>
      <c r="V917" s="184"/>
      <c r="W917" s="184"/>
      <c r="X917" s="184"/>
      <c r="Y917" s="184"/>
      <c r="Z917" s="184"/>
      <c r="AA917" s="184"/>
    </row>
    <row r="918">
      <c r="A918" s="184"/>
      <c r="B918" s="184"/>
      <c r="C918" s="194"/>
      <c r="D918" s="194"/>
      <c r="E918" s="194"/>
      <c r="F918" s="194"/>
      <c r="G918" s="194"/>
      <c r="H918" s="184"/>
      <c r="I918" s="194"/>
      <c r="J918" s="194"/>
      <c r="K918" s="194"/>
      <c r="L918" s="184"/>
      <c r="M918" s="184"/>
      <c r="N918" s="184"/>
      <c r="O918" s="184"/>
      <c r="P918" s="184"/>
      <c r="Q918" s="184"/>
      <c r="R918" s="184"/>
      <c r="S918" s="184"/>
      <c r="T918" s="184"/>
      <c r="U918" s="184"/>
      <c r="V918" s="184"/>
      <c r="W918" s="184"/>
      <c r="X918" s="184"/>
      <c r="Y918" s="184"/>
      <c r="Z918" s="184"/>
      <c r="AA918" s="184"/>
    </row>
    <row r="919">
      <c r="A919" s="184"/>
      <c r="B919" s="184"/>
      <c r="C919" s="194"/>
      <c r="D919" s="194"/>
      <c r="E919" s="194"/>
      <c r="F919" s="194"/>
      <c r="G919" s="194"/>
      <c r="H919" s="184"/>
      <c r="I919" s="194"/>
      <c r="J919" s="194"/>
      <c r="K919" s="194"/>
      <c r="L919" s="184"/>
      <c r="M919" s="184"/>
      <c r="N919" s="184"/>
      <c r="O919" s="184"/>
      <c r="P919" s="184"/>
      <c r="Q919" s="184"/>
      <c r="R919" s="184"/>
      <c r="S919" s="184"/>
      <c r="T919" s="184"/>
      <c r="U919" s="184"/>
      <c r="V919" s="184"/>
      <c r="W919" s="184"/>
      <c r="X919" s="184"/>
      <c r="Y919" s="184"/>
      <c r="Z919" s="184"/>
      <c r="AA919" s="184"/>
    </row>
    <row r="920">
      <c r="A920" s="184"/>
      <c r="B920" s="184"/>
      <c r="C920" s="194"/>
      <c r="D920" s="194"/>
      <c r="E920" s="194"/>
      <c r="F920" s="194"/>
      <c r="G920" s="194"/>
      <c r="H920" s="184"/>
      <c r="I920" s="194"/>
      <c r="J920" s="194"/>
      <c r="K920" s="194"/>
      <c r="L920" s="184"/>
      <c r="M920" s="184"/>
      <c r="N920" s="184"/>
      <c r="O920" s="184"/>
      <c r="P920" s="184"/>
      <c r="Q920" s="184"/>
      <c r="R920" s="184"/>
      <c r="S920" s="184"/>
      <c r="T920" s="184"/>
      <c r="U920" s="184"/>
      <c r="V920" s="184"/>
      <c r="W920" s="184"/>
      <c r="X920" s="184"/>
      <c r="Y920" s="184"/>
      <c r="Z920" s="184"/>
      <c r="AA920" s="184"/>
    </row>
    <row r="921">
      <c r="A921" s="184"/>
      <c r="B921" s="184"/>
      <c r="C921" s="194"/>
      <c r="D921" s="194"/>
      <c r="E921" s="194"/>
      <c r="F921" s="194"/>
      <c r="G921" s="194"/>
      <c r="H921" s="184"/>
      <c r="I921" s="194"/>
      <c r="J921" s="194"/>
      <c r="K921" s="194"/>
      <c r="L921" s="184"/>
      <c r="M921" s="184"/>
      <c r="N921" s="184"/>
      <c r="O921" s="184"/>
      <c r="P921" s="184"/>
      <c r="Q921" s="184"/>
      <c r="R921" s="184"/>
      <c r="S921" s="184"/>
      <c r="T921" s="184"/>
      <c r="U921" s="184"/>
      <c r="V921" s="184"/>
      <c r="W921" s="184"/>
      <c r="X921" s="184"/>
      <c r="Y921" s="184"/>
      <c r="Z921" s="184"/>
      <c r="AA921" s="184"/>
    </row>
    <row r="922">
      <c r="A922" s="184"/>
      <c r="B922" s="184"/>
      <c r="C922" s="194"/>
      <c r="D922" s="194"/>
      <c r="E922" s="194"/>
      <c r="F922" s="194"/>
      <c r="G922" s="194"/>
      <c r="H922" s="184"/>
      <c r="I922" s="194"/>
      <c r="J922" s="194"/>
      <c r="K922" s="194"/>
      <c r="L922" s="184"/>
      <c r="M922" s="184"/>
      <c r="N922" s="184"/>
      <c r="O922" s="184"/>
      <c r="P922" s="184"/>
      <c r="Q922" s="184"/>
      <c r="R922" s="184"/>
      <c r="S922" s="184"/>
      <c r="T922" s="184"/>
      <c r="U922" s="184"/>
      <c r="V922" s="184"/>
      <c r="W922" s="184"/>
      <c r="X922" s="184"/>
      <c r="Y922" s="184"/>
      <c r="Z922" s="184"/>
      <c r="AA922" s="184"/>
    </row>
    <row r="923">
      <c r="A923" s="184"/>
      <c r="B923" s="184"/>
      <c r="C923" s="194"/>
      <c r="D923" s="194"/>
      <c r="E923" s="194"/>
      <c r="F923" s="194"/>
      <c r="G923" s="194"/>
      <c r="H923" s="184"/>
      <c r="I923" s="194"/>
      <c r="J923" s="194"/>
      <c r="K923" s="194"/>
      <c r="L923" s="184"/>
      <c r="M923" s="184"/>
      <c r="N923" s="184"/>
      <c r="O923" s="184"/>
      <c r="P923" s="184"/>
      <c r="Q923" s="184"/>
      <c r="R923" s="184"/>
      <c r="S923" s="184"/>
      <c r="T923" s="184"/>
      <c r="U923" s="184"/>
      <c r="V923" s="184"/>
      <c r="W923" s="184"/>
      <c r="X923" s="184"/>
      <c r="Y923" s="184"/>
      <c r="Z923" s="184"/>
      <c r="AA923" s="184"/>
    </row>
    <row r="924">
      <c r="A924" s="184"/>
      <c r="B924" s="184"/>
      <c r="C924" s="194"/>
      <c r="D924" s="194"/>
      <c r="E924" s="194"/>
      <c r="F924" s="194"/>
      <c r="G924" s="194"/>
      <c r="H924" s="184"/>
      <c r="I924" s="194"/>
      <c r="J924" s="194"/>
      <c r="K924" s="194"/>
      <c r="L924" s="184"/>
      <c r="M924" s="184"/>
      <c r="N924" s="184"/>
      <c r="O924" s="184"/>
      <c r="P924" s="184"/>
      <c r="Q924" s="184"/>
      <c r="R924" s="184"/>
      <c r="S924" s="184"/>
      <c r="T924" s="184"/>
      <c r="U924" s="184"/>
      <c r="V924" s="184"/>
      <c r="W924" s="184"/>
      <c r="X924" s="184"/>
      <c r="Y924" s="184"/>
      <c r="Z924" s="184"/>
      <c r="AA924" s="184"/>
    </row>
    <row r="925">
      <c r="A925" s="184"/>
      <c r="B925" s="184"/>
      <c r="C925" s="194"/>
      <c r="D925" s="194"/>
      <c r="E925" s="194"/>
      <c r="F925" s="194"/>
      <c r="G925" s="194"/>
      <c r="H925" s="184"/>
      <c r="I925" s="194"/>
      <c r="J925" s="194"/>
      <c r="K925" s="194"/>
      <c r="L925" s="184"/>
      <c r="M925" s="184"/>
      <c r="N925" s="184"/>
      <c r="O925" s="184"/>
      <c r="P925" s="184"/>
      <c r="Q925" s="184"/>
      <c r="R925" s="184"/>
      <c r="S925" s="184"/>
      <c r="T925" s="184"/>
      <c r="U925" s="184"/>
      <c r="V925" s="184"/>
      <c r="W925" s="184"/>
      <c r="X925" s="184"/>
      <c r="Y925" s="184"/>
      <c r="Z925" s="184"/>
      <c r="AA925" s="184"/>
    </row>
    <row r="926">
      <c r="A926" s="184"/>
      <c r="B926" s="184"/>
      <c r="C926" s="194"/>
      <c r="D926" s="194"/>
      <c r="E926" s="194"/>
      <c r="F926" s="194"/>
      <c r="G926" s="194"/>
      <c r="H926" s="184"/>
      <c r="I926" s="194"/>
      <c r="J926" s="194"/>
      <c r="K926" s="194"/>
      <c r="L926" s="184"/>
      <c r="M926" s="184"/>
      <c r="N926" s="184"/>
      <c r="O926" s="184"/>
      <c r="P926" s="184"/>
      <c r="Q926" s="184"/>
      <c r="R926" s="184"/>
      <c r="S926" s="184"/>
      <c r="T926" s="184"/>
      <c r="U926" s="184"/>
      <c r="V926" s="184"/>
      <c r="W926" s="184"/>
      <c r="X926" s="184"/>
      <c r="Y926" s="184"/>
      <c r="Z926" s="184"/>
      <c r="AA926" s="184"/>
    </row>
    <row r="927">
      <c r="A927" s="184"/>
      <c r="B927" s="184"/>
      <c r="C927" s="194"/>
      <c r="D927" s="194"/>
      <c r="E927" s="194"/>
      <c r="F927" s="194"/>
      <c r="G927" s="194"/>
      <c r="H927" s="184"/>
      <c r="I927" s="194"/>
      <c r="J927" s="194"/>
      <c r="K927" s="194"/>
      <c r="L927" s="184"/>
      <c r="M927" s="184"/>
      <c r="N927" s="184"/>
      <c r="O927" s="184"/>
      <c r="P927" s="184"/>
      <c r="Q927" s="184"/>
      <c r="R927" s="184"/>
      <c r="S927" s="184"/>
      <c r="T927" s="184"/>
      <c r="U927" s="184"/>
      <c r="V927" s="184"/>
      <c r="W927" s="184"/>
      <c r="X927" s="184"/>
      <c r="Y927" s="184"/>
      <c r="Z927" s="184"/>
      <c r="AA927" s="184"/>
    </row>
    <row r="928">
      <c r="A928" s="184"/>
      <c r="B928" s="184"/>
      <c r="C928" s="194"/>
      <c r="D928" s="194"/>
      <c r="E928" s="194"/>
      <c r="F928" s="194"/>
      <c r="G928" s="194"/>
      <c r="H928" s="184"/>
      <c r="I928" s="194"/>
      <c r="J928" s="194"/>
      <c r="K928" s="194"/>
      <c r="L928" s="184"/>
      <c r="M928" s="184"/>
      <c r="N928" s="184"/>
      <c r="O928" s="184"/>
      <c r="P928" s="184"/>
      <c r="Q928" s="184"/>
      <c r="R928" s="184"/>
      <c r="S928" s="184"/>
      <c r="T928" s="184"/>
      <c r="U928" s="184"/>
      <c r="V928" s="184"/>
      <c r="W928" s="184"/>
      <c r="X928" s="184"/>
      <c r="Y928" s="184"/>
      <c r="Z928" s="184"/>
      <c r="AA928" s="184"/>
    </row>
    <row r="929">
      <c r="A929" s="184"/>
      <c r="B929" s="184"/>
      <c r="C929" s="194"/>
      <c r="D929" s="194"/>
      <c r="E929" s="194"/>
      <c r="F929" s="194"/>
      <c r="G929" s="194"/>
      <c r="H929" s="184"/>
      <c r="I929" s="194"/>
      <c r="J929" s="194"/>
      <c r="K929" s="194"/>
      <c r="L929" s="184"/>
      <c r="M929" s="184"/>
      <c r="N929" s="184"/>
      <c r="O929" s="184"/>
      <c r="P929" s="184"/>
      <c r="Q929" s="184"/>
      <c r="R929" s="184"/>
      <c r="S929" s="184"/>
      <c r="T929" s="184"/>
      <c r="U929" s="184"/>
      <c r="V929" s="184"/>
      <c r="W929" s="184"/>
      <c r="X929" s="184"/>
      <c r="Y929" s="184"/>
      <c r="Z929" s="184"/>
      <c r="AA929" s="184"/>
    </row>
    <row r="930">
      <c r="A930" s="184"/>
      <c r="B930" s="184"/>
      <c r="C930" s="194"/>
      <c r="D930" s="194"/>
      <c r="E930" s="194"/>
      <c r="F930" s="194"/>
      <c r="G930" s="194"/>
      <c r="H930" s="184"/>
      <c r="I930" s="194"/>
      <c r="J930" s="194"/>
      <c r="K930" s="194"/>
      <c r="L930" s="184"/>
      <c r="M930" s="184"/>
      <c r="N930" s="184"/>
      <c r="O930" s="184"/>
      <c r="P930" s="184"/>
      <c r="Q930" s="184"/>
      <c r="R930" s="184"/>
      <c r="S930" s="184"/>
      <c r="T930" s="184"/>
      <c r="U930" s="184"/>
      <c r="V930" s="184"/>
      <c r="W930" s="184"/>
      <c r="X930" s="184"/>
      <c r="Y930" s="184"/>
      <c r="Z930" s="184"/>
      <c r="AA930" s="184"/>
    </row>
    <row r="931">
      <c r="A931" s="184"/>
      <c r="B931" s="184"/>
      <c r="C931" s="194"/>
      <c r="D931" s="194"/>
      <c r="E931" s="194"/>
      <c r="F931" s="194"/>
      <c r="G931" s="194"/>
      <c r="H931" s="184"/>
      <c r="I931" s="194"/>
      <c r="J931" s="194"/>
      <c r="K931" s="194"/>
      <c r="L931" s="184"/>
      <c r="M931" s="184"/>
      <c r="N931" s="184"/>
      <c r="O931" s="184"/>
      <c r="P931" s="184"/>
      <c r="Q931" s="184"/>
      <c r="R931" s="184"/>
      <c r="S931" s="184"/>
      <c r="T931" s="184"/>
      <c r="U931" s="184"/>
      <c r="V931" s="184"/>
      <c r="W931" s="184"/>
      <c r="X931" s="184"/>
      <c r="Y931" s="184"/>
      <c r="Z931" s="184"/>
      <c r="AA931" s="184"/>
    </row>
    <row r="932">
      <c r="A932" s="184"/>
      <c r="B932" s="184"/>
      <c r="C932" s="194"/>
      <c r="D932" s="194"/>
      <c r="E932" s="194"/>
      <c r="F932" s="194"/>
      <c r="G932" s="194"/>
      <c r="H932" s="184"/>
      <c r="I932" s="194"/>
      <c r="J932" s="194"/>
      <c r="K932" s="194"/>
      <c r="L932" s="184"/>
      <c r="M932" s="184"/>
      <c r="N932" s="184"/>
      <c r="O932" s="184"/>
      <c r="P932" s="184"/>
      <c r="Q932" s="184"/>
      <c r="R932" s="184"/>
      <c r="S932" s="184"/>
      <c r="T932" s="184"/>
      <c r="U932" s="184"/>
      <c r="V932" s="184"/>
      <c r="W932" s="184"/>
      <c r="X932" s="184"/>
      <c r="Y932" s="184"/>
      <c r="Z932" s="184"/>
      <c r="AA932" s="184"/>
    </row>
    <row r="933">
      <c r="A933" s="184"/>
      <c r="B933" s="184"/>
      <c r="C933" s="194"/>
      <c r="D933" s="194"/>
      <c r="E933" s="194"/>
      <c r="F933" s="194"/>
      <c r="G933" s="194"/>
      <c r="H933" s="184"/>
      <c r="I933" s="194"/>
      <c r="J933" s="194"/>
      <c r="K933" s="194"/>
      <c r="L933" s="184"/>
      <c r="M933" s="184"/>
      <c r="N933" s="184"/>
      <c r="O933" s="184"/>
      <c r="P933" s="184"/>
      <c r="Q933" s="184"/>
      <c r="R933" s="184"/>
      <c r="S933" s="184"/>
      <c r="T933" s="184"/>
      <c r="U933" s="184"/>
      <c r="V933" s="184"/>
      <c r="W933" s="184"/>
      <c r="X933" s="184"/>
      <c r="Y933" s="184"/>
      <c r="Z933" s="184"/>
      <c r="AA933" s="184"/>
    </row>
    <row r="934">
      <c r="A934" s="184"/>
      <c r="B934" s="184"/>
      <c r="C934" s="194"/>
      <c r="D934" s="194"/>
      <c r="E934" s="194"/>
      <c r="F934" s="194"/>
      <c r="G934" s="194"/>
      <c r="H934" s="184"/>
      <c r="I934" s="194"/>
      <c r="J934" s="194"/>
      <c r="K934" s="194"/>
      <c r="L934" s="184"/>
      <c r="M934" s="184"/>
      <c r="N934" s="184"/>
      <c r="O934" s="184"/>
      <c r="P934" s="184"/>
      <c r="Q934" s="184"/>
      <c r="R934" s="184"/>
      <c r="S934" s="184"/>
      <c r="T934" s="184"/>
      <c r="U934" s="184"/>
      <c r="V934" s="184"/>
      <c r="W934" s="184"/>
      <c r="X934" s="184"/>
      <c r="Y934" s="184"/>
      <c r="Z934" s="184"/>
      <c r="AA934" s="184"/>
    </row>
    <row r="935">
      <c r="A935" s="184"/>
      <c r="B935" s="184"/>
      <c r="C935" s="194"/>
      <c r="D935" s="194"/>
      <c r="E935" s="194"/>
      <c r="F935" s="194"/>
      <c r="G935" s="194"/>
      <c r="H935" s="184"/>
      <c r="I935" s="194"/>
      <c r="J935" s="194"/>
      <c r="K935" s="194"/>
      <c r="L935" s="184"/>
      <c r="M935" s="184"/>
      <c r="N935" s="184"/>
      <c r="O935" s="184"/>
      <c r="P935" s="184"/>
      <c r="Q935" s="184"/>
      <c r="R935" s="184"/>
      <c r="S935" s="184"/>
      <c r="T935" s="184"/>
      <c r="U935" s="184"/>
      <c r="V935" s="184"/>
      <c r="W935" s="184"/>
      <c r="X935" s="184"/>
      <c r="Y935" s="184"/>
      <c r="Z935" s="184"/>
      <c r="AA935" s="184"/>
    </row>
    <row r="936">
      <c r="A936" s="184"/>
      <c r="B936" s="184"/>
      <c r="C936" s="194"/>
      <c r="D936" s="194"/>
      <c r="E936" s="194"/>
      <c r="F936" s="194"/>
      <c r="G936" s="194"/>
      <c r="H936" s="184"/>
      <c r="I936" s="194"/>
      <c r="J936" s="194"/>
      <c r="K936" s="194"/>
      <c r="L936" s="184"/>
      <c r="M936" s="184"/>
      <c r="N936" s="184"/>
      <c r="O936" s="184"/>
      <c r="P936" s="184"/>
      <c r="Q936" s="184"/>
      <c r="R936" s="184"/>
      <c r="S936" s="184"/>
      <c r="T936" s="184"/>
      <c r="U936" s="184"/>
      <c r="V936" s="184"/>
      <c r="W936" s="184"/>
      <c r="X936" s="184"/>
      <c r="Y936" s="184"/>
      <c r="Z936" s="184"/>
      <c r="AA936" s="184"/>
    </row>
    <row r="937">
      <c r="A937" s="184"/>
      <c r="B937" s="184"/>
      <c r="C937" s="194"/>
      <c r="D937" s="194"/>
      <c r="E937" s="194"/>
      <c r="F937" s="194"/>
      <c r="G937" s="194"/>
      <c r="H937" s="184"/>
      <c r="I937" s="194"/>
      <c r="J937" s="194"/>
      <c r="K937" s="194"/>
      <c r="L937" s="184"/>
      <c r="M937" s="184"/>
      <c r="N937" s="184"/>
      <c r="O937" s="184"/>
      <c r="P937" s="184"/>
      <c r="Q937" s="184"/>
      <c r="R937" s="184"/>
      <c r="S937" s="184"/>
      <c r="T937" s="184"/>
      <c r="U937" s="184"/>
      <c r="V937" s="184"/>
      <c r="W937" s="184"/>
      <c r="X937" s="184"/>
      <c r="Y937" s="184"/>
      <c r="Z937" s="184"/>
      <c r="AA937" s="184"/>
    </row>
    <row r="938">
      <c r="A938" s="184"/>
      <c r="B938" s="184"/>
      <c r="C938" s="194"/>
      <c r="D938" s="194"/>
      <c r="E938" s="194"/>
      <c r="F938" s="194"/>
      <c r="G938" s="194"/>
      <c r="H938" s="184"/>
      <c r="I938" s="194"/>
      <c r="J938" s="194"/>
      <c r="K938" s="194"/>
      <c r="L938" s="184"/>
      <c r="M938" s="184"/>
      <c r="N938" s="184"/>
      <c r="O938" s="184"/>
      <c r="P938" s="184"/>
      <c r="Q938" s="184"/>
      <c r="R938" s="184"/>
      <c r="S938" s="184"/>
      <c r="T938" s="184"/>
      <c r="U938" s="184"/>
      <c r="V938" s="184"/>
      <c r="W938" s="184"/>
      <c r="X938" s="184"/>
      <c r="Y938" s="184"/>
      <c r="Z938" s="184"/>
      <c r="AA938" s="184"/>
    </row>
    <row r="939">
      <c r="A939" s="184"/>
      <c r="B939" s="184"/>
      <c r="C939" s="194"/>
      <c r="D939" s="194"/>
      <c r="E939" s="194"/>
      <c r="F939" s="194"/>
      <c r="G939" s="194"/>
      <c r="H939" s="184"/>
      <c r="I939" s="194"/>
      <c r="J939" s="194"/>
      <c r="K939" s="194"/>
      <c r="L939" s="184"/>
      <c r="M939" s="184"/>
      <c r="N939" s="184"/>
      <c r="O939" s="184"/>
      <c r="P939" s="184"/>
      <c r="Q939" s="184"/>
      <c r="R939" s="184"/>
      <c r="S939" s="184"/>
      <c r="T939" s="184"/>
      <c r="U939" s="184"/>
      <c r="V939" s="184"/>
      <c r="W939" s="184"/>
      <c r="X939" s="184"/>
      <c r="Y939" s="184"/>
      <c r="Z939" s="184"/>
      <c r="AA939" s="184"/>
    </row>
    <row r="940">
      <c r="A940" s="184"/>
      <c r="B940" s="184"/>
      <c r="C940" s="194"/>
      <c r="D940" s="194"/>
      <c r="E940" s="194"/>
      <c r="F940" s="194"/>
      <c r="G940" s="194"/>
      <c r="H940" s="184"/>
      <c r="I940" s="194"/>
      <c r="J940" s="194"/>
      <c r="K940" s="194"/>
      <c r="L940" s="184"/>
      <c r="M940" s="184"/>
      <c r="N940" s="184"/>
      <c r="O940" s="184"/>
      <c r="P940" s="184"/>
      <c r="Q940" s="184"/>
      <c r="R940" s="184"/>
      <c r="S940" s="184"/>
      <c r="T940" s="184"/>
      <c r="U940" s="184"/>
      <c r="V940" s="184"/>
      <c r="W940" s="184"/>
      <c r="X940" s="184"/>
      <c r="Y940" s="184"/>
      <c r="Z940" s="184"/>
      <c r="AA940" s="184"/>
    </row>
    <row r="941">
      <c r="A941" s="184"/>
      <c r="B941" s="184"/>
      <c r="C941" s="194"/>
      <c r="D941" s="194"/>
      <c r="E941" s="194"/>
      <c r="F941" s="194"/>
      <c r="G941" s="194"/>
      <c r="H941" s="184"/>
      <c r="I941" s="194"/>
      <c r="J941" s="194"/>
      <c r="K941" s="194"/>
      <c r="L941" s="184"/>
      <c r="M941" s="184"/>
      <c r="N941" s="184"/>
      <c r="O941" s="184"/>
      <c r="P941" s="184"/>
      <c r="Q941" s="184"/>
      <c r="R941" s="184"/>
      <c r="S941" s="184"/>
      <c r="T941" s="184"/>
      <c r="U941" s="184"/>
      <c r="V941" s="184"/>
      <c r="W941" s="184"/>
      <c r="X941" s="184"/>
      <c r="Y941" s="184"/>
      <c r="Z941" s="184"/>
      <c r="AA941" s="184"/>
    </row>
    <row r="942">
      <c r="A942" s="184"/>
      <c r="B942" s="184"/>
      <c r="C942" s="194"/>
      <c r="D942" s="194"/>
      <c r="E942" s="194"/>
      <c r="F942" s="194"/>
      <c r="G942" s="194"/>
      <c r="H942" s="184"/>
      <c r="I942" s="194"/>
      <c r="J942" s="194"/>
      <c r="K942" s="194"/>
      <c r="L942" s="184"/>
      <c r="M942" s="184"/>
      <c r="N942" s="184"/>
      <c r="O942" s="184"/>
      <c r="P942" s="184"/>
      <c r="Q942" s="184"/>
      <c r="R942" s="184"/>
      <c r="S942" s="184"/>
      <c r="T942" s="184"/>
      <c r="U942" s="184"/>
      <c r="V942" s="184"/>
      <c r="W942" s="184"/>
      <c r="X942" s="184"/>
      <c r="Y942" s="184"/>
      <c r="Z942" s="184"/>
      <c r="AA942" s="184"/>
    </row>
    <row r="943">
      <c r="A943" s="184"/>
      <c r="B943" s="184"/>
      <c r="C943" s="194"/>
      <c r="D943" s="194"/>
      <c r="E943" s="194"/>
      <c r="F943" s="194"/>
      <c r="G943" s="194"/>
      <c r="H943" s="184"/>
      <c r="I943" s="194"/>
      <c r="J943" s="194"/>
      <c r="K943" s="194"/>
      <c r="L943" s="184"/>
      <c r="M943" s="184"/>
      <c r="N943" s="184"/>
      <c r="O943" s="184"/>
      <c r="P943" s="184"/>
      <c r="Q943" s="184"/>
      <c r="R943" s="184"/>
      <c r="S943" s="184"/>
      <c r="T943" s="184"/>
      <c r="U943" s="184"/>
      <c r="V943" s="184"/>
      <c r="W943" s="184"/>
      <c r="X943" s="184"/>
      <c r="Y943" s="184"/>
      <c r="Z943" s="184"/>
      <c r="AA943" s="184"/>
    </row>
    <row r="944">
      <c r="A944" s="184"/>
      <c r="B944" s="184"/>
      <c r="C944" s="194"/>
      <c r="D944" s="194"/>
      <c r="E944" s="194"/>
      <c r="F944" s="194"/>
      <c r="G944" s="194"/>
      <c r="H944" s="184"/>
      <c r="I944" s="194"/>
      <c r="J944" s="194"/>
      <c r="K944" s="194"/>
      <c r="L944" s="184"/>
      <c r="M944" s="184"/>
      <c r="N944" s="184"/>
      <c r="O944" s="184"/>
      <c r="P944" s="184"/>
      <c r="Q944" s="184"/>
      <c r="R944" s="184"/>
      <c r="S944" s="184"/>
      <c r="T944" s="184"/>
      <c r="U944" s="184"/>
      <c r="V944" s="184"/>
      <c r="W944" s="184"/>
      <c r="X944" s="184"/>
      <c r="Y944" s="184"/>
      <c r="Z944" s="184"/>
      <c r="AA944" s="184"/>
    </row>
    <row r="945">
      <c r="A945" s="184"/>
      <c r="B945" s="184"/>
      <c r="C945" s="194"/>
      <c r="D945" s="194"/>
      <c r="E945" s="194"/>
      <c r="F945" s="194"/>
      <c r="G945" s="194"/>
      <c r="H945" s="184"/>
      <c r="I945" s="194"/>
      <c r="J945" s="194"/>
      <c r="K945" s="194"/>
      <c r="L945" s="184"/>
      <c r="M945" s="184"/>
      <c r="N945" s="184"/>
      <c r="O945" s="184"/>
      <c r="P945" s="184"/>
      <c r="Q945" s="184"/>
      <c r="R945" s="184"/>
      <c r="S945" s="184"/>
      <c r="T945" s="184"/>
      <c r="U945" s="184"/>
      <c r="V945" s="184"/>
      <c r="W945" s="184"/>
      <c r="X945" s="184"/>
      <c r="Y945" s="184"/>
      <c r="Z945" s="184"/>
      <c r="AA945" s="184"/>
    </row>
    <row r="946">
      <c r="A946" s="184"/>
      <c r="B946" s="184"/>
      <c r="C946" s="194"/>
      <c r="D946" s="194"/>
      <c r="E946" s="194"/>
      <c r="F946" s="194"/>
      <c r="G946" s="194"/>
      <c r="H946" s="184"/>
      <c r="I946" s="194"/>
      <c r="J946" s="194"/>
      <c r="K946" s="194"/>
      <c r="L946" s="184"/>
      <c r="M946" s="184"/>
      <c r="N946" s="184"/>
      <c r="O946" s="184"/>
      <c r="P946" s="184"/>
      <c r="Q946" s="184"/>
      <c r="R946" s="184"/>
      <c r="S946" s="184"/>
      <c r="T946" s="184"/>
      <c r="U946" s="184"/>
      <c r="V946" s="184"/>
      <c r="W946" s="184"/>
      <c r="X946" s="184"/>
      <c r="Y946" s="184"/>
      <c r="Z946" s="184"/>
      <c r="AA946" s="184"/>
    </row>
    <row r="947">
      <c r="A947" s="184"/>
      <c r="B947" s="184"/>
      <c r="C947" s="194"/>
      <c r="D947" s="194"/>
      <c r="E947" s="194"/>
      <c r="F947" s="194"/>
      <c r="G947" s="194"/>
      <c r="H947" s="184"/>
      <c r="I947" s="194"/>
      <c r="J947" s="194"/>
      <c r="K947" s="194"/>
      <c r="L947" s="184"/>
      <c r="M947" s="184"/>
      <c r="N947" s="184"/>
      <c r="O947" s="184"/>
      <c r="P947" s="184"/>
      <c r="Q947" s="184"/>
      <c r="R947" s="184"/>
      <c r="S947" s="184"/>
      <c r="T947" s="184"/>
      <c r="U947" s="184"/>
      <c r="V947" s="184"/>
      <c r="W947" s="184"/>
      <c r="X947" s="184"/>
      <c r="Y947" s="184"/>
      <c r="Z947" s="184"/>
      <c r="AA947" s="184"/>
    </row>
    <row r="948">
      <c r="A948" s="184"/>
      <c r="B948" s="184"/>
      <c r="C948" s="194"/>
      <c r="D948" s="194"/>
      <c r="E948" s="194"/>
      <c r="F948" s="194"/>
      <c r="G948" s="194"/>
      <c r="H948" s="184"/>
      <c r="I948" s="194"/>
      <c r="J948" s="194"/>
      <c r="K948" s="194"/>
      <c r="L948" s="184"/>
      <c r="M948" s="184"/>
      <c r="N948" s="184"/>
      <c r="O948" s="184"/>
      <c r="P948" s="184"/>
      <c r="Q948" s="184"/>
      <c r="R948" s="184"/>
      <c r="S948" s="184"/>
      <c r="T948" s="184"/>
      <c r="U948" s="184"/>
      <c r="V948" s="184"/>
      <c r="W948" s="184"/>
      <c r="X948" s="184"/>
      <c r="Y948" s="184"/>
      <c r="Z948" s="184"/>
      <c r="AA948" s="184"/>
    </row>
    <row r="949">
      <c r="A949" s="184"/>
      <c r="B949" s="184"/>
      <c r="C949" s="194"/>
      <c r="D949" s="194"/>
      <c r="E949" s="194"/>
      <c r="F949" s="194"/>
      <c r="G949" s="194"/>
      <c r="H949" s="184"/>
      <c r="I949" s="194"/>
      <c r="J949" s="194"/>
      <c r="K949" s="194"/>
      <c r="L949" s="184"/>
      <c r="M949" s="184"/>
      <c r="N949" s="184"/>
      <c r="O949" s="184"/>
      <c r="P949" s="184"/>
      <c r="Q949" s="184"/>
      <c r="R949" s="184"/>
      <c r="S949" s="184"/>
      <c r="T949" s="184"/>
      <c r="U949" s="184"/>
      <c r="V949" s="184"/>
      <c r="W949" s="184"/>
      <c r="X949" s="184"/>
      <c r="Y949" s="184"/>
      <c r="Z949" s="184"/>
      <c r="AA949" s="184"/>
    </row>
    <row r="950">
      <c r="A950" s="184"/>
      <c r="B950" s="184"/>
      <c r="C950" s="194"/>
      <c r="D950" s="194"/>
      <c r="E950" s="194"/>
      <c r="F950" s="194"/>
      <c r="G950" s="194"/>
      <c r="H950" s="184"/>
      <c r="I950" s="194"/>
      <c r="J950" s="194"/>
      <c r="K950" s="194"/>
      <c r="L950" s="184"/>
      <c r="M950" s="184"/>
      <c r="N950" s="184"/>
      <c r="O950" s="184"/>
      <c r="P950" s="184"/>
      <c r="Q950" s="184"/>
      <c r="R950" s="184"/>
      <c r="S950" s="184"/>
      <c r="T950" s="184"/>
      <c r="U950" s="184"/>
      <c r="V950" s="184"/>
      <c r="W950" s="184"/>
      <c r="X950" s="184"/>
      <c r="Y950" s="184"/>
      <c r="Z950" s="184"/>
      <c r="AA950" s="184"/>
    </row>
    <row r="951">
      <c r="A951" s="184"/>
      <c r="B951" s="184"/>
      <c r="C951" s="194"/>
      <c r="D951" s="194"/>
      <c r="E951" s="194"/>
      <c r="F951" s="194"/>
      <c r="G951" s="194"/>
      <c r="H951" s="184"/>
      <c r="I951" s="194"/>
      <c r="J951" s="194"/>
      <c r="K951" s="194"/>
      <c r="L951" s="184"/>
      <c r="M951" s="184"/>
      <c r="N951" s="184"/>
      <c r="O951" s="184"/>
      <c r="P951" s="184"/>
      <c r="Q951" s="184"/>
      <c r="R951" s="184"/>
      <c r="S951" s="184"/>
      <c r="T951" s="184"/>
      <c r="U951" s="184"/>
      <c r="V951" s="184"/>
      <c r="W951" s="184"/>
      <c r="X951" s="184"/>
      <c r="Y951" s="184"/>
      <c r="Z951" s="184"/>
      <c r="AA951" s="184"/>
    </row>
    <row r="952">
      <c r="A952" s="184"/>
      <c r="B952" s="184"/>
      <c r="C952" s="194"/>
      <c r="D952" s="194"/>
      <c r="E952" s="194"/>
      <c r="F952" s="194"/>
      <c r="G952" s="194"/>
      <c r="H952" s="184"/>
      <c r="I952" s="194"/>
      <c r="J952" s="194"/>
      <c r="K952" s="194"/>
      <c r="L952" s="184"/>
      <c r="M952" s="184"/>
      <c r="N952" s="184"/>
      <c r="O952" s="184"/>
      <c r="P952" s="184"/>
      <c r="Q952" s="184"/>
      <c r="R952" s="184"/>
      <c r="S952" s="184"/>
      <c r="T952" s="184"/>
      <c r="U952" s="184"/>
      <c r="V952" s="184"/>
      <c r="W952" s="184"/>
      <c r="X952" s="184"/>
      <c r="Y952" s="184"/>
      <c r="Z952" s="184"/>
      <c r="AA952" s="184"/>
    </row>
    <row r="953">
      <c r="A953" s="184"/>
      <c r="B953" s="184"/>
      <c r="C953" s="194"/>
      <c r="D953" s="194"/>
      <c r="E953" s="194"/>
      <c r="F953" s="194"/>
      <c r="G953" s="194"/>
      <c r="H953" s="184"/>
      <c r="I953" s="194"/>
      <c r="J953" s="194"/>
      <c r="K953" s="194"/>
      <c r="L953" s="184"/>
      <c r="M953" s="184"/>
      <c r="N953" s="184"/>
      <c r="O953" s="184"/>
      <c r="P953" s="184"/>
      <c r="Q953" s="184"/>
      <c r="R953" s="184"/>
      <c r="S953" s="184"/>
      <c r="T953" s="184"/>
      <c r="U953" s="184"/>
      <c r="V953" s="184"/>
      <c r="W953" s="184"/>
      <c r="X953" s="184"/>
      <c r="Y953" s="184"/>
      <c r="Z953" s="184"/>
      <c r="AA953" s="184"/>
    </row>
    <row r="954">
      <c r="A954" s="184"/>
      <c r="B954" s="184"/>
      <c r="C954" s="194"/>
      <c r="D954" s="194"/>
      <c r="E954" s="194"/>
      <c r="F954" s="194"/>
      <c r="G954" s="194"/>
      <c r="H954" s="184"/>
      <c r="I954" s="194"/>
      <c r="J954" s="194"/>
      <c r="K954" s="194"/>
      <c r="L954" s="184"/>
      <c r="M954" s="184"/>
      <c r="N954" s="184"/>
      <c r="O954" s="184"/>
      <c r="P954" s="184"/>
      <c r="Q954" s="184"/>
      <c r="R954" s="184"/>
      <c r="S954" s="184"/>
      <c r="T954" s="184"/>
      <c r="U954" s="184"/>
      <c r="V954" s="184"/>
      <c r="W954" s="184"/>
      <c r="X954" s="184"/>
      <c r="Y954" s="184"/>
      <c r="Z954" s="184"/>
      <c r="AA954" s="184"/>
    </row>
    <row r="955">
      <c r="A955" s="184"/>
      <c r="B955" s="184"/>
      <c r="C955" s="194"/>
      <c r="D955" s="194"/>
      <c r="E955" s="194"/>
      <c r="F955" s="194"/>
      <c r="G955" s="194"/>
      <c r="H955" s="184"/>
      <c r="I955" s="194"/>
      <c r="J955" s="194"/>
      <c r="K955" s="194"/>
      <c r="L955" s="184"/>
      <c r="M955" s="184"/>
      <c r="N955" s="184"/>
      <c r="O955" s="184"/>
      <c r="P955" s="184"/>
      <c r="Q955" s="184"/>
      <c r="R955" s="184"/>
      <c r="S955" s="184"/>
      <c r="T955" s="184"/>
      <c r="U955" s="184"/>
      <c r="V955" s="184"/>
      <c r="W955" s="184"/>
      <c r="X955" s="184"/>
      <c r="Y955" s="184"/>
      <c r="Z955" s="184"/>
      <c r="AA955" s="184"/>
    </row>
    <row r="956">
      <c r="A956" s="184"/>
      <c r="B956" s="184"/>
      <c r="C956" s="194"/>
      <c r="D956" s="194"/>
      <c r="E956" s="194"/>
      <c r="F956" s="194"/>
      <c r="G956" s="194"/>
      <c r="H956" s="184"/>
      <c r="I956" s="194"/>
      <c r="J956" s="194"/>
      <c r="K956" s="194"/>
      <c r="L956" s="184"/>
      <c r="M956" s="184"/>
      <c r="N956" s="184"/>
      <c r="O956" s="184"/>
      <c r="P956" s="184"/>
      <c r="Q956" s="184"/>
      <c r="R956" s="184"/>
      <c r="S956" s="184"/>
      <c r="T956" s="184"/>
      <c r="U956" s="184"/>
      <c r="V956" s="184"/>
      <c r="W956" s="184"/>
      <c r="X956" s="184"/>
      <c r="Y956" s="184"/>
      <c r="Z956" s="184"/>
      <c r="AA956" s="184"/>
    </row>
    <row r="957">
      <c r="A957" s="184"/>
      <c r="B957" s="184"/>
      <c r="C957" s="194"/>
      <c r="D957" s="194"/>
      <c r="E957" s="194"/>
      <c r="F957" s="194"/>
      <c r="G957" s="194"/>
      <c r="H957" s="184"/>
      <c r="I957" s="194"/>
      <c r="J957" s="194"/>
      <c r="K957" s="194"/>
      <c r="L957" s="184"/>
      <c r="M957" s="184"/>
      <c r="N957" s="184"/>
      <c r="O957" s="184"/>
      <c r="P957" s="184"/>
      <c r="Q957" s="184"/>
      <c r="R957" s="184"/>
      <c r="S957" s="184"/>
      <c r="T957" s="184"/>
      <c r="U957" s="184"/>
      <c r="V957" s="184"/>
      <c r="W957" s="184"/>
      <c r="X957" s="184"/>
      <c r="Y957" s="184"/>
      <c r="Z957" s="184"/>
      <c r="AA957" s="184"/>
    </row>
    <row r="958">
      <c r="A958" s="184"/>
      <c r="B958" s="184"/>
      <c r="C958" s="194"/>
      <c r="D958" s="194"/>
      <c r="E958" s="194"/>
      <c r="F958" s="194"/>
      <c r="G958" s="194"/>
      <c r="H958" s="184"/>
      <c r="I958" s="194"/>
      <c r="J958" s="194"/>
      <c r="K958" s="194"/>
      <c r="L958" s="184"/>
      <c r="M958" s="184"/>
      <c r="N958" s="184"/>
      <c r="O958" s="184"/>
      <c r="P958" s="184"/>
      <c r="Q958" s="184"/>
      <c r="R958" s="184"/>
      <c r="S958" s="184"/>
      <c r="T958" s="184"/>
      <c r="U958" s="184"/>
      <c r="V958" s="184"/>
      <c r="W958" s="184"/>
      <c r="X958" s="184"/>
      <c r="Y958" s="184"/>
      <c r="Z958" s="184"/>
      <c r="AA958" s="184"/>
    </row>
    <row r="959">
      <c r="A959" s="184"/>
      <c r="B959" s="184"/>
      <c r="C959" s="194"/>
      <c r="D959" s="194"/>
      <c r="E959" s="194"/>
      <c r="F959" s="194"/>
      <c r="G959" s="194"/>
      <c r="H959" s="184"/>
      <c r="I959" s="194"/>
      <c r="J959" s="194"/>
      <c r="K959" s="194"/>
      <c r="L959" s="184"/>
      <c r="M959" s="184"/>
      <c r="N959" s="184"/>
      <c r="O959" s="184"/>
      <c r="P959" s="184"/>
      <c r="Q959" s="184"/>
      <c r="R959" s="184"/>
      <c r="S959" s="184"/>
      <c r="T959" s="184"/>
      <c r="U959" s="184"/>
      <c r="V959" s="184"/>
      <c r="W959" s="184"/>
      <c r="X959" s="184"/>
      <c r="Y959" s="184"/>
      <c r="Z959" s="184"/>
      <c r="AA959" s="184"/>
    </row>
    <row r="960">
      <c r="A960" s="184"/>
      <c r="B960" s="184"/>
      <c r="C960" s="194"/>
      <c r="D960" s="194"/>
      <c r="E960" s="194"/>
      <c r="F960" s="194"/>
      <c r="G960" s="194"/>
      <c r="H960" s="184"/>
      <c r="I960" s="194"/>
      <c r="J960" s="194"/>
      <c r="K960" s="194"/>
      <c r="L960" s="184"/>
      <c r="M960" s="184"/>
      <c r="N960" s="184"/>
      <c r="O960" s="184"/>
      <c r="P960" s="184"/>
      <c r="Q960" s="184"/>
      <c r="R960" s="184"/>
      <c r="S960" s="184"/>
      <c r="T960" s="184"/>
      <c r="U960" s="184"/>
      <c r="V960" s="184"/>
      <c r="W960" s="184"/>
      <c r="X960" s="184"/>
      <c r="Y960" s="184"/>
      <c r="Z960" s="184"/>
      <c r="AA960" s="184"/>
    </row>
    <row r="961">
      <c r="A961" s="184"/>
      <c r="B961" s="184"/>
      <c r="C961" s="194"/>
      <c r="D961" s="194"/>
      <c r="E961" s="194"/>
      <c r="F961" s="194"/>
      <c r="G961" s="194"/>
      <c r="H961" s="184"/>
      <c r="I961" s="194"/>
      <c r="J961" s="194"/>
      <c r="K961" s="194"/>
      <c r="L961" s="184"/>
      <c r="M961" s="184"/>
      <c r="N961" s="184"/>
      <c r="O961" s="184"/>
      <c r="P961" s="184"/>
      <c r="Q961" s="184"/>
      <c r="R961" s="184"/>
      <c r="S961" s="184"/>
      <c r="T961" s="184"/>
      <c r="U961" s="184"/>
      <c r="V961" s="184"/>
      <c r="W961" s="184"/>
      <c r="X961" s="184"/>
      <c r="Y961" s="184"/>
      <c r="Z961" s="184"/>
      <c r="AA961" s="184"/>
    </row>
    <row r="962">
      <c r="A962" s="184"/>
      <c r="B962" s="184"/>
      <c r="C962" s="194"/>
      <c r="D962" s="194"/>
      <c r="E962" s="194"/>
      <c r="F962" s="194"/>
      <c r="G962" s="194"/>
      <c r="H962" s="184"/>
      <c r="I962" s="194"/>
      <c r="J962" s="194"/>
      <c r="K962" s="194"/>
      <c r="L962" s="184"/>
      <c r="M962" s="184"/>
      <c r="N962" s="184"/>
      <c r="O962" s="184"/>
      <c r="P962" s="184"/>
      <c r="Q962" s="184"/>
      <c r="R962" s="184"/>
      <c r="S962" s="184"/>
      <c r="T962" s="184"/>
      <c r="U962" s="184"/>
      <c r="V962" s="184"/>
      <c r="W962" s="184"/>
      <c r="X962" s="184"/>
      <c r="Y962" s="184"/>
      <c r="Z962" s="184"/>
      <c r="AA962" s="184"/>
    </row>
    <row r="963">
      <c r="A963" s="184"/>
      <c r="B963" s="184"/>
      <c r="C963" s="194"/>
      <c r="D963" s="194"/>
      <c r="E963" s="194"/>
      <c r="F963" s="194"/>
      <c r="G963" s="194"/>
      <c r="H963" s="184"/>
      <c r="I963" s="194"/>
      <c r="J963" s="194"/>
      <c r="K963" s="194"/>
      <c r="L963" s="184"/>
      <c r="M963" s="184"/>
      <c r="N963" s="184"/>
      <c r="O963" s="184"/>
      <c r="P963" s="184"/>
      <c r="Q963" s="184"/>
      <c r="R963" s="184"/>
      <c r="S963" s="184"/>
      <c r="T963" s="184"/>
      <c r="U963" s="184"/>
      <c r="V963" s="184"/>
      <c r="W963" s="184"/>
      <c r="X963" s="184"/>
      <c r="Y963" s="184"/>
      <c r="Z963" s="184"/>
      <c r="AA963" s="184"/>
    </row>
    <row r="964">
      <c r="A964" s="184"/>
      <c r="B964" s="184"/>
      <c r="C964" s="194"/>
      <c r="D964" s="194"/>
      <c r="E964" s="194"/>
      <c r="F964" s="194"/>
      <c r="G964" s="194"/>
      <c r="H964" s="184"/>
      <c r="I964" s="194"/>
      <c r="J964" s="194"/>
      <c r="K964" s="194"/>
      <c r="L964" s="184"/>
      <c r="M964" s="184"/>
      <c r="N964" s="184"/>
      <c r="O964" s="184"/>
      <c r="P964" s="184"/>
      <c r="Q964" s="184"/>
      <c r="R964" s="184"/>
      <c r="S964" s="184"/>
      <c r="T964" s="184"/>
      <c r="U964" s="184"/>
      <c r="V964" s="184"/>
      <c r="W964" s="184"/>
      <c r="X964" s="184"/>
      <c r="Y964" s="184"/>
      <c r="Z964" s="184"/>
      <c r="AA964" s="184"/>
    </row>
    <row r="965">
      <c r="A965" s="184"/>
      <c r="B965" s="184"/>
      <c r="C965" s="194"/>
      <c r="D965" s="194"/>
      <c r="E965" s="194"/>
      <c r="F965" s="194"/>
      <c r="G965" s="194"/>
      <c r="H965" s="184"/>
      <c r="I965" s="194"/>
      <c r="J965" s="194"/>
      <c r="K965" s="194"/>
      <c r="L965" s="184"/>
      <c r="M965" s="184"/>
      <c r="N965" s="184"/>
      <c r="O965" s="184"/>
      <c r="P965" s="184"/>
      <c r="Q965" s="184"/>
      <c r="R965" s="184"/>
      <c r="S965" s="184"/>
      <c r="T965" s="184"/>
      <c r="U965" s="184"/>
      <c r="V965" s="184"/>
      <c r="W965" s="184"/>
      <c r="X965" s="184"/>
      <c r="Y965" s="184"/>
      <c r="Z965" s="184"/>
      <c r="AA965" s="184"/>
    </row>
    <row r="966">
      <c r="A966" s="184"/>
      <c r="B966" s="184"/>
      <c r="C966" s="194"/>
      <c r="D966" s="194"/>
      <c r="E966" s="194"/>
      <c r="F966" s="194"/>
      <c r="G966" s="194"/>
      <c r="H966" s="184"/>
      <c r="I966" s="194"/>
      <c r="J966" s="194"/>
      <c r="K966" s="194"/>
      <c r="L966" s="184"/>
      <c r="M966" s="184"/>
      <c r="N966" s="184"/>
      <c r="O966" s="184"/>
      <c r="P966" s="184"/>
      <c r="Q966" s="184"/>
      <c r="R966" s="184"/>
      <c r="S966" s="184"/>
      <c r="T966" s="184"/>
      <c r="U966" s="184"/>
      <c r="V966" s="184"/>
      <c r="W966" s="184"/>
      <c r="X966" s="184"/>
      <c r="Y966" s="184"/>
      <c r="Z966" s="184"/>
      <c r="AA966" s="184"/>
    </row>
    <row r="967">
      <c r="A967" s="184"/>
      <c r="B967" s="184"/>
      <c r="C967" s="194"/>
      <c r="D967" s="194"/>
      <c r="E967" s="194"/>
      <c r="F967" s="194"/>
      <c r="G967" s="194"/>
      <c r="H967" s="184"/>
      <c r="I967" s="194"/>
      <c r="J967" s="194"/>
      <c r="K967" s="194"/>
      <c r="L967" s="184"/>
      <c r="M967" s="184"/>
      <c r="N967" s="184"/>
      <c r="O967" s="184"/>
      <c r="P967" s="184"/>
      <c r="Q967" s="184"/>
      <c r="R967" s="184"/>
      <c r="S967" s="184"/>
      <c r="T967" s="184"/>
      <c r="U967" s="184"/>
      <c r="V967" s="184"/>
      <c r="W967" s="184"/>
      <c r="X967" s="184"/>
      <c r="Y967" s="184"/>
      <c r="Z967" s="184"/>
      <c r="AA967" s="184"/>
    </row>
    <row r="968">
      <c r="A968" s="184"/>
      <c r="B968" s="184"/>
      <c r="C968" s="194"/>
      <c r="D968" s="194"/>
      <c r="E968" s="194"/>
      <c r="F968" s="194"/>
      <c r="G968" s="194"/>
      <c r="H968" s="184"/>
      <c r="I968" s="194"/>
      <c r="J968" s="194"/>
      <c r="K968" s="194"/>
      <c r="L968" s="184"/>
      <c r="M968" s="184"/>
      <c r="N968" s="184"/>
      <c r="O968" s="184"/>
      <c r="P968" s="184"/>
      <c r="Q968" s="184"/>
      <c r="R968" s="184"/>
      <c r="S968" s="184"/>
      <c r="T968" s="184"/>
      <c r="U968" s="184"/>
      <c r="V968" s="184"/>
      <c r="W968" s="184"/>
      <c r="X968" s="184"/>
      <c r="Y968" s="184"/>
      <c r="Z968" s="184"/>
      <c r="AA968" s="184"/>
    </row>
    <row r="969">
      <c r="A969" s="184"/>
      <c r="B969" s="184"/>
      <c r="C969" s="194"/>
      <c r="D969" s="194"/>
      <c r="E969" s="194"/>
      <c r="F969" s="194"/>
      <c r="G969" s="194"/>
      <c r="H969" s="184"/>
      <c r="I969" s="194"/>
      <c r="J969" s="194"/>
      <c r="K969" s="194"/>
      <c r="L969" s="184"/>
      <c r="M969" s="184"/>
      <c r="N969" s="184"/>
      <c r="O969" s="184"/>
      <c r="P969" s="184"/>
      <c r="Q969" s="184"/>
      <c r="R969" s="184"/>
      <c r="S969" s="184"/>
      <c r="T969" s="184"/>
      <c r="U969" s="184"/>
      <c r="V969" s="184"/>
      <c r="W969" s="184"/>
      <c r="X969" s="184"/>
      <c r="Y969" s="184"/>
      <c r="Z969" s="184"/>
      <c r="AA969" s="184"/>
    </row>
    <row r="970">
      <c r="A970" s="184"/>
      <c r="B970" s="184"/>
      <c r="C970" s="194"/>
      <c r="D970" s="194"/>
      <c r="E970" s="194"/>
      <c r="F970" s="194"/>
      <c r="G970" s="194"/>
      <c r="H970" s="184"/>
      <c r="I970" s="194"/>
      <c r="J970" s="194"/>
      <c r="K970" s="194"/>
      <c r="L970" s="184"/>
      <c r="M970" s="184"/>
      <c r="N970" s="184"/>
      <c r="O970" s="184"/>
      <c r="P970" s="184"/>
      <c r="Q970" s="184"/>
      <c r="R970" s="184"/>
      <c r="S970" s="184"/>
      <c r="T970" s="184"/>
      <c r="U970" s="184"/>
      <c r="V970" s="184"/>
      <c r="W970" s="184"/>
      <c r="X970" s="184"/>
      <c r="Y970" s="184"/>
      <c r="Z970" s="184"/>
      <c r="AA970" s="184"/>
    </row>
    <row r="971">
      <c r="A971" s="184"/>
      <c r="B971" s="184"/>
      <c r="C971" s="194"/>
      <c r="D971" s="194"/>
      <c r="E971" s="194"/>
      <c r="F971" s="194"/>
      <c r="G971" s="194"/>
      <c r="H971" s="184"/>
      <c r="I971" s="194"/>
      <c r="J971" s="194"/>
      <c r="K971" s="194"/>
      <c r="L971" s="184"/>
      <c r="M971" s="184"/>
      <c r="N971" s="184"/>
      <c r="O971" s="184"/>
      <c r="P971" s="184"/>
      <c r="Q971" s="184"/>
      <c r="R971" s="184"/>
      <c r="S971" s="184"/>
      <c r="T971" s="184"/>
      <c r="U971" s="184"/>
      <c r="V971" s="184"/>
      <c r="W971" s="184"/>
      <c r="X971" s="184"/>
      <c r="Y971" s="184"/>
      <c r="Z971" s="184"/>
      <c r="AA971" s="184"/>
    </row>
    <row r="972">
      <c r="A972" s="184"/>
      <c r="B972" s="184"/>
      <c r="C972" s="194"/>
      <c r="D972" s="194"/>
      <c r="E972" s="194"/>
      <c r="F972" s="194"/>
      <c r="G972" s="194"/>
      <c r="H972" s="184"/>
      <c r="I972" s="194"/>
      <c r="J972" s="194"/>
      <c r="K972" s="194"/>
      <c r="L972" s="184"/>
      <c r="M972" s="184"/>
      <c r="N972" s="184"/>
      <c r="O972" s="184"/>
      <c r="P972" s="184"/>
      <c r="Q972" s="184"/>
      <c r="R972" s="184"/>
      <c r="S972" s="184"/>
      <c r="T972" s="184"/>
      <c r="U972" s="184"/>
      <c r="V972" s="184"/>
      <c r="W972" s="184"/>
      <c r="X972" s="184"/>
      <c r="Y972" s="184"/>
      <c r="Z972" s="184"/>
      <c r="AA972" s="184"/>
    </row>
    <row r="973">
      <c r="A973" s="184"/>
      <c r="B973" s="184"/>
      <c r="C973" s="194"/>
      <c r="D973" s="194"/>
      <c r="E973" s="194"/>
      <c r="F973" s="194"/>
      <c r="G973" s="194"/>
      <c r="H973" s="184"/>
      <c r="I973" s="194"/>
      <c r="J973" s="194"/>
      <c r="K973" s="194"/>
      <c r="L973" s="184"/>
      <c r="M973" s="184"/>
      <c r="N973" s="184"/>
      <c r="O973" s="184"/>
      <c r="P973" s="184"/>
      <c r="Q973" s="184"/>
      <c r="R973" s="184"/>
      <c r="S973" s="184"/>
      <c r="T973" s="184"/>
      <c r="U973" s="184"/>
      <c r="V973" s="184"/>
      <c r="W973" s="184"/>
      <c r="X973" s="184"/>
      <c r="Y973" s="184"/>
      <c r="Z973" s="184"/>
      <c r="AA973" s="184"/>
    </row>
    <row r="974">
      <c r="A974" s="184"/>
      <c r="B974" s="184"/>
      <c r="C974" s="194"/>
      <c r="D974" s="194"/>
      <c r="E974" s="194"/>
      <c r="F974" s="194"/>
      <c r="G974" s="194"/>
      <c r="H974" s="184"/>
      <c r="I974" s="194"/>
      <c r="J974" s="194"/>
      <c r="K974" s="194"/>
      <c r="L974" s="184"/>
      <c r="M974" s="184"/>
      <c r="N974" s="184"/>
      <c r="O974" s="184"/>
      <c r="P974" s="184"/>
      <c r="Q974" s="184"/>
      <c r="R974" s="184"/>
      <c r="S974" s="184"/>
      <c r="T974" s="184"/>
      <c r="U974" s="184"/>
      <c r="V974" s="184"/>
      <c r="W974" s="184"/>
      <c r="X974" s="184"/>
      <c r="Y974" s="184"/>
      <c r="Z974" s="184"/>
      <c r="AA974" s="184"/>
    </row>
    <row r="975">
      <c r="A975" s="184"/>
      <c r="B975" s="184"/>
      <c r="C975" s="194"/>
      <c r="D975" s="194"/>
      <c r="E975" s="194"/>
      <c r="F975" s="194"/>
      <c r="G975" s="194"/>
      <c r="H975" s="184"/>
      <c r="I975" s="194"/>
      <c r="J975" s="194"/>
      <c r="K975" s="194"/>
      <c r="L975" s="184"/>
      <c r="M975" s="184"/>
      <c r="N975" s="184"/>
      <c r="O975" s="184"/>
      <c r="P975" s="184"/>
      <c r="Q975" s="184"/>
      <c r="R975" s="184"/>
      <c r="S975" s="184"/>
      <c r="T975" s="184"/>
      <c r="U975" s="184"/>
      <c r="V975" s="184"/>
      <c r="W975" s="184"/>
      <c r="X975" s="184"/>
      <c r="Y975" s="184"/>
      <c r="Z975" s="184"/>
      <c r="AA975" s="184"/>
    </row>
    <row r="976">
      <c r="A976" s="184"/>
      <c r="B976" s="184"/>
      <c r="C976" s="194"/>
      <c r="D976" s="194"/>
      <c r="E976" s="194"/>
      <c r="F976" s="194"/>
      <c r="G976" s="194"/>
      <c r="H976" s="184"/>
      <c r="I976" s="194"/>
      <c r="J976" s="194"/>
      <c r="K976" s="194"/>
      <c r="L976" s="184"/>
      <c r="M976" s="184"/>
      <c r="N976" s="184"/>
      <c r="O976" s="184"/>
      <c r="P976" s="184"/>
      <c r="Q976" s="184"/>
      <c r="R976" s="184"/>
      <c r="S976" s="184"/>
      <c r="T976" s="184"/>
      <c r="U976" s="184"/>
      <c r="V976" s="184"/>
      <c r="W976" s="184"/>
      <c r="X976" s="184"/>
      <c r="Y976" s="184"/>
      <c r="Z976" s="184"/>
      <c r="AA976" s="184"/>
    </row>
    <row r="977">
      <c r="A977" s="184"/>
      <c r="B977" s="184"/>
      <c r="C977" s="194"/>
      <c r="D977" s="194"/>
      <c r="E977" s="194"/>
      <c r="F977" s="194"/>
      <c r="G977" s="194"/>
      <c r="H977" s="184"/>
      <c r="I977" s="194"/>
      <c r="J977" s="194"/>
      <c r="K977" s="194"/>
      <c r="L977" s="184"/>
      <c r="M977" s="184"/>
      <c r="N977" s="184"/>
      <c r="O977" s="184"/>
      <c r="P977" s="184"/>
      <c r="Q977" s="184"/>
      <c r="R977" s="184"/>
      <c r="S977" s="184"/>
      <c r="T977" s="184"/>
      <c r="U977" s="184"/>
      <c r="V977" s="184"/>
      <c r="W977" s="184"/>
      <c r="X977" s="184"/>
      <c r="Y977" s="184"/>
      <c r="Z977" s="184"/>
      <c r="AA977" s="184"/>
    </row>
    <row r="978">
      <c r="A978" s="184"/>
      <c r="B978" s="184"/>
      <c r="C978" s="194"/>
      <c r="D978" s="194"/>
      <c r="E978" s="194"/>
      <c r="F978" s="194"/>
      <c r="G978" s="194"/>
      <c r="H978" s="184"/>
      <c r="I978" s="194"/>
      <c r="J978" s="194"/>
      <c r="K978" s="194"/>
      <c r="L978" s="184"/>
      <c r="M978" s="184"/>
      <c r="N978" s="184"/>
      <c r="O978" s="184"/>
      <c r="P978" s="184"/>
      <c r="Q978" s="184"/>
      <c r="R978" s="184"/>
      <c r="S978" s="184"/>
      <c r="T978" s="184"/>
      <c r="U978" s="184"/>
      <c r="V978" s="184"/>
      <c r="W978" s="184"/>
      <c r="X978" s="184"/>
      <c r="Y978" s="184"/>
      <c r="Z978" s="184"/>
      <c r="AA978" s="184"/>
    </row>
    <row r="979">
      <c r="A979" s="184"/>
      <c r="B979" s="184"/>
      <c r="C979" s="194"/>
      <c r="D979" s="194"/>
      <c r="E979" s="194"/>
      <c r="F979" s="194"/>
      <c r="G979" s="194"/>
      <c r="H979" s="184"/>
      <c r="I979" s="194"/>
      <c r="J979" s="194"/>
      <c r="K979" s="194"/>
      <c r="L979" s="184"/>
      <c r="M979" s="184"/>
      <c r="N979" s="184"/>
      <c r="O979" s="184"/>
      <c r="P979" s="184"/>
      <c r="Q979" s="184"/>
      <c r="R979" s="184"/>
      <c r="S979" s="184"/>
      <c r="T979" s="184"/>
      <c r="U979" s="184"/>
      <c r="V979" s="184"/>
      <c r="W979" s="184"/>
      <c r="X979" s="184"/>
      <c r="Y979" s="184"/>
      <c r="Z979" s="184"/>
      <c r="AA979" s="184"/>
    </row>
    <row r="980">
      <c r="A980" s="184"/>
      <c r="B980" s="184"/>
      <c r="C980" s="194"/>
      <c r="D980" s="194"/>
      <c r="E980" s="194"/>
      <c r="F980" s="194"/>
      <c r="G980" s="194"/>
      <c r="H980" s="184"/>
      <c r="I980" s="194"/>
      <c r="J980" s="194"/>
      <c r="K980" s="194"/>
      <c r="L980" s="184"/>
      <c r="M980" s="184"/>
      <c r="N980" s="184"/>
      <c r="O980" s="184"/>
      <c r="P980" s="184"/>
      <c r="Q980" s="184"/>
      <c r="R980" s="184"/>
      <c r="S980" s="184"/>
      <c r="T980" s="184"/>
      <c r="U980" s="184"/>
      <c r="V980" s="184"/>
      <c r="W980" s="184"/>
      <c r="X980" s="184"/>
      <c r="Y980" s="184"/>
      <c r="Z980" s="184"/>
      <c r="AA980" s="184"/>
    </row>
    <row r="981">
      <c r="A981" s="184"/>
      <c r="B981" s="184"/>
      <c r="C981" s="194"/>
      <c r="D981" s="194"/>
      <c r="E981" s="194"/>
      <c r="F981" s="194"/>
      <c r="G981" s="194"/>
      <c r="H981" s="184"/>
      <c r="I981" s="194"/>
      <c r="J981" s="194"/>
      <c r="K981" s="194"/>
      <c r="L981" s="184"/>
      <c r="M981" s="184"/>
      <c r="N981" s="184"/>
      <c r="O981" s="184"/>
      <c r="P981" s="184"/>
      <c r="Q981" s="184"/>
      <c r="R981" s="184"/>
      <c r="S981" s="184"/>
      <c r="T981" s="184"/>
      <c r="U981" s="184"/>
      <c r="V981" s="184"/>
      <c r="W981" s="184"/>
      <c r="X981" s="184"/>
      <c r="Y981" s="184"/>
      <c r="Z981" s="184"/>
      <c r="AA981" s="184"/>
    </row>
    <row r="982">
      <c r="A982" s="184"/>
      <c r="B982" s="184"/>
      <c r="C982" s="194"/>
      <c r="D982" s="194"/>
      <c r="E982" s="194"/>
      <c r="F982" s="194"/>
      <c r="G982" s="194"/>
      <c r="H982" s="184"/>
      <c r="I982" s="194"/>
      <c r="J982" s="194"/>
      <c r="K982" s="194"/>
      <c r="L982" s="184"/>
      <c r="M982" s="184"/>
      <c r="N982" s="184"/>
      <c r="O982" s="184"/>
      <c r="P982" s="184"/>
      <c r="Q982" s="184"/>
      <c r="R982" s="184"/>
      <c r="S982" s="184"/>
      <c r="T982" s="184"/>
      <c r="U982" s="184"/>
      <c r="V982" s="184"/>
      <c r="W982" s="184"/>
      <c r="X982" s="184"/>
      <c r="Y982" s="184"/>
      <c r="Z982" s="184"/>
      <c r="AA982" s="184"/>
    </row>
    <row r="983">
      <c r="A983" s="184"/>
      <c r="B983" s="184"/>
      <c r="C983" s="194"/>
      <c r="D983" s="194"/>
      <c r="E983" s="194"/>
      <c r="F983" s="194"/>
      <c r="G983" s="194"/>
      <c r="H983" s="184"/>
      <c r="I983" s="194"/>
      <c r="J983" s="194"/>
      <c r="K983" s="194"/>
      <c r="L983" s="184"/>
      <c r="M983" s="184"/>
      <c r="N983" s="184"/>
      <c r="O983" s="184"/>
      <c r="P983" s="184"/>
      <c r="Q983" s="184"/>
      <c r="R983" s="184"/>
      <c r="S983" s="184"/>
      <c r="T983" s="184"/>
      <c r="U983" s="184"/>
      <c r="V983" s="184"/>
      <c r="W983" s="184"/>
      <c r="X983" s="184"/>
      <c r="Y983" s="184"/>
      <c r="Z983" s="184"/>
      <c r="AA983" s="184"/>
    </row>
    <row r="984">
      <c r="A984" s="184"/>
      <c r="B984" s="184"/>
      <c r="C984" s="194"/>
      <c r="D984" s="194"/>
      <c r="E984" s="194"/>
      <c r="F984" s="194"/>
      <c r="G984" s="194"/>
      <c r="H984" s="184"/>
      <c r="I984" s="194"/>
      <c r="J984" s="194"/>
      <c r="K984" s="194"/>
      <c r="L984" s="184"/>
      <c r="M984" s="184"/>
      <c r="N984" s="184"/>
      <c r="O984" s="184"/>
      <c r="P984" s="184"/>
      <c r="Q984" s="184"/>
      <c r="R984" s="184"/>
      <c r="S984" s="184"/>
      <c r="T984" s="184"/>
      <c r="U984" s="184"/>
      <c r="V984" s="184"/>
      <c r="W984" s="184"/>
      <c r="X984" s="184"/>
      <c r="Y984" s="184"/>
      <c r="Z984" s="184"/>
      <c r="AA984" s="184"/>
    </row>
    <row r="985">
      <c r="A985" s="184"/>
      <c r="B985" s="184"/>
      <c r="C985" s="194"/>
      <c r="D985" s="194"/>
      <c r="E985" s="194"/>
      <c r="F985" s="194"/>
      <c r="G985" s="194"/>
      <c r="H985" s="184"/>
      <c r="I985" s="194"/>
      <c r="J985" s="194"/>
      <c r="K985" s="194"/>
      <c r="L985" s="184"/>
      <c r="M985" s="184"/>
      <c r="N985" s="184"/>
      <c r="O985" s="184"/>
      <c r="P985" s="184"/>
      <c r="Q985" s="184"/>
      <c r="R985" s="184"/>
      <c r="S985" s="184"/>
      <c r="T985" s="184"/>
      <c r="U985" s="184"/>
      <c r="V985" s="184"/>
      <c r="W985" s="184"/>
      <c r="X985" s="184"/>
      <c r="Y985" s="184"/>
      <c r="Z985" s="184"/>
      <c r="AA985" s="184"/>
    </row>
    <row r="986">
      <c r="A986" s="184"/>
      <c r="B986" s="184"/>
      <c r="C986" s="194"/>
      <c r="D986" s="194"/>
      <c r="E986" s="194"/>
      <c r="F986" s="194"/>
      <c r="G986" s="194"/>
      <c r="H986" s="184"/>
      <c r="I986" s="194"/>
      <c r="J986" s="194"/>
      <c r="K986" s="194"/>
      <c r="L986" s="184"/>
      <c r="M986" s="184"/>
      <c r="N986" s="184"/>
      <c r="O986" s="184"/>
      <c r="P986" s="184"/>
      <c r="Q986" s="184"/>
      <c r="R986" s="184"/>
      <c r="S986" s="184"/>
      <c r="T986" s="184"/>
      <c r="U986" s="184"/>
      <c r="V986" s="184"/>
      <c r="W986" s="184"/>
      <c r="X986" s="184"/>
      <c r="Y986" s="184"/>
      <c r="Z986" s="184"/>
      <c r="AA986" s="184"/>
    </row>
    <row r="987">
      <c r="A987" s="184"/>
      <c r="B987" s="184"/>
      <c r="C987" s="194"/>
      <c r="D987" s="194"/>
      <c r="E987" s="194"/>
      <c r="F987" s="194"/>
      <c r="G987" s="194"/>
      <c r="H987" s="184"/>
      <c r="I987" s="194"/>
      <c r="J987" s="194"/>
      <c r="K987" s="194"/>
      <c r="L987" s="184"/>
      <c r="M987" s="184"/>
      <c r="N987" s="184"/>
      <c r="O987" s="184"/>
      <c r="P987" s="184"/>
      <c r="Q987" s="184"/>
      <c r="R987" s="184"/>
      <c r="S987" s="184"/>
      <c r="T987" s="184"/>
      <c r="U987" s="184"/>
      <c r="V987" s="184"/>
      <c r="W987" s="184"/>
      <c r="X987" s="184"/>
      <c r="Y987" s="184"/>
      <c r="Z987" s="184"/>
      <c r="AA987" s="184"/>
    </row>
    <row r="988">
      <c r="A988" s="184"/>
      <c r="B988" s="184"/>
      <c r="C988" s="194"/>
      <c r="D988" s="194"/>
      <c r="E988" s="194"/>
      <c r="F988" s="194"/>
      <c r="G988" s="194"/>
      <c r="H988" s="184"/>
      <c r="I988" s="194"/>
      <c r="J988" s="194"/>
      <c r="K988" s="194"/>
      <c r="L988" s="184"/>
      <c r="M988" s="184"/>
      <c r="N988" s="184"/>
      <c r="O988" s="184"/>
      <c r="P988" s="184"/>
      <c r="Q988" s="184"/>
      <c r="R988" s="184"/>
      <c r="S988" s="184"/>
      <c r="T988" s="184"/>
      <c r="U988" s="184"/>
      <c r="V988" s="184"/>
      <c r="W988" s="184"/>
      <c r="X988" s="184"/>
      <c r="Y988" s="184"/>
      <c r="Z988" s="184"/>
      <c r="AA988" s="184"/>
    </row>
    <row r="989">
      <c r="A989" s="184"/>
      <c r="B989" s="184"/>
      <c r="C989" s="194"/>
      <c r="D989" s="194"/>
      <c r="E989" s="194"/>
      <c r="F989" s="194"/>
      <c r="G989" s="194"/>
      <c r="H989" s="184"/>
      <c r="I989" s="194"/>
      <c r="J989" s="194"/>
      <c r="K989" s="194"/>
      <c r="L989" s="184"/>
      <c r="M989" s="184"/>
      <c r="N989" s="184"/>
      <c r="O989" s="184"/>
      <c r="P989" s="184"/>
      <c r="Q989" s="184"/>
      <c r="R989" s="184"/>
      <c r="S989" s="184"/>
      <c r="T989" s="184"/>
      <c r="U989" s="184"/>
      <c r="V989" s="184"/>
      <c r="W989" s="184"/>
      <c r="X989" s="184"/>
      <c r="Y989" s="184"/>
      <c r="Z989" s="184"/>
      <c r="AA989" s="184"/>
    </row>
    <row r="990">
      <c r="A990" s="184"/>
      <c r="B990" s="184"/>
      <c r="C990" s="194"/>
      <c r="D990" s="194"/>
      <c r="E990" s="194"/>
      <c r="F990" s="194"/>
      <c r="G990" s="194"/>
      <c r="H990" s="184"/>
      <c r="I990" s="194"/>
      <c r="J990" s="194"/>
      <c r="K990" s="194"/>
      <c r="L990" s="184"/>
      <c r="M990" s="184"/>
      <c r="N990" s="184"/>
      <c r="O990" s="184"/>
      <c r="P990" s="184"/>
      <c r="Q990" s="184"/>
      <c r="R990" s="184"/>
      <c r="S990" s="184"/>
      <c r="T990" s="184"/>
      <c r="U990" s="184"/>
      <c r="V990" s="184"/>
      <c r="W990" s="184"/>
      <c r="X990" s="184"/>
      <c r="Y990" s="184"/>
      <c r="Z990" s="184"/>
      <c r="AA990" s="184"/>
    </row>
    <row r="991">
      <c r="A991" s="184"/>
      <c r="B991" s="184"/>
      <c r="C991" s="194"/>
      <c r="D991" s="194"/>
      <c r="E991" s="194"/>
      <c r="F991" s="194"/>
      <c r="G991" s="194"/>
      <c r="H991" s="184"/>
      <c r="I991" s="194"/>
      <c r="J991" s="194"/>
      <c r="K991" s="194"/>
      <c r="L991" s="184"/>
      <c r="M991" s="184"/>
      <c r="N991" s="184"/>
      <c r="O991" s="184"/>
      <c r="P991" s="184"/>
      <c r="Q991" s="184"/>
      <c r="R991" s="184"/>
      <c r="S991" s="184"/>
      <c r="T991" s="184"/>
      <c r="U991" s="184"/>
      <c r="V991" s="184"/>
      <c r="W991" s="184"/>
      <c r="X991" s="184"/>
      <c r="Y991" s="184"/>
      <c r="Z991" s="184"/>
      <c r="AA991" s="184"/>
    </row>
    <row r="992">
      <c r="A992" s="184"/>
      <c r="B992" s="184"/>
      <c r="C992" s="194"/>
      <c r="D992" s="194"/>
      <c r="E992" s="194"/>
      <c r="F992" s="194"/>
      <c r="G992" s="194"/>
      <c r="H992" s="184"/>
      <c r="I992" s="194"/>
      <c r="J992" s="194"/>
      <c r="K992" s="194"/>
      <c r="L992" s="184"/>
      <c r="M992" s="184"/>
      <c r="N992" s="184"/>
      <c r="O992" s="184"/>
      <c r="P992" s="184"/>
      <c r="Q992" s="184"/>
      <c r="R992" s="184"/>
      <c r="S992" s="184"/>
      <c r="T992" s="184"/>
      <c r="U992" s="184"/>
      <c r="V992" s="184"/>
      <c r="W992" s="184"/>
      <c r="X992" s="184"/>
      <c r="Y992" s="184"/>
      <c r="Z992" s="184"/>
      <c r="AA992" s="184"/>
    </row>
    <row r="993">
      <c r="A993" s="184"/>
      <c r="B993" s="184"/>
      <c r="C993" s="194"/>
      <c r="D993" s="194"/>
      <c r="E993" s="194"/>
      <c r="F993" s="194"/>
      <c r="G993" s="194"/>
      <c r="H993" s="184"/>
      <c r="I993" s="194"/>
      <c r="J993" s="194"/>
      <c r="K993" s="194"/>
      <c r="L993" s="184"/>
      <c r="M993" s="184"/>
      <c r="N993" s="184"/>
      <c r="O993" s="184"/>
      <c r="P993" s="184"/>
      <c r="Q993" s="184"/>
      <c r="R993" s="184"/>
      <c r="S993" s="184"/>
      <c r="T993" s="184"/>
      <c r="U993" s="184"/>
      <c r="V993" s="184"/>
      <c r="W993" s="184"/>
      <c r="X993" s="184"/>
      <c r="Y993" s="184"/>
      <c r="Z993" s="184"/>
      <c r="AA993" s="184"/>
    </row>
    <row r="994">
      <c r="A994" s="184"/>
      <c r="B994" s="184"/>
      <c r="C994" s="194"/>
      <c r="D994" s="194"/>
      <c r="E994" s="194"/>
      <c r="F994" s="194"/>
      <c r="G994" s="194"/>
      <c r="H994" s="184"/>
      <c r="I994" s="194"/>
      <c r="J994" s="194"/>
      <c r="K994" s="194"/>
      <c r="L994" s="184"/>
      <c r="M994" s="184"/>
      <c r="N994" s="184"/>
      <c r="O994" s="184"/>
      <c r="P994" s="184"/>
      <c r="Q994" s="184"/>
      <c r="R994" s="184"/>
      <c r="S994" s="184"/>
      <c r="T994" s="184"/>
      <c r="U994" s="184"/>
      <c r="V994" s="184"/>
      <c r="W994" s="184"/>
      <c r="X994" s="184"/>
      <c r="Y994" s="184"/>
      <c r="Z994" s="184"/>
      <c r="AA994" s="184"/>
    </row>
    <row r="995">
      <c r="A995" s="184"/>
      <c r="B995" s="184"/>
      <c r="C995" s="194"/>
      <c r="D995" s="194"/>
      <c r="E995" s="194"/>
      <c r="F995" s="194"/>
      <c r="G995" s="194"/>
      <c r="H995" s="184"/>
      <c r="I995" s="194"/>
      <c r="J995" s="194"/>
      <c r="K995" s="194"/>
      <c r="L995" s="184"/>
      <c r="M995" s="184"/>
      <c r="N995" s="184"/>
      <c r="O995" s="184"/>
      <c r="P995" s="184"/>
      <c r="Q995" s="184"/>
      <c r="R995" s="184"/>
      <c r="S995" s="184"/>
      <c r="T995" s="184"/>
      <c r="U995" s="184"/>
      <c r="V995" s="184"/>
      <c r="W995" s="184"/>
      <c r="X995" s="184"/>
      <c r="Y995" s="184"/>
      <c r="Z995" s="184"/>
      <c r="AA995" s="184"/>
    </row>
    <row r="996">
      <c r="A996" s="184"/>
      <c r="B996" s="184"/>
      <c r="C996" s="194"/>
      <c r="D996" s="194"/>
      <c r="E996" s="194"/>
      <c r="F996" s="194"/>
      <c r="G996" s="194"/>
      <c r="H996" s="184"/>
      <c r="I996" s="194"/>
      <c r="J996" s="194"/>
      <c r="K996" s="194"/>
      <c r="L996" s="184"/>
      <c r="M996" s="184"/>
      <c r="N996" s="184"/>
      <c r="O996" s="184"/>
      <c r="P996" s="184"/>
      <c r="Q996" s="184"/>
      <c r="R996" s="184"/>
      <c r="S996" s="184"/>
      <c r="T996" s="184"/>
      <c r="U996" s="184"/>
      <c r="V996" s="184"/>
      <c r="W996" s="184"/>
      <c r="X996" s="184"/>
      <c r="Y996" s="184"/>
      <c r="Z996" s="184"/>
      <c r="AA996" s="184"/>
    </row>
    <row r="997">
      <c r="A997" s="184"/>
      <c r="B997" s="184"/>
      <c r="C997" s="194"/>
      <c r="D997" s="194"/>
      <c r="E997" s="194"/>
      <c r="F997" s="194"/>
      <c r="G997" s="194"/>
      <c r="H997" s="184"/>
      <c r="I997" s="194"/>
      <c r="J997" s="194"/>
      <c r="K997" s="194"/>
      <c r="L997" s="184"/>
      <c r="M997" s="184"/>
      <c r="N997" s="184"/>
      <c r="O997" s="184"/>
      <c r="P997" s="184"/>
      <c r="Q997" s="184"/>
      <c r="R997" s="184"/>
      <c r="S997" s="184"/>
      <c r="T997" s="184"/>
      <c r="U997" s="184"/>
      <c r="V997" s="184"/>
      <c r="W997" s="184"/>
      <c r="X997" s="184"/>
      <c r="Y997" s="184"/>
      <c r="Z997" s="184"/>
      <c r="AA997" s="184"/>
    </row>
    <row r="998">
      <c r="A998" s="184"/>
      <c r="B998" s="184"/>
      <c r="C998" s="194"/>
      <c r="D998" s="194"/>
      <c r="E998" s="194"/>
      <c r="F998" s="194"/>
      <c r="G998" s="194"/>
      <c r="H998" s="184"/>
      <c r="I998" s="194"/>
      <c r="J998" s="194"/>
      <c r="K998" s="194"/>
      <c r="L998" s="184"/>
      <c r="M998" s="184"/>
      <c r="N998" s="184"/>
      <c r="O998" s="184"/>
      <c r="P998" s="184"/>
      <c r="Q998" s="184"/>
      <c r="R998" s="184"/>
      <c r="S998" s="184"/>
      <c r="T998" s="184"/>
      <c r="U998" s="184"/>
      <c r="V998" s="184"/>
      <c r="W998" s="184"/>
      <c r="X998" s="184"/>
      <c r="Y998" s="184"/>
      <c r="Z998" s="184"/>
      <c r="AA998" s="184"/>
    </row>
    <row r="999">
      <c r="A999" s="184"/>
      <c r="B999" s="184"/>
      <c r="C999" s="194"/>
      <c r="D999" s="194"/>
      <c r="E999" s="194"/>
      <c r="F999" s="194"/>
      <c r="G999" s="194"/>
      <c r="H999" s="184"/>
      <c r="I999" s="194"/>
      <c r="J999" s="194"/>
      <c r="K999" s="194"/>
      <c r="L999" s="184"/>
      <c r="M999" s="184"/>
      <c r="N999" s="184"/>
      <c r="O999" s="184"/>
      <c r="P999" s="184"/>
      <c r="Q999" s="184"/>
      <c r="R999" s="184"/>
      <c r="S999" s="184"/>
      <c r="T999" s="184"/>
      <c r="U999" s="184"/>
      <c r="V999" s="184"/>
      <c r="W999" s="184"/>
      <c r="X999" s="184"/>
      <c r="Y999" s="184"/>
      <c r="Z999" s="184"/>
      <c r="AA999" s="184"/>
    </row>
  </sheetData>
  <mergeCells count="7">
    <mergeCell ref="A1:A2"/>
    <mergeCell ref="B1:B2"/>
    <mergeCell ref="C1:C2"/>
    <mergeCell ref="D1:D2"/>
    <mergeCell ref="E1:E2"/>
    <mergeCell ref="F1:H1"/>
    <mergeCell ref="I1:K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4.25"/>
    <col customWidth="1" min="2" max="2" width="11.75"/>
    <col customWidth="1" min="3" max="3" width="31.38"/>
    <col customWidth="1" min="4" max="4" width="13.13"/>
    <col customWidth="1" min="5" max="5" width="14.13"/>
    <col customWidth="1" min="6" max="6" width="15.75"/>
    <col customWidth="1" min="7" max="7" width="16.38"/>
    <col customWidth="1" min="8" max="8" width="19.5"/>
  </cols>
  <sheetData>
    <row r="1">
      <c r="A1" s="52" t="s">
        <v>0</v>
      </c>
      <c r="B1" s="52" t="s">
        <v>50</v>
      </c>
      <c r="C1" s="52" t="s">
        <v>51</v>
      </c>
      <c r="D1" s="52" t="s">
        <v>52</v>
      </c>
      <c r="E1" s="52" t="s">
        <v>53</v>
      </c>
      <c r="F1" s="53" t="s">
        <v>54</v>
      </c>
      <c r="G1" s="54"/>
      <c r="H1" s="55"/>
    </row>
    <row r="2">
      <c r="A2" s="56"/>
      <c r="B2" s="56"/>
      <c r="C2" s="56"/>
      <c r="D2" s="56"/>
      <c r="E2" s="56"/>
      <c r="F2" s="57" t="s">
        <v>378</v>
      </c>
      <c r="G2" s="57" t="s">
        <v>379</v>
      </c>
      <c r="H2" s="57" t="s">
        <v>380</v>
      </c>
    </row>
    <row r="3">
      <c r="A3" s="58"/>
      <c r="B3" s="59" t="s">
        <v>59</v>
      </c>
      <c r="C3" s="60"/>
      <c r="D3" s="58"/>
      <c r="E3" s="58"/>
      <c r="F3" s="58"/>
      <c r="G3" s="58"/>
      <c r="H3" s="58"/>
    </row>
    <row r="4">
      <c r="A4" s="196">
        <v>1.0</v>
      </c>
      <c r="B4" s="197" t="s">
        <v>381</v>
      </c>
      <c r="C4" s="198" t="s">
        <v>61</v>
      </c>
      <c r="D4" s="64" t="s">
        <v>62</v>
      </c>
      <c r="E4" s="64" t="s">
        <v>63</v>
      </c>
      <c r="F4" s="65"/>
      <c r="G4" s="65"/>
      <c r="H4" s="69">
        <v>2.0</v>
      </c>
    </row>
    <row r="5">
      <c r="A5" s="74">
        <v>2.0</v>
      </c>
      <c r="B5" s="199" t="s">
        <v>382</v>
      </c>
      <c r="C5" s="200" t="s">
        <v>65</v>
      </c>
      <c r="D5" s="64" t="s">
        <v>62</v>
      </c>
      <c r="E5" s="64" t="s">
        <v>63</v>
      </c>
      <c r="F5" s="65"/>
      <c r="G5" s="68">
        <v>2.0</v>
      </c>
      <c r="H5" s="69"/>
    </row>
    <row r="6">
      <c r="A6" s="74">
        <v>3.0</v>
      </c>
      <c r="B6" s="199" t="s">
        <v>383</v>
      </c>
      <c r="C6" s="200" t="s">
        <v>67</v>
      </c>
      <c r="D6" s="64" t="s">
        <v>62</v>
      </c>
      <c r="E6" s="64" t="s">
        <v>63</v>
      </c>
      <c r="F6" s="65"/>
      <c r="G6" s="65"/>
      <c r="H6" s="69">
        <v>2.0</v>
      </c>
    </row>
    <row r="7">
      <c r="A7" s="74">
        <v>4.0</v>
      </c>
      <c r="B7" s="199" t="s">
        <v>384</v>
      </c>
      <c r="C7" s="200" t="s">
        <v>385</v>
      </c>
      <c r="D7" s="64" t="s">
        <v>62</v>
      </c>
      <c r="E7" s="64" t="s">
        <v>63</v>
      </c>
      <c r="F7" s="68">
        <v>3.0</v>
      </c>
      <c r="G7" s="65"/>
      <c r="H7" s="69"/>
    </row>
    <row r="8">
      <c r="A8" s="74">
        <v>5.0</v>
      </c>
      <c r="B8" s="199" t="s">
        <v>386</v>
      </c>
      <c r="C8" s="200" t="s">
        <v>71</v>
      </c>
      <c r="D8" s="64" t="s">
        <v>62</v>
      </c>
      <c r="E8" s="64" t="s">
        <v>63</v>
      </c>
      <c r="F8" s="65"/>
      <c r="G8" s="65"/>
      <c r="H8" s="69">
        <v>2.0</v>
      </c>
    </row>
    <row r="9">
      <c r="A9" s="74">
        <v>6.0</v>
      </c>
      <c r="B9" s="199" t="s">
        <v>387</v>
      </c>
      <c r="C9" s="200" t="s">
        <v>73</v>
      </c>
      <c r="D9" s="64" t="s">
        <v>62</v>
      </c>
      <c r="E9" s="64" t="s">
        <v>63</v>
      </c>
      <c r="F9" s="65"/>
      <c r="G9" s="68">
        <v>2.0</v>
      </c>
      <c r="H9" s="69"/>
    </row>
    <row r="10">
      <c r="A10" s="71">
        <v>7.0</v>
      </c>
      <c r="B10" s="201" t="s">
        <v>388</v>
      </c>
      <c r="C10" s="202" t="s">
        <v>75</v>
      </c>
      <c r="D10" s="64" t="s">
        <v>62</v>
      </c>
      <c r="E10" s="64" t="s">
        <v>63</v>
      </c>
      <c r="F10" s="65"/>
      <c r="G10" s="68">
        <v>3.0</v>
      </c>
      <c r="H10" s="69"/>
    </row>
    <row r="11">
      <c r="A11" s="71">
        <v>8.0</v>
      </c>
      <c r="B11" s="201" t="s">
        <v>389</v>
      </c>
      <c r="C11" s="202" t="s">
        <v>390</v>
      </c>
      <c r="D11" s="64" t="s">
        <v>62</v>
      </c>
      <c r="E11" s="64" t="s">
        <v>63</v>
      </c>
      <c r="F11" s="65"/>
      <c r="G11" s="65"/>
      <c r="H11" s="69">
        <v>2.0</v>
      </c>
    </row>
    <row r="12">
      <c r="A12" s="58"/>
      <c r="B12" s="60"/>
      <c r="C12" s="60"/>
      <c r="D12" s="58"/>
      <c r="E12" s="58"/>
      <c r="F12" s="65"/>
      <c r="G12" s="65"/>
      <c r="H12" s="65"/>
    </row>
    <row r="13">
      <c r="A13" s="58"/>
      <c r="B13" s="59" t="s">
        <v>80</v>
      </c>
      <c r="C13" s="60"/>
      <c r="D13" s="58"/>
      <c r="E13" s="58"/>
      <c r="F13" s="65"/>
      <c r="G13" s="65"/>
      <c r="H13" s="65"/>
    </row>
    <row r="14">
      <c r="A14" s="71">
        <v>1.0</v>
      </c>
      <c r="B14" s="80" t="s">
        <v>391</v>
      </c>
      <c r="C14" s="203" t="s">
        <v>82</v>
      </c>
      <c r="D14" s="64" t="s">
        <v>62</v>
      </c>
      <c r="E14" s="64" t="s">
        <v>63</v>
      </c>
      <c r="F14" s="65"/>
      <c r="G14" s="65"/>
      <c r="H14" s="204">
        <v>2.0</v>
      </c>
    </row>
    <row r="15">
      <c r="A15" s="74">
        <v>2.0</v>
      </c>
      <c r="B15" s="95" t="s">
        <v>392</v>
      </c>
      <c r="C15" s="96" t="s">
        <v>393</v>
      </c>
      <c r="D15" s="64" t="s">
        <v>62</v>
      </c>
      <c r="E15" s="64" t="s">
        <v>63</v>
      </c>
      <c r="F15" s="68">
        <v>2.0</v>
      </c>
      <c r="G15" s="65"/>
      <c r="H15" s="204"/>
    </row>
    <row r="16">
      <c r="A16" s="71">
        <v>3.0</v>
      </c>
      <c r="B16" s="80" t="s">
        <v>394</v>
      </c>
      <c r="C16" s="203" t="s">
        <v>117</v>
      </c>
      <c r="D16" s="64" t="s">
        <v>62</v>
      </c>
      <c r="E16" s="64" t="s">
        <v>63</v>
      </c>
      <c r="F16" s="65"/>
      <c r="G16" s="65"/>
      <c r="H16" s="204">
        <v>2.0</v>
      </c>
    </row>
    <row r="17">
      <c r="A17" s="71">
        <v>4.0</v>
      </c>
      <c r="B17" s="80" t="s">
        <v>395</v>
      </c>
      <c r="C17" s="203" t="s">
        <v>88</v>
      </c>
      <c r="D17" s="64" t="s">
        <v>62</v>
      </c>
      <c r="E17" s="64" t="s">
        <v>63</v>
      </c>
      <c r="F17" s="65"/>
      <c r="G17" s="68">
        <v>2.0</v>
      </c>
      <c r="H17" s="204"/>
    </row>
    <row r="18">
      <c r="A18" s="71">
        <v>5.0</v>
      </c>
      <c r="B18" s="80" t="s">
        <v>396</v>
      </c>
      <c r="C18" s="203" t="s">
        <v>90</v>
      </c>
      <c r="D18" s="64" t="s">
        <v>62</v>
      </c>
      <c r="E18" s="64" t="s">
        <v>63</v>
      </c>
      <c r="F18" s="65"/>
      <c r="G18" s="68">
        <v>2.0</v>
      </c>
      <c r="H18" s="204"/>
    </row>
    <row r="19">
      <c r="A19" s="74">
        <v>6.0</v>
      </c>
      <c r="B19" s="80" t="s">
        <v>397</v>
      </c>
      <c r="C19" s="203" t="s">
        <v>92</v>
      </c>
      <c r="D19" s="64" t="s">
        <v>62</v>
      </c>
      <c r="E19" s="64" t="s">
        <v>63</v>
      </c>
      <c r="F19" s="65"/>
      <c r="G19" s="68">
        <v>2.0</v>
      </c>
      <c r="H19" s="204"/>
    </row>
    <row r="20">
      <c r="A20" s="71">
        <v>7.0</v>
      </c>
      <c r="B20" s="80" t="s">
        <v>398</v>
      </c>
      <c r="C20" s="203" t="s">
        <v>94</v>
      </c>
      <c r="D20" s="64" t="s">
        <v>62</v>
      </c>
      <c r="E20" s="64" t="s">
        <v>63</v>
      </c>
      <c r="F20" s="65"/>
      <c r="G20" s="68">
        <v>2.0</v>
      </c>
      <c r="H20" s="204"/>
    </row>
    <row r="21">
      <c r="A21" s="71">
        <v>8.0</v>
      </c>
      <c r="B21" s="80" t="s">
        <v>399</v>
      </c>
      <c r="C21" s="203" t="s">
        <v>234</v>
      </c>
      <c r="D21" s="64" t="s">
        <v>62</v>
      </c>
      <c r="E21" s="64" t="s">
        <v>63</v>
      </c>
      <c r="F21" s="65"/>
      <c r="G21" s="68">
        <v>2.0</v>
      </c>
      <c r="H21" s="204"/>
    </row>
    <row r="22">
      <c r="A22" s="71">
        <v>9.0</v>
      </c>
      <c r="B22" s="80" t="s">
        <v>400</v>
      </c>
      <c r="C22" s="203" t="s">
        <v>249</v>
      </c>
      <c r="D22" s="64" t="s">
        <v>62</v>
      </c>
      <c r="E22" s="64" t="s">
        <v>63</v>
      </c>
      <c r="F22" s="65"/>
      <c r="G22" s="68">
        <v>2.0</v>
      </c>
      <c r="H22" s="204"/>
    </row>
    <row r="23">
      <c r="A23" s="74">
        <v>10.0</v>
      </c>
      <c r="B23" s="80" t="s">
        <v>401</v>
      </c>
      <c r="C23" s="96" t="s">
        <v>402</v>
      </c>
      <c r="D23" s="64" t="s">
        <v>62</v>
      </c>
      <c r="E23" s="64" t="s">
        <v>63</v>
      </c>
      <c r="F23" s="65"/>
      <c r="G23" s="65"/>
      <c r="H23" s="204">
        <v>2.0</v>
      </c>
    </row>
    <row r="24">
      <c r="A24" s="58"/>
      <c r="B24" s="58"/>
      <c r="C24" s="58"/>
      <c r="D24" s="58"/>
      <c r="E24" s="58"/>
      <c r="F24" s="65"/>
      <c r="G24" s="65"/>
      <c r="H24" s="65"/>
    </row>
    <row r="25">
      <c r="A25" s="58"/>
      <c r="B25" s="76" t="s">
        <v>99</v>
      </c>
      <c r="C25" s="58"/>
      <c r="D25" s="58"/>
      <c r="E25" s="58"/>
      <c r="F25" s="65"/>
      <c r="G25" s="65"/>
      <c r="H25" s="65"/>
    </row>
    <row r="26">
      <c r="A26" s="71">
        <v>1.0</v>
      </c>
      <c r="B26" s="80" t="s">
        <v>403</v>
      </c>
      <c r="C26" s="203" t="s">
        <v>86</v>
      </c>
      <c r="D26" s="64" t="s">
        <v>62</v>
      </c>
      <c r="E26" s="64" t="s">
        <v>63</v>
      </c>
      <c r="F26" s="65"/>
      <c r="G26" s="69">
        <v>2.0</v>
      </c>
      <c r="H26" s="65"/>
    </row>
    <row r="27">
      <c r="A27" s="74">
        <v>2.0</v>
      </c>
      <c r="B27" s="95" t="s">
        <v>404</v>
      </c>
      <c r="C27" s="96" t="s">
        <v>405</v>
      </c>
      <c r="D27" s="64" t="s">
        <v>62</v>
      </c>
      <c r="E27" s="64" t="s">
        <v>63</v>
      </c>
      <c r="F27" s="65"/>
      <c r="G27" s="204">
        <v>2.0</v>
      </c>
      <c r="H27" s="65"/>
    </row>
    <row r="28">
      <c r="A28" s="74">
        <v>3.0</v>
      </c>
      <c r="B28" s="95" t="s">
        <v>406</v>
      </c>
      <c r="C28" s="96" t="s">
        <v>407</v>
      </c>
      <c r="D28" s="64" t="s">
        <v>62</v>
      </c>
      <c r="E28" s="64" t="s">
        <v>63</v>
      </c>
      <c r="F28" s="65"/>
      <c r="G28" s="69">
        <v>2.0</v>
      </c>
      <c r="H28" s="65"/>
    </row>
    <row r="29">
      <c r="A29" s="74">
        <v>4.0</v>
      </c>
      <c r="B29" s="95" t="s">
        <v>408</v>
      </c>
      <c r="C29" s="96" t="s">
        <v>232</v>
      </c>
      <c r="D29" s="64" t="s">
        <v>62</v>
      </c>
      <c r="E29" s="64" t="s">
        <v>63</v>
      </c>
      <c r="F29" s="65"/>
      <c r="G29" s="69">
        <v>3.0</v>
      </c>
      <c r="H29" s="65"/>
    </row>
    <row r="30">
      <c r="A30" s="74">
        <v>5.0</v>
      </c>
      <c r="B30" s="95" t="s">
        <v>409</v>
      </c>
      <c r="C30" s="96" t="s">
        <v>109</v>
      </c>
      <c r="D30" s="64" t="s">
        <v>62</v>
      </c>
      <c r="E30" s="64" t="s">
        <v>63</v>
      </c>
      <c r="F30" s="65"/>
      <c r="G30" s="69">
        <v>3.0</v>
      </c>
      <c r="H30" s="65"/>
    </row>
    <row r="31">
      <c r="A31" s="74">
        <v>6.0</v>
      </c>
      <c r="B31" s="95" t="s">
        <v>410</v>
      </c>
      <c r="C31" s="96" t="s">
        <v>411</v>
      </c>
      <c r="D31" s="64" t="s">
        <v>62</v>
      </c>
      <c r="E31" s="64" t="s">
        <v>63</v>
      </c>
      <c r="F31" s="68">
        <v>2.0</v>
      </c>
      <c r="G31" s="69"/>
      <c r="H31" s="65"/>
    </row>
    <row r="32">
      <c r="A32" s="74">
        <v>7.0</v>
      </c>
      <c r="B32" s="95" t="s">
        <v>412</v>
      </c>
      <c r="C32" s="96" t="s">
        <v>113</v>
      </c>
      <c r="D32" s="64" t="s">
        <v>62</v>
      </c>
      <c r="E32" s="64" t="s">
        <v>63</v>
      </c>
      <c r="F32" s="65"/>
      <c r="G32" s="69">
        <v>2.0</v>
      </c>
      <c r="H32" s="65"/>
    </row>
    <row r="33">
      <c r="A33" s="74">
        <v>8.0</v>
      </c>
      <c r="B33" s="95" t="s">
        <v>413</v>
      </c>
      <c r="C33" s="96" t="s">
        <v>115</v>
      </c>
      <c r="D33" s="64" t="s">
        <v>62</v>
      </c>
      <c r="E33" s="64" t="s">
        <v>63</v>
      </c>
      <c r="F33" s="65"/>
      <c r="G33" s="69">
        <v>3.0</v>
      </c>
      <c r="H33" s="65"/>
    </row>
    <row r="34">
      <c r="A34" s="58"/>
      <c r="B34" s="58"/>
      <c r="C34" s="58"/>
      <c r="D34" s="58"/>
      <c r="E34" s="58"/>
      <c r="F34" s="65"/>
      <c r="G34" s="65"/>
      <c r="H34" s="65"/>
    </row>
    <row r="35">
      <c r="A35" s="58"/>
      <c r="B35" s="76" t="s">
        <v>118</v>
      </c>
      <c r="C35" s="58"/>
      <c r="D35" s="58"/>
      <c r="E35" s="58"/>
      <c r="F35" s="65"/>
      <c r="G35" s="65"/>
      <c r="H35" s="65"/>
    </row>
    <row r="36">
      <c r="A36" s="74">
        <v>1.0</v>
      </c>
      <c r="B36" s="95" t="s">
        <v>414</v>
      </c>
      <c r="C36" s="96" t="s">
        <v>105</v>
      </c>
      <c r="D36" s="64" t="s">
        <v>62</v>
      </c>
      <c r="E36" s="64" t="s">
        <v>63</v>
      </c>
      <c r="F36" s="65"/>
      <c r="G36" s="65"/>
      <c r="H36" s="68">
        <v>2.0</v>
      </c>
    </row>
    <row r="37">
      <c r="A37" s="71">
        <v>2.0</v>
      </c>
      <c r="B37" s="95" t="s">
        <v>415</v>
      </c>
      <c r="C37" s="96" t="s">
        <v>231</v>
      </c>
      <c r="D37" s="64" t="s">
        <v>62</v>
      </c>
      <c r="E37" s="64" t="s">
        <v>63</v>
      </c>
      <c r="F37" s="65"/>
      <c r="G37" s="95">
        <v>2.0</v>
      </c>
      <c r="H37" s="65"/>
    </row>
    <row r="38">
      <c r="A38" s="71">
        <v>3.0</v>
      </c>
      <c r="B38" s="95" t="s">
        <v>416</v>
      </c>
      <c r="C38" s="203" t="s">
        <v>101</v>
      </c>
      <c r="D38" s="64" t="s">
        <v>62</v>
      </c>
      <c r="E38" s="64" t="s">
        <v>63</v>
      </c>
      <c r="F38" s="65"/>
      <c r="G38" s="80">
        <v>2.0</v>
      </c>
      <c r="H38" s="65"/>
    </row>
    <row r="39">
      <c r="A39" s="71">
        <v>4.0</v>
      </c>
      <c r="B39" s="95" t="s">
        <v>417</v>
      </c>
      <c r="C39" s="96" t="s">
        <v>418</v>
      </c>
      <c r="D39" s="64" t="s">
        <v>62</v>
      </c>
      <c r="E39" s="64" t="s">
        <v>63</v>
      </c>
      <c r="F39" s="65"/>
      <c r="G39" s="80">
        <v>3.0</v>
      </c>
      <c r="H39" s="65"/>
    </row>
    <row r="40">
      <c r="A40" s="71">
        <v>5.0</v>
      </c>
      <c r="B40" s="95" t="s">
        <v>419</v>
      </c>
      <c r="C40" s="96" t="s">
        <v>420</v>
      </c>
      <c r="D40" s="64" t="s">
        <v>62</v>
      </c>
      <c r="E40" s="64" t="s">
        <v>63</v>
      </c>
      <c r="F40" s="65"/>
      <c r="G40" s="205">
        <v>2.0</v>
      </c>
      <c r="H40" s="65"/>
    </row>
    <row r="41">
      <c r="A41" s="74">
        <v>6.0</v>
      </c>
      <c r="B41" s="95" t="s">
        <v>421</v>
      </c>
      <c r="C41" s="96" t="s">
        <v>128</v>
      </c>
      <c r="D41" s="64" t="s">
        <v>62</v>
      </c>
      <c r="E41" s="64" t="s">
        <v>63</v>
      </c>
      <c r="F41" s="65"/>
      <c r="G41" s="95">
        <v>2.0</v>
      </c>
      <c r="H41" s="65"/>
    </row>
    <row r="42">
      <c r="A42" s="71">
        <v>7.0</v>
      </c>
      <c r="B42" s="95" t="s">
        <v>422</v>
      </c>
      <c r="C42" s="96" t="s">
        <v>130</v>
      </c>
      <c r="D42" s="64" t="s">
        <v>62</v>
      </c>
      <c r="E42" s="64" t="s">
        <v>63</v>
      </c>
      <c r="F42" s="65"/>
      <c r="G42" s="95">
        <v>2.0</v>
      </c>
      <c r="H42" s="65"/>
    </row>
    <row r="43">
      <c r="A43" s="71">
        <v>8.0</v>
      </c>
      <c r="B43" s="95" t="s">
        <v>423</v>
      </c>
      <c r="C43" s="96" t="s">
        <v>132</v>
      </c>
      <c r="D43" s="64" t="s">
        <v>62</v>
      </c>
      <c r="E43" s="64" t="s">
        <v>63</v>
      </c>
      <c r="F43" s="65"/>
      <c r="G43" s="95">
        <v>3.0</v>
      </c>
      <c r="H43" s="65"/>
    </row>
    <row r="44">
      <c r="A44" s="206">
        <v>9.0</v>
      </c>
      <c r="B44" s="95" t="s">
        <v>424</v>
      </c>
      <c r="C44" s="96" t="s">
        <v>134</v>
      </c>
      <c r="D44" s="64" t="s">
        <v>62</v>
      </c>
      <c r="E44" s="64" t="s">
        <v>63</v>
      </c>
      <c r="F44" s="68">
        <v>2.0</v>
      </c>
      <c r="G44" s="65"/>
      <c r="H44" s="65"/>
    </row>
    <row r="45">
      <c r="A45" s="58"/>
      <c r="B45" s="58"/>
      <c r="C45" s="58"/>
      <c r="D45" s="58"/>
      <c r="E45" s="58"/>
      <c r="F45" s="65"/>
      <c r="G45" s="65"/>
      <c r="H45" s="65"/>
    </row>
    <row r="46">
      <c r="A46" s="58"/>
      <c r="B46" s="76" t="s">
        <v>137</v>
      </c>
      <c r="C46" s="58"/>
      <c r="D46" s="58"/>
      <c r="E46" s="58"/>
      <c r="F46" s="65"/>
      <c r="G46" s="65"/>
      <c r="H46" s="65"/>
    </row>
    <row r="47">
      <c r="A47" s="74">
        <v>1.0</v>
      </c>
      <c r="B47" s="95" t="s">
        <v>425</v>
      </c>
      <c r="C47" s="207" t="s">
        <v>139</v>
      </c>
      <c r="D47" s="64" t="s">
        <v>62</v>
      </c>
      <c r="E47" s="64" t="s">
        <v>63</v>
      </c>
      <c r="F47" s="65"/>
      <c r="G47" s="65"/>
      <c r="H47" s="65">
        <v>2.0</v>
      </c>
    </row>
    <row r="48">
      <c r="A48" s="74">
        <v>2.0</v>
      </c>
      <c r="B48" s="95" t="s">
        <v>426</v>
      </c>
      <c r="C48" s="203" t="s">
        <v>124</v>
      </c>
      <c r="D48" s="64" t="s">
        <v>62</v>
      </c>
      <c r="E48" s="64" t="s">
        <v>63</v>
      </c>
      <c r="F48" s="65"/>
      <c r="G48" s="65"/>
      <c r="H48" s="65">
        <v>2.0</v>
      </c>
    </row>
    <row r="49">
      <c r="A49" s="74">
        <v>3.0</v>
      </c>
      <c r="B49" s="95" t="s">
        <v>427</v>
      </c>
      <c r="C49" s="203" t="s">
        <v>143</v>
      </c>
      <c r="D49" s="64" t="s">
        <v>62</v>
      </c>
      <c r="E49" s="64" t="s">
        <v>63</v>
      </c>
      <c r="F49" s="65"/>
      <c r="G49" s="68">
        <v>3.0</v>
      </c>
      <c r="H49" s="65"/>
    </row>
    <row r="50">
      <c r="A50" s="74">
        <v>4.0</v>
      </c>
      <c r="B50" s="95" t="s">
        <v>428</v>
      </c>
      <c r="C50" s="203" t="s">
        <v>145</v>
      </c>
      <c r="D50" s="64" t="s">
        <v>62</v>
      </c>
      <c r="E50" s="64" t="s">
        <v>63</v>
      </c>
      <c r="F50" s="65"/>
      <c r="G50" s="68">
        <v>3.0</v>
      </c>
      <c r="H50" s="65"/>
    </row>
    <row r="51">
      <c r="A51" s="74">
        <v>5.0</v>
      </c>
      <c r="B51" s="95" t="s">
        <v>429</v>
      </c>
      <c r="C51" s="203" t="s">
        <v>201</v>
      </c>
      <c r="D51" s="64" t="s">
        <v>62</v>
      </c>
      <c r="E51" s="64" t="s">
        <v>63</v>
      </c>
      <c r="F51" s="65"/>
      <c r="G51" s="65"/>
      <c r="H51" s="65">
        <v>2.0</v>
      </c>
    </row>
    <row r="52">
      <c r="A52" s="74">
        <v>6.0</v>
      </c>
      <c r="B52" s="95" t="s">
        <v>430</v>
      </c>
      <c r="C52" s="203" t="s">
        <v>252</v>
      </c>
      <c r="D52" s="64" t="s">
        <v>62</v>
      </c>
      <c r="E52" s="64" t="s">
        <v>63</v>
      </c>
      <c r="F52" s="65"/>
      <c r="G52" s="68">
        <v>3.0</v>
      </c>
      <c r="H52" s="65"/>
    </row>
    <row r="53">
      <c r="A53" s="74">
        <v>7.0</v>
      </c>
      <c r="B53" s="95" t="s">
        <v>431</v>
      </c>
      <c r="C53" s="203" t="s">
        <v>103</v>
      </c>
      <c r="D53" s="64" t="s">
        <v>62</v>
      </c>
      <c r="E53" s="64" t="s">
        <v>63</v>
      </c>
      <c r="F53" s="65"/>
      <c r="G53" s="68">
        <v>2.0</v>
      </c>
      <c r="H53" s="65"/>
    </row>
    <row r="54">
      <c r="A54" s="206">
        <v>8.0</v>
      </c>
      <c r="B54" s="95" t="s">
        <v>432</v>
      </c>
      <c r="C54" s="203" t="s">
        <v>120</v>
      </c>
      <c r="D54" s="64" t="s">
        <v>62</v>
      </c>
      <c r="E54" s="64" t="s">
        <v>63</v>
      </c>
      <c r="F54" s="65"/>
      <c r="G54" s="68">
        <v>2.0</v>
      </c>
      <c r="H54" s="65"/>
    </row>
    <row r="55">
      <c r="A55" s="58"/>
      <c r="B55" s="58"/>
      <c r="C55" s="58"/>
      <c r="D55" s="58"/>
      <c r="E55" s="58"/>
      <c r="F55" s="65"/>
      <c r="G55" s="65"/>
      <c r="H55" s="65"/>
    </row>
    <row r="56">
      <c r="A56" s="58"/>
      <c r="B56" s="76" t="s">
        <v>154</v>
      </c>
      <c r="C56" s="58"/>
      <c r="D56" s="58"/>
      <c r="E56" s="58"/>
      <c r="F56" s="65"/>
      <c r="G56" s="65"/>
      <c r="H56" s="65"/>
    </row>
    <row r="57">
      <c r="A57" s="74">
        <v>1.0</v>
      </c>
      <c r="B57" s="208" t="s">
        <v>433</v>
      </c>
      <c r="C57" s="209" t="s">
        <v>149</v>
      </c>
      <c r="D57" s="64" t="s">
        <v>62</v>
      </c>
      <c r="E57" s="64" t="s">
        <v>63</v>
      </c>
      <c r="F57" s="65"/>
      <c r="G57" s="68">
        <v>2.0</v>
      </c>
      <c r="H57" s="86"/>
    </row>
    <row r="58">
      <c r="A58" s="74">
        <v>2.0</v>
      </c>
      <c r="B58" s="208" t="s">
        <v>434</v>
      </c>
      <c r="C58" s="210" t="s">
        <v>160</v>
      </c>
      <c r="D58" s="64" t="s">
        <v>62</v>
      </c>
      <c r="E58" s="64" t="s">
        <v>63</v>
      </c>
      <c r="F58" s="65"/>
      <c r="G58" s="68">
        <v>2.0</v>
      </c>
      <c r="H58" s="86"/>
    </row>
    <row r="59">
      <c r="A59" s="74">
        <v>3.0</v>
      </c>
      <c r="B59" s="208" t="s">
        <v>435</v>
      </c>
      <c r="C59" s="96" t="s">
        <v>141</v>
      </c>
      <c r="D59" s="64" t="s">
        <v>62</v>
      </c>
      <c r="E59" s="64" t="s">
        <v>63</v>
      </c>
      <c r="F59" s="65"/>
      <c r="G59" s="68"/>
      <c r="H59" s="77">
        <v>3.0</v>
      </c>
    </row>
    <row r="60">
      <c r="A60" s="74"/>
      <c r="B60" s="88" t="s">
        <v>161</v>
      </c>
      <c r="C60" s="11"/>
      <c r="D60" s="64"/>
      <c r="E60" s="64"/>
      <c r="F60" s="65"/>
      <c r="G60" s="65"/>
      <c r="H60" s="68"/>
    </row>
    <row r="61">
      <c r="A61" s="74">
        <v>4.0</v>
      </c>
      <c r="B61" s="208" t="s">
        <v>436</v>
      </c>
      <c r="C61" s="209" t="s">
        <v>163</v>
      </c>
      <c r="D61" s="64" t="s">
        <v>164</v>
      </c>
      <c r="E61" s="64" t="s">
        <v>63</v>
      </c>
      <c r="F61" s="65"/>
      <c r="G61" s="68">
        <v>4.0</v>
      </c>
      <c r="H61" s="68"/>
    </row>
    <row r="62">
      <c r="A62" s="74">
        <v>5.0</v>
      </c>
      <c r="B62" s="208" t="s">
        <v>437</v>
      </c>
      <c r="C62" s="209" t="s">
        <v>166</v>
      </c>
      <c r="D62" s="64" t="s">
        <v>164</v>
      </c>
      <c r="E62" s="64" t="s">
        <v>63</v>
      </c>
      <c r="F62" s="65"/>
      <c r="G62" s="68">
        <v>3.0</v>
      </c>
      <c r="H62" s="65"/>
    </row>
    <row r="63">
      <c r="A63" s="74">
        <v>6.0</v>
      </c>
      <c r="B63" s="208" t="s">
        <v>438</v>
      </c>
      <c r="C63" s="209" t="s">
        <v>168</v>
      </c>
      <c r="D63" s="64" t="s">
        <v>164</v>
      </c>
      <c r="E63" s="64" t="s">
        <v>63</v>
      </c>
      <c r="F63" s="65"/>
      <c r="G63" s="68">
        <v>3.0</v>
      </c>
      <c r="H63" s="65"/>
    </row>
    <row r="64">
      <c r="A64" s="74">
        <v>7.0</v>
      </c>
      <c r="B64" s="208" t="s">
        <v>439</v>
      </c>
      <c r="C64" s="209" t="s">
        <v>170</v>
      </c>
      <c r="D64" s="64" t="s">
        <v>164</v>
      </c>
      <c r="E64" s="64" t="s">
        <v>63</v>
      </c>
      <c r="F64" s="65"/>
      <c r="G64" s="68">
        <v>3.0</v>
      </c>
      <c r="H64" s="65"/>
    </row>
    <row r="65">
      <c r="A65" s="93"/>
      <c r="B65" s="88" t="s">
        <v>173</v>
      </c>
      <c r="C65" s="11"/>
      <c r="D65" s="58"/>
      <c r="E65" s="64"/>
      <c r="F65" s="65"/>
      <c r="G65" s="65"/>
      <c r="H65" s="65"/>
    </row>
    <row r="66">
      <c r="A66" s="211">
        <v>4.0</v>
      </c>
      <c r="B66" s="208" t="s">
        <v>440</v>
      </c>
      <c r="C66" s="209" t="s">
        <v>184</v>
      </c>
      <c r="D66" s="64" t="s">
        <v>164</v>
      </c>
      <c r="E66" s="64" t="s">
        <v>63</v>
      </c>
      <c r="F66" s="65"/>
      <c r="G66" s="92">
        <v>4.0</v>
      </c>
      <c r="H66" s="65"/>
    </row>
    <row r="67">
      <c r="A67" s="211">
        <v>5.0</v>
      </c>
      <c r="B67" s="208" t="s">
        <v>441</v>
      </c>
      <c r="C67" s="209" t="s">
        <v>186</v>
      </c>
      <c r="D67" s="64" t="s">
        <v>164</v>
      </c>
      <c r="E67" s="64" t="s">
        <v>63</v>
      </c>
      <c r="F67" s="65"/>
      <c r="G67" s="92">
        <v>3.0</v>
      </c>
      <c r="H67" s="65"/>
    </row>
    <row r="68">
      <c r="A68" s="211">
        <v>6.0</v>
      </c>
      <c r="B68" s="208" t="s">
        <v>442</v>
      </c>
      <c r="C68" s="209" t="s">
        <v>188</v>
      </c>
      <c r="D68" s="64" t="s">
        <v>164</v>
      </c>
      <c r="E68" s="64" t="s">
        <v>63</v>
      </c>
      <c r="F68" s="65"/>
      <c r="G68" s="92">
        <v>3.0</v>
      </c>
      <c r="H68" s="65"/>
    </row>
    <row r="69">
      <c r="A69" s="211">
        <v>7.0</v>
      </c>
      <c r="B69" s="208" t="s">
        <v>443</v>
      </c>
      <c r="C69" s="212" t="s">
        <v>190</v>
      </c>
      <c r="D69" s="64" t="s">
        <v>164</v>
      </c>
      <c r="E69" s="64" t="s">
        <v>63</v>
      </c>
      <c r="F69" s="65"/>
      <c r="G69" s="92">
        <v>3.0</v>
      </c>
      <c r="H69" s="65"/>
    </row>
    <row r="70">
      <c r="A70" s="93"/>
      <c r="B70" s="88" t="s">
        <v>182</v>
      </c>
      <c r="C70" s="11"/>
      <c r="D70" s="58"/>
      <c r="E70" s="64"/>
      <c r="F70" s="65"/>
      <c r="G70" s="65"/>
      <c r="H70" s="65"/>
    </row>
    <row r="71">
      <c r="A71" s="211">
        <v>4.0</v>
      </c>
      <c r="B71" s="208" t="s">
        <v>444</v>
      </c>
      <c r="C71" s="209" t="s">
        <v>445</v>
      </c>
      <c r="D71" s="64" t="s">
        <v>164</v>
      </c>
      <c r="E71" s="64" t="s">
        <v>63</v>
      </c>
      <c r="F71" s="65"/>
      <c r="G71" s="65"/>
      <c r="H71" s="68">
        <v>4.0</v>
      </c>
    </row>
    <row r="72">
      <c r="A72" s="211">
        <v>5.0</v>
      </c>
      <c r="B72" s="208" t="s">
        <v>446</v>
      </c>
      <c r="C72" s="209" t="s">
        <v>447</v>
      </c>
      <c r="D72" s="64" t="s">
        <v>164</v>
      </c>
      <c r="E72" s="64" t="s">
        <v>63</v>
      </c>
      <c r="F72" s="65"/>
      <c r="G72" s="68">
        <v>3.0</v>
      </c>
      <c r="H72" s="65"/>
    </row>
    <row r="73">
      <c r="A73" s="211">
        <v>6.0</v>
      </c>
      <c r="B73" s="208" t="s">
        <v>448</v>
      </c>
      <c r="C73" s="209" t="s">
        <v>449</v>
      </c>
      <c r="D73" s="64" t="s">
        <v>164</v>
      </c>
      <c r="E73" s="64" t="s">
        <v>63</v>
      </c>
      <c r="F73" s="65"/>
      <c r="G73" s="65"/>
      <c r="H73" s="68">
        <v>3.0</v>
      </c>
    </row>
    <row r="74">
      <c r="A74" s="211">
        <v>7.0</v>
      </c>
      <c r="B74" s="208" t="s">
        <v>450</v>
      </c>
      <c r="C74" s="209" t="s">
        <v>451</v>
      </c>
      <c r="D74" s="64" t="s">
        <v>164</v>
      </c>
      <c r="E74" s="64" t="s">
        <v>63</v>
      </c>
      <c r="F74" s="65"/>
      <c r="G74" s="68">
        <v>3.0</v>
      </c>
      <c r="H74" s="65"/>
    </row>
    <row r="75">
      <c r="A75" s="58"/>
      <c r="B75" s="58"/>
      <c r="C75" s="58"/>
      <c r="D75" s="58"/>
      <c r="E75" s="64"/>
      <c r="F75" s="65"/>
      <c r="G75" s="65"/>
      <c r="H75" s="65"/>
    </row>
    <row r="76">
      <c r="A76" s="58"/>
      <c r="B76" s="76" t="s">
        <v>191</v>
      </c>
      <c r="C76" s="58"/>
      <c r="D76" s="58"/>
      <c r="E76" s="58"/>
      <c r="F76" s="65"/>
      <c r="G76" s="65"/>
      <c r="H76" s="65"/>
    </row>
    <row r="77">
      <c r="A77" s="213">
        <v>1.0</v>
      </c>
      <c r="B77" s="208" t="s">
        <v>452</v>
      </c>
      <c r="C77" s="209" t="s">
        <v>193</v>
      </c>
      <c r="D77" s="64" t="s">
        <v>62</v>
      </c>
      <c r="E77" s="64" t="s">
        <v>63</v>
      </c>
      <c r="F77" s="65"/>
      <c r="G77" s="68">
        <v>10.0</v>
      </c>
      <c r="H77" s="65"/>
    </row>
    <row r="78">
      <c r="A78" s="97"/>
      <c r="B78" s="88" t="s">
        <v>161</v>
      </c>
      <c r="C78" s="11"/>
      <c r="D78" s="64"/>
      <c r="E78" s="64"/>
      <c r="F78" s="65"/>
      <c r="G78" s="65"/>
      <c r="H78" s="65"/>
    </row>
    <row r="79">
      <c r="A79" s="101">
        <v>2.0</v>
      </c>
      <c r="B79" s="208" t="s">
        <v>453</v>
      </c>
      <c r="C79" s="214" t="s">
        <v>172</v>
      </c>
      <c r="D79" s="64" t="s">
        <v>164</v>
      </c>
      <c r="E79" s="64" t="s">
        <v>175</v>
      </c>
      <c r="F79" s="65"/>
      <c r="G79" s="89">
        <v>2.0</v>
      </c>
      <c r="H79" s="95"/>
    </row>
    <row r="80">
      <c r="A80" s="101">
        <v>3.0</v>
      </c>
      <c r="B80" s="208" t="s">
        <v>454</v>
      </c>
      <c r="C80" s="210" t="s">
        <v>455</v>
      </c>
      <c r="D80" s="64" t="s">
        <v>164</v>
      </c>
      <c r="E80" s="64" t="s">
        <v>175</v>
      </c>
      <c r="F80" s="65"/>
      <c r="G80" s="89">
        <v>6.0</v>
      </c>
      <c r="H80" s="95"/>
    </row>
    <row r="81">
      <c r="A81" s="101">
        <v>4.0</v>
      </c>
      <c r="B81" s="208" t="s">
        <v>456</v>
      </c>
      <c r="C81" s="209" t="s">
        <v>457</v>
      </c>
      <c r="D81" s="64" t="s">
        <v>164</v>
      </c>
      <c r="E81" s="64" t="s">
        <v>175</v>
      </c>
      <c r="F81" s="65"/>
      <c r="G81" s="65"/>
      <c r="H81" s="77">
        <v>2.0</v>
      </c>
    </row>
    <row r="82">
      <c r="A82" s="97"/>
      <c r="B82" s="88" t="s">
        <v>173</v>
      </c>
      <c r="C82" s="11"/>
      <c r="D82" s="64"/>
      <c r="E82" s="64"/>
      <c r="F82" s="65"/>
      <c r="G82" s="65"/>
      <c r="H82" s="95"/>
    </row>
    <row r="83">
      <c r="A83" s="101">
        <v>2.0</v>
      </c>
      <c r="B83" s="208" t="s">
        <v>458</v>
      </c>
      <c r="C83" s="210" t="s">
        <v>459</v>
      </c>
      <c r="D83" s="64" t="s">
        <v>164</v>
      </c>
      <c r="E83" s="64" t="s">
        <v>175</v>
      </c>
      <c r="F83" s="65"/>
      <c r="G83" s="89">
        <v>6.0</v>
      </c>
      <c r="H83" s="95"/>
    </row>
    <row r="84">
      <c r="A84" s="101">
        <v>3.0</v>
      </c>
      <c r="B84" s="208" t="s">
        <v>460</v>
      </c>
      <c r="C84" s="210" t="s">
        <v>461</v>
      </c>
      <c r="D84" s="64" t="s">
        <v>164</v>
      </c>
      <c r="E84" s="64" t="s">
        <v>175</v>
      </c>
      <c r="F84" s="65"/>
      <c r="G84" s="89">
        <v>2.0</v>
      </c>
      <c r="H84" s="95"/>
    </row>
    <row r="85">
      <c r="A85" s="101">
        <v>4.0</v>
      </c>
      <c r="B85" s="208" t="s">
        <v>462</v>
      </c>
      <c r="C85" s="210" t="s">
        <v>463</v>
      </c>
      <c r="D85" s="64" t="s">
        <v>164</v>
      </c>
      <c r="E85" s="64" t="s">
        <v>175</v>
      </c>
      <c r="F85" s="65"/>
      <c r="G85" s="89">
        <v>2.0</v>
      </c>
      <c r="H85" s="95"/>
    </row>
    <row r="86">
      <c r="A86" s="97"/>
      <c r="B86" s="88" t="s">
        <v>182</v>
      </c>
      <c r="C86" s="11"/>
      <c r="D86" s="64"/>
      <c r="E86" s="64"/>
      <c r="F86" s="65"/>
      <c r="G86" s="65"/>
      <c r="H86" s="95"/>
    </row>
    <row r="87">
      <c r="A87" s="101">
        <v>2.0</v>
      </c>
      <c r="B87" s="208" t="s">
        <v>464</v>
      </c>
      <c r="C87" s="210" t="s">
        <v>465</v>
      </c>
      <c r="D87" s="64" t="s">
        <v>164</v>
      </c>
      <c r="E87" s="64" t="s">
        <v>175</v>
      </c>
      <c r="F87" s="65"/>
      <c r="G87" s="65"/>
      <c r="H87" s="77">
        <v>6.0</v>
      </c>
    </row>
    <row r="88">
      <c r="A88" s="101">
        <v>3.0</v>
      </c>
      <c r="B88" s="208" t="s">
        <v>466</v>
      </c>
      <c r="C88" s="209" t="s">
        <v>467</v>
      </c>
      <c r="D88" s="64" t="s">
        <v>164</v>
      </c>
      <c r="E88" s="64" t="s">
        <v>175</v>
      </c>
      <c r="F88" s="65"/>
      <c r="G88" s="65"/>
      <c r="H88" s="89">
        <v>2.0</v>
      </c>
    </row>
    <row r="89">
      <c r="A89" s="101">
        <v>4.0</v>
      </c>
      <c r="B89" s="208" t="s">
        <v>468</v>
      </c>
      <c r="C89" s="209" t="s">
        <v>469</v>
      </c>
      <c r="D89" s="64" t="s">
        <v>164</v>
      </c>
      <c r="E89" s="64" t="s">
        <v>175</v>
      </c>
      <c r="F89" s="65"/>
      <c r="G89" s="65"/>
      <c r="H89" s="77">
        <v>2.0</v>
      </c>
    </row>
    <row r="90">
      <c r="A90" s="97"/>
      <c r="B90" s="96"/>
      <c r="C90" s="96"/>
      <c r="D90" s="64"/>
      <c r="E90" s="64"/>
      <c r="F90" s="65"/>
      <c r="G90" s="65"/>
      <c r="H90" s="95"/>
    </row>
    <row r="91">
      <c r="A91" s="58"/>
      <c r="B91" s="76" t="s">
        <v>197</v>
      </c>
      <c r="C91" s="58"/>
      <c r="D91" s="58"/>
      <c r="E91" s="58"/>
      <c r="F91" s="65"/>
      <c r="G91" s="65"/>
      <c r="H91" s="65"/>
    </row>
    <row r="92">
      <c r="A92" s="71">
        <v>1.0</v>
      </c>
      <c r="B92" s="203" t="s">
        <v>470</v>
      </c>
      <c r="C92" s="96" t="s">
        <v>199</v>
      </c>
      <c r="D92" s="64" t="s">
        <v>62</v>
      </c>
      <c r="E92" s="64" t="s">
        <v>63</v>
      </c>
      <c r="F92" s="65"/>
      <c r="G92" s="68">
        <v>8.0</v>
      </c>
      <c r="H92" s="65"/>
    </row>
    <row r="93">
      <c r="A93" s="74"/>
      <c r="B93" s="88" t="s">
        <v>161</v>
      </c>
      <c r="C93" s="11"/>
      <c r="D93" s="64"/>
      <c r="E93" s="64"/>
      <c r="F93" s="65"/>
      <c r="G93" s="65"/>
      <c r="H93" s="68"/>
    </row>
    <row r="94">
      <c r="A94" s="74">
        <v>2.0</v>
      </c>
      <c r="B94" s="203" t="s">
        <v>471</v>
      </c>
      <c r="C94" s="96" t="s">
        <v>158</v>
      </c>
      <c r="D94" s="64" t="s">
        <v>62</v>
      </c>
      <c r="E94" s="64" t="s">
        <v>63</v>
      </c>
      <c r="F94" s="65"/>
      <c r="G94" s="65"/>
      <c r="H94" s="68">
        <v>2.0</v>
      </c>
    </row>
    <row r="95">
      <c r="A95" s="74"/>
      <c r="B95" s="88" t="s">
        <v>173</v>
      </c>
      <c r="C95" s="11"/>
      <c r="D95" s="64"/>
      <c r="E95" s="64"/>
      <c r="F95" s="65"/>
      <c r="G95" s="65"/>
      <c r="H95" s="68"/>
    </row>
    <row r="96">
      <c r="A96" s="74">
        <v>3.0</v>
      </c>
      <c r="B96" s="208" t="s">
        <v>472</v>
      </c>
      <c r="C96" s="210" t="s">
        <v>473</v>
      </c>
      <c r="D96" s="64" t="s">
        <v>164</v>
      </c>
      <c r="E96" s="64" t="s">
        <v>175</v>
      </c>
      <c r="G96" s="68">
        <v>5.0</v>
      </c>
      <c r="H96" s="68"/>
    </row>
    <row r="97">
      <c r="A97" s="74">
        <v>4.0</v>
      </c>
      <c r="B97" s="86" t="s">
        <v>474</v>
      </c>
      <c r="C97" s="210" t="s">
        <v>475</v>
      </c>
      <c r="D97" s="64" t="s">
        <v>164</v>
      </c>
      <c r="E97" s="64" t="s">
        <v>175</v>
      </c>
      <c r="F97" s="65"/>
      <c r="G97" s="65"/>
      <c r="H97" s="68">
        <v>5.0</v>
      </c>
    </row>
    <row r="98">
      <c r="A98" s="58"/>
      <c r="B98" s="58"/>
      <c r="C98" s="58"/>
      <c r="D98" s="58"/>
      <c r="E98" s="58"/>
      <c r="F98" s="65"/>
      <c r="G98" s="65"/>
      <c r="H98" s="65"/>
    </row>
    <row r="99">
      <c r="A99" s="58"/>
      <c r="B99" s="103"/>
      <c r="C99" s="107" t="s">
        <v>476</v>
      </c>
      <c r="D99" s="54"/>
      <c r="E99" s="55"/>
      <c r="F99" s="105">
        <f>SUM(F4:F97)</f>
        <v>9</v>
      </c>
      <c r="G99" s="105">
        <f>SUM(G4:G54,G57:G59,G77)</f>
        <v>79</v>
      </c>
      <c r="H99" s="105">
        <f>SUM(H4:H54,H57:H59,H77,H92:H94)</f>
        <v>27</v>
      </c>
      <c r="I99" s="70">
        <f>SUM(F99:H99)</f>
        <v>115</v>
      </c>
    </row>
    <row r="100">
      <c r="A100" s="58"/>
      <c r="B100" s="103"/>
      <c r="C100" s="107" t="s">
        <v>203</v>
      </c>
      <c r="D100" s="54"/>
      <c r="E100" s="55"/>
      <c r="F100" s="108">
        <f t="shared" ref="F100:H100" si="1">(F99/(SUM($F$99:$H$99)))*100%</f>
        <v>0.07826086957</v>
      </c>
      <c r="G100" s="108">
        <f t="shared" si="1"/>
        <v>0.6869565217</v>
      </c>
      <c r="H100" s="108">
        <f t="shared" si="1"/>
        <v>0.2347826087</v>
      </c>
    </row>
    <row r="101">
      <c r="A101" s="58"/>
      <c r="B101" s="103"/>
      <c r="C101" s="107" t="s">
        <v>205</v>
      </c>
      <c r="D101" s="54"/>
      <c r="E101" s="55"/>
      <c r="F101" s="58"/>
      <c r="G101" s="110" t="s">
        <v>477</v>
      </c>
      <c r="H101" s="111" t="s">
        <v>478</v>
      </c>
    </row>
    <row r="102">
      <c r="G102" s="17"/>
    </row>
    <row r="107">
      <c r="B107" s="12" t="s">
        <v>479</v>
      </c>
    </row>
    <row r="108">
      <c r="B108" s="12" t="s">
        <v>480</v>
      </c>
    </row>
    <row r="110">
      <c r="B110" s="12" t="s">
        <v>481</v>
      </c>
    </row>
    <row r="111">
      <c r="B111" s="12" t="s">
        <v>482</v>
      </c>
    </row>
    <row r="112">
      <c r="B112" s="12" t="s">
        <v>483</v>
      </c>
    </row>
  </sheetData>
  <mergeCells count="17">
    <mergeCell ref="A1:A2"/>
    <mergeCell ref="B1:B2"/>
    <mergeCell ref="C1:C2"/>
    <mergeCell ref="D1:D2"/>
    <mergeCell ref="E1:E2"/>
    <mergeCell ref="F1:H1"/>
    <mergeCell ref="B60:C60"/>
    <mergeCell ref="C99:E99"/>
    <mergeCell ref="C100:E100"/>
    <mergeCell ref="C101:E101"/>
    <mergeCell ref="B65:C65"/>
    <mergeCell ref="B70:C70"/>
    <mergeCell ref="B78:C78"/>
    <mergeCell ref="B82:C82"/>
    <mergeCell ref="B86:C86"/>
    <mergeCell ref="B93:C93"/>
    <mergeCell ref="B95:C9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0"/>
    <col customWidth="1" min="3" max="3" width="32.75"/>
  </cols>
  <sheetData>
    <row r="1">
      <c r="A1" s="215" t="s">
        <v>484</v>
      </c>
      <c r="K1" s="216"/>
      <c r="L1" s="216"/>
      <c r="M1" s="216"/>
      <c r="N1" s="216"/>
    </row>
    <row r="2">
      <c r="A2" s="215" t="s">
        <v>485</v>
      </c>
      <c r="K2" s="216"/>
      <c r="L2" s="216"/>
      <c r="M2" s="216"/>
      <c r="N2" s="216"/>
    </row>
    <row r="3">
      <c r="A3" s="215" t="s">
        <v>486</v>
      </c>
      <c r="K3" s="216"/>
      <c r="L3" s="216"/>
      <c r="M3" s="216"/>
      <c r="N3" s="216"/>
    </row>
    <row r="4">
      <c r="A4" s="216"/>
      <c r="B4" s="216"/>
      <c r="C4" s="216"/>
      <c r="D4" s="216"/>
      <c r="E4" s="216"/>
      <c r="F4" s="216"/>
      <c r="G4" s="216"/>
      <c r="H4" s="216"/>
      <c r="I4" s="216"/>
      <c r="J4" s="216"/>
      <c r="K4" s="216"/>
      <c r="L4" s="216"/>
      <c r="M4" s="216"/>
      <c r="N4" s="216"/>
    </row>
    <row r="5">
      <c r="A5" s="217"/>
      <c r="B5" s="217"/>
      <c r="C5" s="217"/>
      <c r="D5" s="217"/>
      <c r="E5" s="217"/>
      <c r="F5" s="217"/>
      <c r="G5" s="217"/>
      <c r="H5" s="217"/>
      <c r="I5" s="217"/>
      <c r="J5" s="217"/>
      <c r="K5" s="216"/>
      <c r="L5" s="216"/>
      <c r="M5" s="216"/>
      <c r="N5" s="216"/>
    </row>
    <row r="6">
      <c r="A6" s="218" t="s">
        <v>487</v>
      </c>
      <c r="B6" s="11"/>
      <c r="C6" s="219">
        <v>1.0</v>
      </c>
      <c r="D6" s="203"/>
      <c r="E6" s="203"/>
      <c r="F6" s="203"/>
      <c r="G6" s="203"/>
      <c r="H6" s="203"/>
      <c r="I6" s="203"/>
      <c r="J6" s="203"/>
      <c r="K6" s="216"/>
      <c r="L6" s="216"/>
      <c r="M6" s="216"/>
      <c r="N6" s="216"/>
    </row>
    <row r="7">
      <c r="A7" s="220" t="s">
        <v>0</v>
      </c>
      <c r="B7" s="221" t="s">
        <v>488</v>
      </c>
      <c r="C7" s="221" t="s">
        <v>489</v>
      </c>
      <c r="D7" s="221" t="s">
        <v>490</v>
      </c>
      <c r="E7" s="222" t="s">
        <v>491</v>
      </c>
      <c r="F7" s="11"/>
      <c r="G7" s="221" t="s">
        <v>492</v>
      </c>
      <c r="H7" s="223" t="s">
        <v>493</v>
      </c>
      <c r="I7" s="11"/>
      <c r="J7" s="221" t="s">
        <v>494</v>
      </c>
      <c r="K7" s="216"/>
      <c r="L7" s="216"/>
      <c r="M7" s="216"/>
      <c r="N7" s="216"/>
    </row>
    <row r="8">
      <c r="A8" s="224"/>
      <c r="B8" s="225"/>
      <c r="C8" s="225"/>
      <c r="D8" s="225"/>
      <c r="E8" s="226" t="s">
        <v>495</v>
      </c>
      <c r="F8" s="226" t="s">
        <v>496</v>
      </c>
      <c r="G8" s="225"/>
      <c r="H8" s="226" t="s">
        <v>495</v>
      </c>
      <c r="I8" s="226" t="s">
        <v>496</v>
      </c>
      <c r="J8" s="225"/>
      <c r="K8" s="216"/>
      <c r="L8" s="216"/>
      <c r="M8" s="216"/>
      <c r="N8" s="216"/>
    </row>
    <row r="9">
      <c r="A9" s="74">
        <v>1.0</v>
      </c>
      <c r="B9" s="95" t="s">
        <v>381</v>
      </c>
      <c r="C9" s="96" t="s">
        <v>61</v>
      </c>
      <c r="D9" s="95" t="s">
        <v>497</v>
      </c>
      <c r="E9" s="80">
        <v>2.0</v>
      </c>
      <c r="F9" s="203"/>
      <c r="G9" s="80">
        <v>2.0</v>
      </c>
      <c r="H9" s="95">
        <v>2.0</v>
      </c>
      <c r="I9" s="203"/>
      <c r="J9" s="80">
        <v>2.0</v>
      </c>
      <c r="K9" s="217"/>
      <c r="L9" s="216"/>
      <c r="M9" s="216"/>
      <c r="N9" s="227">
        <v>1.0</v>
      </c>
    </row>
    <row r="10">
      <c r="A10" s="74">
        <v>2.0</v>
      </c>
      <c r="B10" s="95" t="s">
        <v>382</v>
      </c>
      <c r="C10" s="96" t="s">
        <v>65</v>
      </c>
      <c r="D10" s="95" t="s">
        <v>498</v>
      </c>
      <c r="E10" s="95">
        <v>2.0</v>
      </c>
      <c r="F10" s="96"/>
      <c r="G10" s="80">
        <v>2.0</v>
      </c>
      <c r="H10" s="95">
        <v>4.0</v>
      </c>
      <c r="I10" s="203"/>
      <c r="J10" s="80">
        <v>4.0</v>
      </c>
      <c r="K10" s="228" t="s">
        <v>499</v>
      </c>
      <c r="L10" s="229" t="s">
        <v>500</v>
      </c>
      <c r="M10" s="216"/>
      <c r="N10" s="227">
        <v>1.0</v>
      </c>
    </row>
    <row r="11">
      <c r="A11" s="74">
        <v>3.0</v>
      </c>
      <c r="B11" s="95" t="s">
        <v>383</v>
      </c>
      <c r="C11" s="96" t="s">
        <v>67</v>
      </c>
      <c r="D11" s="95" t="s">
        <v>498</v>
      </c>
      <c r="E11" s="95">
        <v>2.0</v>
      </c>
      <c r="F11" s="96"/>
      <c r="G11" s="80">
        <v>2.0</v>
      </c>
      <c r="H11" s="95">
        <v>4.0</v>
      </c>
      <c r="I11" s="203"/>
      <c r="J11" s="80">
        <v>4.0</v>
      </c>
      <c r="K11" s="216"/>
      <c r="L11" s="216"/>
      <c r="M11" s="216"/>
      <c r="N11" s="227">
        <v>1.0</v>
      </c>
    </row>
    <row r="12">
      <c r="A12" s="74">
        <v>4.0</v>
      </c>
      <c r="B12" s="95" t="s">
        <v>384</v>
      </c>
      <c r="C12" s="96" t="s">
        <v>385</v>
      </c>
      <c r="D12" s="95" t="s">
        <v>498</v>
      </c>
      <c r="E12" s="95">
        <v>3.0</v>
      </c>
      <c r="F12" s="96"/>
      <c r="G12" s="80">
        <v>3.0</v>
      </c>
      <c r="H12" s="95">
        <v>6.0</v>
      </c>
      <c r="I12" s="203"/>
      <c r="J12" s="80">
        <v>6.0</v>
      </c>
      <c r="K12" s="216"/>
      <c r="L12" s="216"/>
      <c r="M12" s="216"/>
      <c r="N12" s="227">
        <v>1.0</v>
      </c>
    </row>
    <row r="13">
      <c r="A13" s="74">
        <v>5.0</v>
      </c>
      <c r="B13" s="95" t="s">
        <v>386</v>
      </c>
      <c r="C13" s="96" t="s">
        <v>71</v>
      </c>
      <c r="D13" s="95" t="s">
        <v>501</v>
      </c>
      <c r="E13" s="80">
        <v>2.0</v>
      </c>
      <c r="F13" s="203"/>
      <c r="G13" s="80">
        <v>2.0</v>
      </c>
      <c r="H13" s="95">
        <v>4.0</v>
      </c>
      <c r="I13" s="203"/>
      <c r="J13" s="80">
        <v>4.0</v>
      </c>
      <c r="K13" s="216"/>
      <c r="L13" s="216"/>
      <c r="M13" s="216"/>
      <c r="N13" s="227">
        <v>1.0</v>
      </c>
    </row>
    <row r="14">
      <c r="A14" s="74">
        <v>6.0</v>
      </c>
      <c r="B14" s="95" t="s">
        <v>387</v>
      </c>
      <c r="C14" s="96" t="s">
        <v>73</v>
      </c>
      <c r="D14" s="95" t="s">
        <v>498</v>
      </c>
      <c r="E14" s="80">
        <v>2.0</v>
      </c>
      <c r="F14" s="203"/>
      <c r="G14" s="80">
        <v>2.0</v>
      </c>
      <c r="H14" s="95">
        <v>4.0</v>
      </c>
      <c r="I14" s="203"/>
      <c r="J14" s="80">
        <v>4.0</v>
      </c>
      <c r="K14" s="216"/>
      <c r="L14" s="216"/>
      <c r="M14" s="216"/>
      <c r="N14" s="227">
        <v>1.0</v>
      </c>
    </row>
    <row r="15">
      <c r="A15" s="71">
        <v>7.0</v>
      </c>
      <c r="B15" s="80" t="s">
        <v>388</v>
      </c>
      <c r="C15" s="203" t="s">
        <v>75</v>
      </c>
      <c r="D15" s="80" t="s">
        <v>498</v>
      </c>
      <c r="E15" s="203"/>
      <c r="F15" s="80">
        <v>3.0</v>
      </c>
      <c r="G15" s="80">
        <v>3.0</v>
      </c>
      <c r="H15" s="203"/>
      <c r="I15" s="95">
        <v>6.0</v>
      </c>
      <c r="J15" s="80">
        <v>6.0</v>
      </c>
      <c r="K15" s="216"/>
      <c r="L15" s="216"/>
      <c r="M15" s="227">
        <v>1.0</v>
      </c>
      <c r="N15" s="227">
        <v>1.0</v>
      </c>
    </row>
    <row r="16">
      <c r="A16" s="71">
        <v>8.0</v>
      </c>
      <c r="B16" s="80" t="s">
        <v>389</v>
      </c>
      <c r="C16" s="203" t="s">
        <v>390</v>
      </c>
      <c r="D16" s="80" t="s">
        <v>501</v>
      </c>
      <c r="E16" s="80">
        <v>2.0</v>
      </c>
      <c r="F16" s="203"/>
      <c r="G16" s="80">
        <v>2.0</v>
      </c>
      <c r="H16" s="95">
        <v>4.0</v>
      </c>
      <c r="I16" s="203"/>
      <c r="J16" s="80">
        <v>4.0</v>
      </c>
      <c r="K16" s="216"/>
      <c r="L16" s="216"/>
      <c r="M16" s="216"/>
      <c r="N16" s="227">
        <v>1.0</v>
      </c>
    </row>
    <row r="17">
      <c r="A17" s="230" t="s">
        <v>502</v>
      </c>
      <c r="B17" s="231"/>
      <c r="C17" s="11"/>
      <c r="D17" s="232"/>
      <c r="E17" s="226">
        <f t="shared" ref="E17:J17" si="1">sum(E9:E16)</f>
        <v>15</v>
      </c>
      <c r="F17" s="226">
        <f t="shared" si="1"/>
        <v>3</v>
      </c>
      <c r="G17" s="226">
        <f t="shared" si="1"/>
        <v>18</v>
      </c>
      <c r="H17" s="226">
        <f t="shared" si="1"/>
        <v>28</v>
      </c>
      <c r="I17" s="226">
        <f t="shared" si="1"/>
        <v>6</v>
      </c>
      <c r="J17" s="226">
        <f t="shared" si="1"/>
        <v>34</v>
      </c>
      <c r="K17" s="216"/>
      <c r="L17" s="216"/>
      <c r="M17" s="216"/>
      <c r="N17" s="216"/>
    </row>
    <row r="18">
      <c r="A18" s="216"/>
      <c r="B18" s="216"/>
      <c r="C18" s="216"/>
      <c r="D18" s="216"/>
      <c r="E18" s="216"/>
      <c r="F18" s="216"/>
      <c r="G18" s="216"/>
      <c r="H18" s="216"/>
      <c r="I18" s="216"/>
      <c r="J18" s="216"/>
      <c r="K18" s="216"/>
      <c r="L18" s="216"/>
      <c r="M18" s="216"/>
      <c r="N18" s="216"/>
    </row>
    <row r="19">
      <c r="A19" s="217"/>
      <c r="B19" s="217"/>
      <c r="C19" s="217"/>
      <c r="D19" s="217"/>
      <c r="E19" s="217"/>
      <c r="F19" s="217"/>
      <c r="G19" s="217"/>
      <c r="H19" s="217"/>
      <c r="I19" s="217"/>
      <c r="J19" s="217"/>
      <c r="K19" s="216"/>
      <c r="L19" s="216"/>
      <c r="M19" s="216"/>
      <c r="N19" s="216"/>
    </row>
    <row r="20">
      <c r="A20" s="218" t="s">
        <v>487</v>
      </c>
      <c r="B20" s="11"/>
      <c r="C20" s="219">
        <v>2.0</v>
      </c>
      <c r="D20" s="203"/>
      <c r="E20" s="203"/>
      <c r="F20" s="203"/>
      <c r="G20" s="203"/>
      <c r="H20" s="203"/>
      <c r="I20" s="203"/>
      <c r="J20" s="203"/>
      <c r="K20" s="216"/>
      <c r="L20" s="216"/>
      <c r="M20" s="216"/>
      <c r="N20" s="216"/>
    </row>
    <row r="21">
      <c r="A21" s="233" t="s">
        <v>0</v>
      </c>
      <c r="B21" s="234" t="s">
        <v>488</v>
      </c>
      <c r="C21" s="234" t="s">
        <v>489</v>
      </c>
      <c r="D21" s="221" t="s">
        <v>490</v>
      </c>
      <c r="E21" s="223" t="s">
        <v>491</v>
      </c>
      <c r="F21" s="11"/>
      <c r="G21" s="234" t="s">
        <v>492</v>
      </c>
      <c r="H21" s="223" t="s">
        <v>493</v>
      </c>
      <c r="I21" s="11"/>
      <c r="J21" s="234" t="s">
        <v>494</v>
      </c>
      <c r="K21" s="216"/>
      <c r="L21" s="216"/>
      <c r="M21" s="216"/>
      <c r="N21" s="216"/>
    </row>
    <row r="22">
      <c r="A22" s="224"/>
      <c r="B22" s="225"/>
      <c r="C22" s="225"/>
      <c r="D22" s="225"/>
      <c r="E22" s="235" t="s">
        <v>495</v>
      </c>
      <c r="F22" s="236" t="s">
        <v>496</v>
      </c>
      <c r="G22" s="225"/>
      <c r="H22" s="226" t="s">
        <v>495</v>
      </c>
      <c r="I22" s="226" t="s">
        <v>496</v>
      </c>
      <c r="J22" s="225"/>
      <c r="K22" s="216"/>
      <c r="L22" s="216"/>
      <c r="M22" s="216"/>
      <c r="N22" s="216"/>
    </row>
    <row r="23">
      <c r="A23" s="71">
        <v>1.0</v>
      </c>
      <c r="B23" s="80" t="s">
        <v>391</v>
      </c>
      <c r="C23" s="203" t="s">
        <v>82</v>
      </c>
      <c r="D23" s="95" t="s">
        <v>497</v>
      </c>
      <c r="E23" s="95">
        <v>2.0</v>
      </c>
      <c r="F23" s="96"/>
      <c r="G23" s="95">
        <v>2.0</v>
      </c>
      <c r="H23" s="95">
        <v>2.0</v>
      </c>
      <c r="I23" s="96"/>
      <c r="J23" s="95">
        <v>2.0</v>
      </c>
      <c r="K23" s="216"/>
      <c r="L23" s="216"/>
      <c r="M23" s="216"/>
      <c r="N23" s="227">
        <v>1.0</v>
      </c>
    </row>
    <row r="24">
      <c r="A24" s="74">
        <v>2.0</v>
      </c>
      <c r="B24" s="95" t="s">
        <v>392</v>
      </c>
      <c r="C24" s="96" t="s">
        <v>393</v>
      </c>
      <c r="D24" s="95" t="s">
        <v>498</v>
      </c>
      <c r="E24" s="95">
        <v>2.0</v>
      </c>
      <c r="F24" s="96"/>
      <c r="G24" s="95">
        <v>2.0</v>
      </c>
      <c r="H24" s="95">
        <v>4.0</v>
      </c>
      <c r="I24" s="96"/>
      <c r="J24" s="95">
        <v>4.0</v>
      </c>
      <c r="K24" s="216"/>
      <c r="L24" s="216"/>
      <c r="M24" s="216"/>
      <c r="N24" s="227">
        <v>1.0</v>
      </c>
    </row>
    <row r="25">
      <c r="A25" s="71">
        <v>3.0</v>
      </c>
      <c r="B25" s="80" t="s">
        <v>394</v>
      </c>
      <c r="C25" s="203" t="s">
        <v>117</v>
      </c>
      <c r="D25" s="80" t="s">
        <v>501</v>
      </c>
      <c r="E25" s="80">
        <v>2.0</v>
      </c>
      <c r="F25" s="203"/>
      <c r="G25" s="95">
        <v>2.0</v>
      </c>
      <c r="H25" s="80">
        <v>4.0</v>
      </c>
      <c r="I25" s="203"/>
      <c r="J25" s="95">
        <v>4.0</v>
      </c>
      <c r="K25" s="216"/>
      <c r="L25" s="216"/>
      <c r="M25" s="216"/>
      <c r="N25" s="227">
        <v>1.0</v>
      </c>
    </row>
    <row r="26">
      <c r="A26" s="71">
        <v>4.0</v>
      </c>
      <c r="B26" s="80" t="s">
        <v>395</v>
      </c>
      <c r="C26" s="203" t="s">
        <v>88</v>
      </c>
      <c r="D26" s="80" t="s">
        <v>498</v>
      </c>
      <c r="E26" s="80">
        <v>2.0</v>
      </c>
      <c r="F26" s="203"/>
      <c r="G26" s="95">
        <v>2.0</v>
      </c>
      <c r="H26" s="80">
        <v>4.0</v>
      </c>
      <c r="I26" s="203"/>
      <c r="J26" s="95">
        <v>4.0</v>
      </c>
      <c r="K26" s="216"/>
      <c r="L26" s="216"/>
      <c r="M26" s="216"/>
      <c r="N26" s="227">
        <v>1.0</v>
      </c>
    </row>
    <row r="27">
      <c r="A27" s="71">
        <v>5.0</v>
      </c>
      <c r="B27" s="80" t="s">
        <v>396</v>
      </c>
      <c r="C27" s="203" t="s">
        <v>90</v>
      </c>
      <c r="D27" s="80" t="s">
        <v>498</v>
      </c>
      <c r="E27" s="80">
        <v>2.0</v>
      </c>
      <c r="F27" s="203"/>
      <c r="G27" s="95">
        <v>2.0</v>
      </c>
      <c r="H27" s="80">
        <v>4.0</v>
      </c>
      <c r="I27" s="203"/>
      <c r="J27" s="95">
        <v>4.0</v>
      </c>
      <c r="K27" s="216"/>
      <c r="L27" s="216"/>
      <c r="M27" s="216"/>
      <c r="N27" s="227">
        <v>1.0</v>
      </c>
    </row>
    <row r="28">
      <c r="A28" s="74">
        <v>6.0</v>
      </c>
      <c r="B28" s="80" t="s">
        <v>397</v>
      </c>
      <c r="C28" s="203" t="s">
        <v>92</v>
      </c>
      <c r="D28" s="80" t="s">
        <v>498</v>
      </c>
      <c r="E28" s="80">
        <v>2.0</v>
      </c>
      <c r="F28" s="203"/>
      <c r="G28" s="95">
        <v>2.0</v>
      </c>
      <c r="H28" s="80">
        <v>4.0</v>
      </c>
      <c r="I28" s="203"/>
      <c r="J28" s="95">
        <v>4.0</v>
      </c>
      <c r="K28" s="216"/>
      <c r="L28" s="216"/>
      <c r="M28" s="216"/>
      <c r="N28" s="227">
        <v>1.0</v>
      </c>
    </row>
    <row r="29">
      <c r="A29" s="71">
        <v>7.0</v>
      </c>
      <c r="B29" s="80" t="s">
        <v>398</v>
      </c>
      <c r="C29" s="203" t="s">
        <v>94</v>
      </c>
      <c r="D29" s="80" t="s">
        <v>498</v>
      </c>
      <c r="E29" s="203"/>
      <c r="F29" s="80">
        <v>2.0</v>
      </c>
      <c r="G29" s="95">
        <v>2.0</v>
      </c>
      <c r="H29" s="203"/>
      <c r="I29" s="80">
        <v>4.0</v>
      </c>
      <c r="J29" s="95">
        <v>4.0</v>
      </c>
      <c r="K29" s="216"/>
      <c r="L29" s="216"/>
      <c r="M29" s="227">
        <v>1.0</v>
      </c>
      <c r="N29" s="227">
        <v>1.0</v>
      </c>
    </row>
    <row r="30">
      <c r="A30" s="71">
        <v>8.0</v>
      </c>
      <c r="B30" s="80" t="s">
        <v>399</v>
      </c>
      <c r="C30" s="203" t="s">
        <v>234</v>
      </c>
      <c r="D30" s="80" t="s">
        <v>498</v>
      </c>
      <c r="E30" s="80">
        <v>2.0</v>
      </c>
      <c r="F30" s="203"/>
      <c r="G30" s="95">
        <v>2.0</v>
      </c>
      <c r="H30" s="80">
        <v>4.0</v>
      </c>
      <c r="I30" s="203"/>
      <c r="J30" s="95">
        <v>4.0</v>
      </c>
      <c r="K30" s="216"/>
      <c r="L30" s="216"/>
      <c r="M30" s="216"/>
      <c r="N30" s="227">
        <v>1.0</v>
      </c>
    </row>
    <row r="31">
      <c r="A31" s="71">
        <v>9.0</v>
      </c>
      <c r="B31" s="80" t="s">
        <v>400</v>
      </c>
      <c r="C31" s="203" t="s">
        <v>249</v>
      </c>
      <c r="D31" s="80" t="s">
        <v>498</v>
      </c>
      <c r="E31" s="203"/>
      <c r="F31" s="80">
        <v>2.0</v>
      </c>
      <c r="G31" s="95">
        <v>2.0</v>
      </c>
      <c r="H31" s="203"/>
      <c r="I31" s="80">
        <v>4.0</v>
      </c>
      <c r="J31" s="95">
        <v>4.0</v>
      </c>
      <c r="K31" s="216"/>
      <c r="L31" s="216"/>
      <c r="M31" s="227">
        <v>1.0</v>
      </c>
      <c r="N31" s="227">
        <v>1.0</v>
      </c>
    </row>
    <row r="32">
      <c r="A32" s="74">
        <v>10.0</v>
      </c>
      <c r="B32" s="80" t="s">
        <v>401</v>
      </c>
      <c r="C32" s="96" t="s">
        <v>402</v>
      </c>
      <c r="D32" s="95" t="s">
        <v>498</v>
      </c>
      <c r="E32" s="95">
        <v>2.0</v>
      </c>
      <c r="F32" s="96"/>
      <c r="G32" s="95">
        <v>2.0</v>
      </c>
      <c r="H32" s="95">
        <v>4.0</v>
      </c>
      <c r="I32" s="96"/>
      <c r="J32" s="95">
        <v>4.0</v>
      </c>
      <c r="K32" s="237"/>
      <c r="L32" s="237"/>
      <c r="M32" s="237"/>
      <c r="N32" s="237"/>
    </row>
    <row r="33">
      <c r="A33" s="238" t="s">
        <v>502</v>
      </c>
      <c r="B33" s="231"/>
      <c r="C33" s="11"/>
      <c r="D33" s="239"/>
      <c r="E33" s="235">
        <f t="shared" ref="E33:J33" si="2">sum(E23:E32)</f>
        <v>16</v>
      </c>
      <c r="F33" s="235">
        <f t="shared" si="2"/>
        <v>4</v>
      </c>
      <c r="G33" s="235">
        <f t="shared" si="2"/>
        <v>20</v>
      </c>
      <c r="H33" s="235">
        <f t="shared" si="2"/>
        <v>30</v>
      </c>
      <c r="I33" s="235">
        <f t="shared" si="2"/>
        <v>8</v>
      </c>
      <c r="J33" s="235">
        <f t="shared" si="2"/>
        <v>38</v>
      </c>
      <c r="K33" s="216"/>
      <c r="L33" s="216"/>
      <c r="M33" s="216"/>
      <c r="N33" s="216"/>
    </row>
    <row r="34">
      <c r="A34" s="216"/>
      <c r="B34" s="216"/>
      <c r="C34" s="216"/>
      <c r="D34" s="216"/>
      <c r="E34" s="216"/>
      <c r="F34" s="216"/>
      <c r="G34" s="216"/>
      <c r="H34" s="216"/>
      <c r="I34" s="216"/>
      <c r="J34" s="216"/>
      <c r="K34" s="216"/>
      <c r="L34" s="216"/>
      <c r="M34" s="216"/>
      <c r="N34" s="216"/>
    </row>
    <row r="35">
      <c r="A35" s="217"/>
      <c r="B35" s="217"/>
      <c r="C35" s="217"/>
      <c r="D35" s="217"/>
      <c r="E35" s="217"/>
      <c r="F35" s="217"/>
      <c r="G35" s="217"/>
      <c r="H35" s="217"/>
      <c r="I35" s="217"/>
      <c r="J35" s="217"/>
      <c r="K35" s="216"/>
      <c r="L35" s="216"/>
      <c r="M35" s="216"/>
      <c r="N35" s="216"/>
    </row>
    <row r="36">
      <c r="A36" s="218" t="s">
        <v>487</v>
      </c>
      <c r="B36" s="11"/>
      <c r="C36" s="219">
        <v>3.0</v>
      </c>
      <c r="D36" s="203"/>
      <c r="E36" s="203"/>
      <c r="F36" s="203"/>
      <c r="G36" s="203"/>
      <c r="H36" s="203"/>
      <c r="I36" s="203"/>
      <c r="J36" s="203"/>
      <c r="K36" s="216"/>
      <c r="L36" s="216"/>
      <c r="M36" s="216"/>
      <c r="N36" s="216"/>
    </row>
    <row r="37">
      <c r="A37" s="240" t="s">
        <v>0</v>
      </c>
      <c r="B37" s="241" t="s">
        <v>488</v>
      </c>
      <c r="C37" s="242" t="s">
        <v>489</v>
      </c>
      <c r="D37" s="221" t="s">
        <v>490</v>
      </c>
      <c r="E37" s="243" t="s">
        <v>491</v>
      </c>
      <c r="F37" s="11"/>
      <c r="G37" s="241" t="s">
        <v>492</v>
      </c>
      <c r="H37" s="243" t="s">
        <v>493</v>
      </c>
      <c r="I37" s="11"/>
      <c r="J37" s="241" t="s">
        <v>494</v>
      </c>
      <c r="K37" s="216"/>
      <c r="L37" s="216"/>
      <c r="M37" s="216"/>
      <c r="N37" s="216"/>
    </row>
    <row r="38">
      <c r="A38" s="224"/>
      <c r="B38" s="225"/>
      <c r="C38" s="225"/>
      <c r="D38" s="225"/>
      <c r="E38" s="244" t="s">
        <v>495</v>
      </c>
      <c r="F38" s="244" t="s">
        <v>496</v>
      </c>
      <c r="G38" s="225"/>
      <c r="H38" s="244" t="s">
        <v>495</v>
      </c>
      <c r="I38" s="244" t="s">
        <v>496</v>
      </c>
      <c r="J38" s="225"/>
      <c r="K38" s="216"/>
      <c r="L38" s="216"/>
      <c r="M38" s="216"/>
      <c r="N38" s="216"/>
    </row>
    <row r="39">
      <c r="A39" s="71">
        <v>1.0</v>
      </c>
      <c r="B39" s="80" t="s">
        <v>403</v>
      </c>
      <c r="C39" s="203" t="s">
        <v>86</v>
      </c>
      <c r="D39" s="80" t="s">
        <v>498</v>
      </c>
      <c r="E39" s="80">
        <v>2.0</v>
      </c>
      <c r="F39" s="203"/>
      <c r="G39" s="80">
        <v>2.0</v>
      </c>
      <c r="H39" s="80">
        <v>4.0</v>
      </c>
      <c r="I39" s="203"/>
      <c r="J39" s="80">
        <v>4.0</v>
      </c>
      <c r="K39" s="216"/>
      <c r="L39" s="216"/>
      <c r="M39" s="216"/>
      <c r="N39" s="227">
        <v>1.0</v>
      </c>
    </row>
    <row r="40">
      <c r="A40" s="74">
        <v>2.0</v>
      </c>
      <c r="B40" s="95" t="s">
        <v>404</v>
      </c>
      <c r="C40" s="96" t="s">
        <v>405</v>
      </c>
      <c r="D40" s="95" t="s">
        <v>501</v>
      </c>
      <c r="E40" s="95">
        <v>2.0</v>
      </c>
      <c r="F40" s="96"/>
      <c r="G40" s="95">
        <v>2.0</v>
      </c>
      <c r="H40" s="95">
        <v>4.0</v>
      </c>
      <c r="I40" s="96"/>
      <c r="J40" s="95">
        <v>4.0</v>
      </c>
      <c r="K40" s="216"/>
      <c r="L40" s="216"/>
      <c r="M40" s="216"/>
      <c r="N40" s="227">
        <v>1.0</v>
      </c>
    </row>
    <row r="41">
      <c r="A41" s="74">
        <v>3.0</v>
      </c>
      <c r="B41" s="95" t="s">
        <v>406</v>
      </c>
      <c r="C41" s="96" t="s">
        <v>407</v>
      </c>
      <c r="D41" s="95" t="s">
        <v>498</v>
      </c>
      <c r="E41" s="80">
        <v>2.0</v>
      </c>
      <c r="F41" s="203"/>
      <c r="G41" s="80">
        <v>2.0</v>
      </c>
      <c r="H41" s="80">
        <v>4.0</v>
      </c>
      <c r="I41" s="203"/>
      <c r="J41" s="80">
        <v>4.0</v>
      </c>
      <c r="K41" s="216"/>
      <c r="L41" s="216"/>
      <c r="M41" s="216"/>
      <c r="N41" s="227">
        <v>1.0</v>
      </c>
    </row>
    <row r="42">
      <c r="A42" s="74">
        <v>4.0</v>
      </c>
      <c r="B42" s="95" t="s">
        <v>408</v>
      </c>
      <c r="C42" s="96" t="s">
        <v>232</v>
      </c>
      <c r="D42" s="95" t="s">
        <v>498</v>
      </c>
      <c r="E42" s="203"/>
      <c r="F42" s="80">
        <v>3.0</v>
      </c>
      <c r="G42" s="80">
        <v>3.0</v>
      </c>
      <c r="H42" s="203"/>
      <c r="I42" s="80">
        <v>6.0</v>
      </c>
      <c r="J42" s="80">
        <v>6.0</v>
      </c>
      <c r="K42" s="216"/>
      <c r="L42" s="216"/>
      <c r="M42" s="227">
        <v>1.0</v>
      </c>
      <c r="N42" s="227">
        <v>1.0</v>
      </c>
    </row>
    <row r="43">
      <c r="A43" s="74">
        <v>5.0</v>
      </c>
      <c r="B43" s="95" t="s">
        <v>409</v>
      </c>
      <c r="C43" s="96" t="s">
        <v>109</v>
      </c>
      <c r="D43" s="95" t="s">
        <v>498</v>
      </c>
      <c r="E43" s="203"/>
      <c r="F43" s="80">
        <v>3.0</v>
      </c>
      <c r="G43" s="80">
        <v>3.0</v>
      </c>
      <c r="H43" s="203"/>
      <c r="I43" s="80">
        <v>6.0</v>
      </c>
      <c r="J43" s="80">
        <v>6.0</v>
      </c>
      <c r="K43" s="216"/>
      <c r="L43" s="216"/>
      <c r="M43" s="227">
        <v>1.0</v>
      </c>
      <c r="N43" s="227">
        <v>1.0</v>
      </c>
    </row>
    <row r="44">
      <c r="A44" s="74">
        <v>6.0</v>
      </c>
      <c r="B44" s="95" t="s">
        <v>410</v>
      </c>
      <c r="C44" s="96" t="s">
        <v>411</v>
      </c>
      <c r="D44" s="95" t="s">
        <v>498</v>
      </c>
      <c r="E44" s="95">
        <v>2.0</v>
      </c>
      <c r="F44" s="96"/>
      <c r="G44" s="80">
        <v>2.0</v>
      </c>
      <c r="H44" s="80">
        <v>4.0</v>
      </c>
      <c r="I44" s="96"/>
      <c r="J44" s="80">
        <v>4.0</v>
      </c>
      <c r="K44" s="216"/>
      <c r="L44" s="216"/>
      <c r="M44" s="216"/>
      <c r="N44" s="227">
        <v>1.0</v>
      </c>
    </row>
    <row r="45">
      <c r="A45" s="74">
        <v>7.0</v>
      </c>
      <c r="B45" s="95" t="s">
        <v>412</v>
      </c>
      <c r="C45" s="96" t="s">
        <v>113</v>
      </c>
      <c r="D45" s="95" t="s">
        <v>498</v>
      </c>
      <c r="E45" s="80">
        <v>2.0</v>
      </c>
      <c r="F45" s="203"/>
      <c r="G45" s="80">
        <v>2.0</v>
      </c>
      <c r="H45" s="80">
        <v>4.0</v>
      </c>
      <c r="I45" s="203"/>
      <c r="J45" s="80">
        <v>4.0</v>
      </c>
      <c r="K45" s="216"/>
      <c r="L45" s="216"/>
      <c r="M45" s="216"/>
      <c r="N45" s="227">
        <v>1.0</v>
      </c>
    </row>
    <row r="46">
      <c r="A46" s="74">
        <v>8.0</v>
      </c>
      <c r="B46" s="95" t="s">
        <v>413</v>
      </c>
      <c r="C46" s="96" t="s">
        <v>115</v>
      </c>
      <c r="D46" s="95" t="s">
        <v>498</v>
      </c>
      <c r="E46" s="203"/>
      <c r="F46" s="80">
        <v>3.0</v>
      </c>
      <c r="G46" s="80">
        <v>3.0</v>
      </c>
      <c r="H46" s="203"/>
      <c r="I46" s="80">
        <v>6.0</v>
      </c>
      <c r="J46" s="80">
        <v>6.0</v>
      </c>
      <c r="K46" s="216"/>
      <c r="L46" s="216"/>
      <c r="M46" s="227">
        <v>1.0</v>
      </c>
      <c r="N46" s="227">
        <v>1.0</v>
      </c>
    </row>
    <row r="47">
      <c r="A47" s="245" t="s">
        <v>502</v>
      </c>
      <c r="B47" s="231"/>
      <c r="C47" s="11"/>
      <c r="D47" s="246"/>
      <c r="E47" s="247">
        <f t="shared" ref="E47:J47" si="3">sum(E39:E46)</f>
        <v>10</v>
      </c>
      <c r="F47" s="247">
        <f t="shared" si="3"/>
        <v>9</v>
      </c>
      <c r="G47" s="247">
        <f t="shared" si="3"/>
        <v>19</v>
      </c>
      <c r="H47" s="247">
        <f t="shared" si="3"/>
        <v>20</v>
      </c>
      <c r="I47" s="247">
        <f t="shared" si="3"/>
        <v>18</v>
      </c>
      <c r="J47" s="247">
        <f t="shared" si="3"/>
        <v>38</v>
      </c>
      <c r="K47" s="216"/>
      <c r="L47" s="216"/>
      <c r="M47" s="216"/>
      <c r="N47" s="216"/>
    </row>
    <row r="48">
      <c r="A48" s="216"/>
      <c r="B48" s="216"/>
      <c r="C48" s="216"/>
      <c r="D48" s="216"/>
      <c r="E48" s="216"/>
      <c r="F48" s="227">
        <v>7.0</v>
      </c>
      <c r="G48" s="227">
        <v>17.0</v>
      </c>
      <c r="H48" s="216"/>
      <c r="I48" s="227">
        <v>14.0</v>
      </c>
      <c r="J48" s="227">
        <v>34.0</v>
      </c>
      <c r="K48" s="216"/>
      <c r="L48" s="216"/>
      <c r="M48" s="216"/>
      <c r="N48" s="216"/>
    </row>
    <row r="49">
      <c r="A49" s="217"/>
      <c r="B49" s="217"/>
      <c r="C49" s="217"/>
      <c r="D49" s="217"/>
      <c r="E49" s="217"/>
      <c r="F49" s="217"/>
      <c r="G49" s="217"/>
      <c r="H49" s="217"/>
      <c r="I49" s="217"/>
      <c r="J49" s="217"/>
      <c r="K49" s="216"/>
      <c r="L49" s="216"/>
      <c r="M49" s="216"/>
      <c r="N49" s="216"/>
    </row>
    <row r="50">
      <c r="A50" s="218" t="s">
        <v>487</v>
      </c>
      <c r="B50" s="11"/>
      <c r="C50" s="219">
        <v>4.0</v>
      </c>
      <c r="D50" s="203"/>
      <c r="E50" s="203"/>
      <c r="F50" s="203"/>
      <c r="G50" s="203"/>
      <c r="H50" s="203"/>
      <c r="I50" s="203"/>
      <c r="J50" s="203"/>
      <c r="K50" s="216"/>
      <c r="L50" s="216"/>
      <c r="M50" s="216"/>
      <c r="N50" s="216"/>
    </row>
    <row r="51">
      <c r="A51" s="240" t="s">
        <v>0</v>
      </c>
      <c r="B51" s="241" t="s">
        <v>488</v>
      </c>
      <c r="C51" s="241" t="s">
        <v>489</v>
      </c>
      <c r="D51" s="241" t="s">
        <v>490</v>
      </c>
      <c r="E51" s="243" t="s">
        <v>491</v>
      </c>
      <c r="F51" s="11"/>
      <c r="G51" s="241" t="s">
        <v>492</v>
      </c>
      <c r="H51" s="243" t="s">
        <v>493</v>
      </c>
      <c r="I51" s="11"/>
      <c r="J51" s="241" t="s">
        <v>494</v>
      </c>
      <c r="K51" s="216"/>
      <c r="L51" s="216"/>
      <c r="M51" s="216"/>
      <c r="N51" s="216"/>
    </row>
    <row r="52">
      <c r="A52" s="224"/>
      <c r="B52" s="225"/>
      <c r="C52" s="225"/>
      <c r="D52" s="225"/>
      <c r="E52" s="244" t="s">
        <v>495</v>
      </c>
      <c r="F52" s="244" t="s">
        <v>496</v>
      </c>
      <c r="G52" s="225"/>
      <c r="H52" s="244" t="s">
        <v>495</v>
      </c>
      <c r="I52" s="244" t="s">
        <v>496</v>
      </c>
      <c r="J52" s="225"/>
      <c r="K52" s="216"/>
      <c r="L52" s="216"/>
      <c r="M52" s="216"/>
      <c r="N52" s="216"/>
    </row>
    <row r="53">
      <c r="A53" s="74">
        <v>1.0</v>
      </c>
      <c r="B53" s="95" t="s">
        <v>414</v>
      </c>
      <c r="C53" s="96" t="s">
        <v>105</v>
      </c>
      <c r="D53" s="95" t="s">
        <v>497</v>
      </c>
      <c r="E53" s="95">
        <v>2.0</v>
      </c>
      <c r="F53" s="96"/>
      <c r="G53" s="95">
        <v>2.0</v>
      </c>
      <c r="H53" s="95">
        <v>2.0</v>
      </c>
      <c r="I53" s="96"/>
      <c r="J53" s="95">
        <v>2.0</v>
      </c>
      <c r="K53" s="216"/>
      <c r="L53" s="216"/>
      <c r="M53" s="216"/>
      <c r="N53" s="227">
        <v>1.0</v>
      </c>
    </row>
    <row r="54">
      <c r="A54" s="71">
        <v>2.0</v>
      </c>
      <c r="B54" s="95" t="s">
        <v>415</v>
      </c>
      <c r="C54" s="96" t="s">
        <v>231</v>
      </c>
      <c r="D54" s="95" t="s">
        <v>498</v>
      </c>
      <c r="E54" s="96"/>
      <c r="F54" s="95">
        <v>2.0</v>
      </c>
      <c r="G54" s="95">
        <v>2.0</v>
      </c>
      <c r="H54" s="96"/>
      <c r="I54" s="95">
        <v>4.0</v>
      </c>
      <c r="J54" s="95">
        <v>4.0</v>
      </c>
      <c r="K54" s="216"/>
      <c r="L54" s="216"/>
      <c r="M54" s="227">
        <v>1.0</v>
      </c>
      <c r="N54" s="227">
        <v>1.0</v>
      </c>
    </row>
    <row r="55">
      <c r="A55" s="71">
        <v>3.0</v>
      </c>
      <c r="B55" s="95" t="s">
        <v>416</v>
      </c>
      <c r="C55" s="203" t="s">
        <v>101</v>
      </c>
      <c r="D55" s="80" t="s">
        <v>498</v>
      </c>
      <c r="E55" s="80">
        <v>2.0</v>
      </c>
      <c r="F55" s="203"/>
      <c r="G55" s="80">
        <v>2.0</v>
      </c>
      <c r="H55" s="80">
        <v>3.0</v>
      </c>
      <c r="I55" s="203"/>
      <c r="J55" s="80">
        <v>3.0</v>
      </c>
      <c r="K55" s="216"/>
      <c r="L55" s="216"/>
      <c r="M55" s="216"/>
      <c r="N55" s="227">
        <v>1.0</v>
      </c>
    </row>
    <row r="56">
      <c r="A56" s="71">
        <v>4.0</v>
      </c>
      <c r="B56" s="95" t="s">
        <v>417</v>
      </c>
      <c r="C56" s="96" t="s">
        <v>418</v>
      </c>
      <c r="D56" s="95" t="s">
        <v>498</v>
      </c>
      <c r="E56" s="96"/>
      <c r="F56" s="95">
        <v>3.0</v>
      </c>
      <c r="G56" s="80">
        <v>3.0</v>
      </c>
      <c r="H56" s="203"/>
      <c r="I56" s="80">
        <v>6.0</v>
      </c>
      <c r="J56" s="80">
        <v>6.0</v>
      </c>
      <c r="K56" s="216"/>
      <c r="L56" s="216"/>
      <c r="M56" s="227">
        <v>1.0</v>
      </c>
      <c r="N56" s="227">
        <v>1.0</v>
      </c>
    </row>
    <row r="57">
      <c r="A57" s="71">
        <v>5.0</v>
      </c>
      <c r="B57" s="95" t="s">
        <v>419</v>
      </c>
      <c r="C57" s="96" t="s">
        <v>420</v>
      </c>
      <c r="D57" s="95" t="s">
        <v>498</v>
      </c>
      <c r="E57" s="96"/>
      <c r="F57" s="95">
        <v>2.0</v>
      </c>
      <c r="G57" s="205">
        <v>2.0</v>
      </c>
      <c r="H57" s="96"/>
      <c r="I57" s="95">
        <v>4.0</v>
      </c>
      <c r="J57" s="95">
        <v>4.0</v>
      </c>
      <c r="K57" s="216"/>
      <c r="L57" s="216"/>
      <c r="M57" s="227">
        <v>1.0</v>
      </c>
      <c r="N57" s="227">
        <v>1.0</v>
      </c>
    </row>
    <row r="58">
      <c r="A58" s="74">
        <v>6.0</v>
      </c>
      <c r="B58" s="95" t="s">
        <v>421</v>
      </c>
      <c r="C58" s="96" t="s">
        <v>128</v>
      </c>
      <c r="D58" s="95" t="s">
        <v>498</v>
      </c>
      <c r="E58" s="95">
        <v>2.0</v>
      </c>
      <c r="F58" s="96"/>
      <c r="G58" s="95">
        <v>2.0</v>
      </c>
      <c r="H58" s="95">
        <v>4.0</v>
      </c>
      <c r="I58" s="96"/>
      <c r="J58" s="95">
        <v>4.0</v>
      </c>
      <c r="K58" s="217"/>
      <c r="L58" s="216"/>
      <c r="M58" s="216"/>
      <c r="N58" s="227">
        <v>1.0</v>
      </c>
    </row>
    <row r="59">
      <c r="A59" s="71">
        <v>7.0</v>
      </c>
      <c r="B59" s="95" t="s">
        <v>422</v>
      </c>
      <c r="C59" s="96" t="s">
        <v>130</v>
      </c>
      <c r="D59" s="95" t="s">
        <v>498</v>
      </c>
      <c r="E59" s="96"/>
      <c r="F59" s="95">
        <v>2.0</v>
      </c>
      <c r="G59" s="95">
        <v>2.0</v>
      </c>
      <c r="H59" s="96"/>
      <c r="I59" s="95">
        <v>4.0</v>
      </c>
      <c r="J59" s="95">
        <v>4.0</v>
      </c>
      <c r="K59" s="248" t="s">
        <v>231</v>
      </c>
      <c r="L59" s="216"/>
      <c r="M59" s="227">
        <v>1.0</v>
      </c>
      <c r="N59" s="227">
        <v>1.0</v>
      </c>
    </row>
    <row r="60">
      <c r="A60" s="71">
        <v>8.0</v>
      </c>
      <c r="B60" s="95" t="s">
        <v>423</v>
      </c>
      <c r="C60" s="96" t="s">
        <v>132</v>
      </c>
      <c r="D60" s="95" t="s">
        <v>498</v>
      </c>
      <c r="E60" s="96"/>
      <c r="F60" s="95">
        <v>3.0</v>
      </c>
      <c r="G60" s="95">
        <v>3.0</v>
      </c>
      <c r="H60" s="96"/>
      <c r="I60" s="95">
        <v>6.0</v>
      </c>
      <c r="J60" s="95">
        <v>6.0</v>
      </c>
      <c r="K60" s="249"/>
      <c r="L60" s="216"/>
      <c r="M60" s="227">
        <v>1.0</v>
      </c>
      <c r="N60" s="227">
        <v>1.0</v>
      </c>
    </row>
    <row r="61">
      <c r="A61" s="206">
        <v>9.0</v>
      </c>
      <c r="B61" s="95" t="s">
        <v>424</v>
      </c>
      <c r="C61" s="96" t="s">
        <v>134</v>
      </c>
      <c r="D61" s="95" t="s">
        <v>498</v>
      </c>
      <c r="E61" s="95">
        <v>2.0</v>
      </c>
      <c r="F61" s="96"/>
      <c r="G61" s="95">
        <v>2.0</v>
      </c>
      <c r="H61" s="95">
        <v>4.0</v>
      </c>
      <c r="I61" s="96"/>
      <c r="J61" s="95">
        <v>4.0</v>
      </c>
      <c r="K61" s="237"/>
      <c r="L61" s="237"/>
      <c r="M61" s="237"/>
      <c r="N61" s="237"/>
    </row>
    <row r="62">
      <c r="A62" s="245" t="s">
        <v>502</v>
      </c>
      <c r="B62" s="231"/>
      <c r="C62" s="11"/>
      <c r="D62" s="246"/>
      <c r="E62" s="247">
        <f t="shared" ref="E62:J62" si="4">sum(E53:E61)</f>
        <v>8</v>
      </c>
      <c r="F62" s="247">
        <f t="shared" si="4"/>
        <v>12</v>
      </c>
      <c r="G62" s="247">
        <f t="shared" si="4"/>
        <v>20</v>
      </c>
      <c r="H62" s="247">
        <f t="shared" si="4"/>
        <v>13</v>
      </c>
      <c r="I62" s="247">
        <f t="shared" si="4"/>
        <v>24</v>
      </c>
      <c r="J62" s="247">
        <f t="shared" si="4"/>
        <v>37</v>
      </c>
      <c r="K62" s="216"/>
      <c r="L62" s="216"/>
      <c r="M62" s="216"/>
      <c r="N62" s="216"/>
    </row>
    <row r="63">
      <c r="A63" s="216"/>
      <c r="B63" s="216"/>
      <c r="C63" s="216"/>
      <c r="D63" s="216"/>
      <c r="E63" s="216"/>
      <c r="F63" s="216"/>
      <c r="G63" s="216"/>
      <c r="H63" s="216"/>
      <c r="I63" s="216"/>
      <c r="J63" s="216"/>
      <c r="K63" s="216"/>
      <c r="L63" s="216"/>
      <c r="M63" s="216"/>
      <c r="N63" s="216"/>
    </row>
    <row r="64">
      <c r="A64" s="217"/>
      <c r="B64" s="250"/>
      <c r="C64" s="250"/>
      <c r="D64" s="250"/>
      <c r="E64" s="250"/>
      <c r="F64" s="250"/>
      <c r="G64" s="250"/>
      <c r="H64" s="250"/>
      <c r="I64" s="250"/>
      <c r="J64" s="250"/>
      <c r="K64" s="216"/>
      <c r="L64" s="216"/>
      <c r="M64" s="216"/>
      <c r="N64" s="216"/>
    </row>
    <row r="65">
      <c r="A65" s="218" t="s">
        <v>487</v>
      </c>
      <c r="B65" s="11"/>
      <c r="C65" s="219">
        <v>5.0</v>
      </c>
      <c r="D65" s="203"/>
      <c r="E65" s="203"/>
      <c r="F65" s="203"/>
      <c r="G65" s="203"/>
      <c r="H65" s="203"/>
      <c r="I65" s="203"/>
      <c r="J65" s="203"/>
      <c r="K65" s="216"/>
      <c r="L65" s="216"/>
      <c r="M65" s="216"/>
      <c r="N65" s="216"/>
    </row>
    <row r="66">
      <c r="A66" s="240" t="s">
        <v>0</v>
      </c>
      <c r="B66" s="241" t="s">
        <v>488</v>
      </c>
      <c r="C66" s="241" t="s">
        <v>489</v>
      </c>
      <c r="D66" s="241" t="s">
        <v>490</v>
      </c>
      <c r="E66" s="243" t="s">
        <v>491</v>
      </c>
      <c r="F66" s="11"/>
      <c r="G66" s="241" t="s">
        <v>492</v>
      </c>
      <c r="H66" s="243" t="s">
        <v>493</v>
      </c>
      <c r="I66" s="11"/>
      <c r="J66" s="241" t="s">
        <v>494</v>
      </c>
      <c r="K66" s="216"/>
      <c r="L66" s="216"/>
      <c r="M66" s="216"/>
      <c r="N66" s="216"/>
    </row>
    <row r="67">
      <c r="A67" s="224"/>
      <c r="B67" s="225"/>
      <c r="C67" s="225"/>
      <c r="D67" s="225"/>
      <c r="E67" s="244" t="s">
        <v>495</v>
      </c>
      <c r="F67" s="244" t="s">
        <v>496</v>
      </c>
      <c r="G67" s="225"/>
      <c r="H67" s="244" t="s">
        <v>495</v>
      </c>
      <c r="I67" s="244" t="s">
        <v>496</v>
      </c>
      <c r="J67" s="225"/>
      <c r="K67" s="216"/>
      <c r="L67" s="216"/>
      <c r="M67" s="216"/>
      <c r="N67" s="216"/>
    </row>
    <row r="68">
      <c r="A68" s="90">
        <v>1.0</v>
      </c>
      <c r="B68" s="251" t="s">
        <v>425</v>
      </c>
      <c r="C68" s="207" t="s">
        <v>139</v>
      </c>
      <c r="D68" s="251" t="s">
        <v>501</v>
      </c>
      <c r="E68" s="252">
        <v>2.0</v>
      </c>
      <c r="F68" s="253"/>
      <c r="G68" s="251">
        <f t="shared" ref="G68:G75" si="5">sum(E68:F68)</f>
        <v>2</v>
      </c>
      <c r="H68" s="251">
        <v>4.0</v>
      </c>
      <c r="I68" s="253"/>
      <c r="J68" s="251">
        <f t="shared" ref="J68:J75" si="6">sum(H68:I68)</f>
        <v>4</v>
      </c>
      <c r="K68" s="216"/>
      <c r="L68" s="216"/>
      <c r="M68" s="216"/>
      <c r="N68" s="227">
        <v>1.0</v>
      </c>
    </row>
    <row r="69">
      <c r="A69" s="71">
        <v>2.0</v>
      </c>
      <c r="B69" s="80" t="s">
        <v>426</v>
      </c>
      <c r="C69" s="203" t="s">
        <v>124</v>
      </c>
      <c r="D69" s="80" t="s">
        <v>497</v>
      </c>
      <c r="E69" s="80">
        <v>2.0</v>
      </c>
      <c r="F69" s="254"/>
      <c r="G69" s="80">
        <f t="shared" si="5"/>
        <v>2</v>
      </c>
      <c r="H69" s="80">
        <v>2.0</v>
      </c>
      <c r="I69" s="254"/>
      <c r="J69" s="80">
        <f t="shared" si="6"/>
        <v>2</v>
      </c>
      <c r="K69" s="216"/>
      <c r="L69" s="216"/>
      <c r="M69" s="227">
        <v>1.0</v>
      </c>
      <c r="N69" s="227">
        <v>1.0</v>
      </c>
    </row>
    <row r="70">
      <c r="A70" s="71">
        <v>3.0</v>
      </c>
      <c r="B70" s="80" t="s">
        <v>427</v>
      </c>
      <c r="C70" s="203" t="s">
        <v>143</v>
      </c>
      <c r="D70" s="80" t="s">
        <v>498</v>
      </c>
      <c r="E70" s="254"/>
      <c r="F70" s="80">
        <v>3.0</v>
      </c>
      <c r="G70" s="80">
        <f t="shared" si="5"/>
        <v>3</v>
      </c>
      <c r="H70" s="254"/>
      <c r="I70" s="80">
        <v>6.0</v>
      </c>
      <c r="J70" s="80">
        <f t="shared" si="6"/>
        <v>6</v>
      </c>
      <c r="K70" s="216"/>
      <c r="L70" s="216"/>
      <c r="M70" s="227">
        <v>1.0</v>
      </c>
      <c r="N70" s="227">
        <v>1.0</v>
      </c>
    </row>
    <row r="71">
      <c r="A71" s="71">
        <v>4.0</v>
      </c>
      <c r="B71" s="80" t="s">
        <v>428</v>
      </c>
      <c r="C71" s="203" t="s">
        <v>145</v>
      </c>
      <c r="D71" s="80" t="s">
        <v>498</v>
      </c>
      <c r="E71" s="254"/>
      <c r="F71" s="80">
        <v>3.0</v>
      </c>
      <c r="G71" s="80">
        <f t="shared" si="5"/>
        <v>3</v>
      </c>
      <c r="H71" s="254"/>
      <c r="I71" s="80">
        <v>6.0</v>
      </c>
      <c r="J71" s="80">
        <f t="shared" si="6"/>
        <v>6</v>
      </c>
      <c r="K71" s="216"/>
      <c r="L71" s="216"/>
      <c r="M71" s="216"/>
      <c r="N71" s="227">
        <v>1.0</v>
      </c>
    </row>
    <row r="72">
      <c r="A72" s="71">
        <v>5.0</v>
      </c>
      <c r="B72" s="80" t="s">
        <v>430</v>
      </c>
      <c r="C72" s="203" t="s">
        <v>201</v>
      </c>
      <c r="D72" s="80" t="s">
        <v>501</v>
      </c>
      <c r="E72" s="80">
        <v>2.0</v>
      </c>
      <c r="F72" s="254"/>
      <c r="G72" s="80">
        <f t="shared" si="5"/>
        <v>2</v>
      </c>
      <c r="H72" s="80">
        <v>4.0</v>
      </c>
      <c r="I72" s="254"/>
      <c r="J72" s="80">
        <f t="shared" si="6"/>
        <v>4</v>
      </c>
      <c r="K72" s="216"/>
      <c r="L72" s="216"/>
      <c r="M72" s="216"/>
      <c r="N72" s="227">
        <v>1.0</v>
      </c>
    </row>
    <row r="73">
      <c r="A73" s="71">
        <v>6.0</v>
      </c>
      <c r="B73" s="80" t="s">
        <v>431</v>
      </c>
      <c r="C73" s="203" t="s">
        <v>252</v>
      </c>
      <c r="D73" s="80" t="s">
        <v>498</v>
      </c>
      <c r="E73" s="254"/>
      <c r="F73" s="80">
        <v>3.0</v>
      </c>
      <c r="G73" s="80">
        <f t="shared" si="5"/>
        <v>3</v>
      </c>
      <c r="H73" s="254"/>
      <c r="I73" s="80">
        <v>6.0</v>
      </c>
      <c r="J73" s="80">
        <f t="shared" si="6"/>
        <v>6</v>
      </c>
      <c r="K73" s="216"/>
      <c r="L73" s="216"/>
      <c r="M73" s="216"/>
      <c r="N73" s="227">
        <v>1.0</v>
      </c>
    </row>
    <row r="74">
      <c r="A74" s="71">
        <v>7.0</v>
      </c>
      <c r="B74" s="80" t="s">
        <v>432</v>
      </c>
      <c r="C74" s="203" t="s">
        <v>103</v>
      </c>
      <c r="D74" s="80" t="s">
        <v>498</v>
      </c>
      <c r="E74" s="80">
        <v>2.0</v>
      </c>
      <c r="F74" s="254"/>
      <c r="G74" s="80">
        <f t="shared" si="5"/>
        <v>2</v>
      </c>
      <c r="H74" s="80">
        <v>4.0</v>
      </c>
      <c r="I74" s="254"/>
      <c r="J74" s="80">
        <f t="shared" si="6"/>
        <v>4</v>
      </c>
      <c r="K74" s="216"/>
      <c r="L74" s="216"/>
      <c r="M74" s="216"/>
      <c r="N74" s="227">
        <v>1.0</v>
      </c>
    </row>
    <row r="75">
      <c r="A75" s="71">
        <v>8.0</v>
      </c>
      <c r="B75" s="80" t="s">
        <v>503</v>
      </c>
      <c r="C75" s="203" t="s">
        <v>120</v>
      </c>
      <c r="D75" s="80" t="s">
        <v>498</v>
      </c>
      <c r="E75" s="254"/>
      <c r="F75" s="80">
        <v>2.0</v>
      </c>
      <c r="G75" s="80">
        <f t="shared" si="5"/>
        <v>2</v>
      </c>
      <c r="H75" s="254"/>
      <c r="I75" s="80">
        <v>4.0</v>
      </c>
      <c r="J75" s="80">
        <f t="shared" si="6"/>
        <v>4</v>
      </c>
      <c r="K75" s="216"/>
      <c r="L75" s="216"/>
      <c r="M75" s="227">
        <v>1.0</v>
      </c>
      <c r="N75" s="227">
        <v>1.0</v>
      </c>
    </row>
    <row r="76">
      <c r="A76" s="245" t="s">
        <v>502</v>
      </c>
      <c r="B76" s="231"/>
      <c r="C76" s="11"/>
      <c r="D76" s="246"/>
      <c r="E76" s="247">
        <v>8.0</v>
      </c>
      <c r="F76" s="247">
        <v>11.0</v>
      </c>
      <c r="G76" s="247">
        <v>19.0</v>
      </c>
      <c r="H76" s="247">
        <v>14.0</v>
      </c>
      <c r="I76" s="247">
        <v>22.0</v>
      </c>
      <c r="J76" s="247">
        <v>36.0</v>
      </c>
      <c r="K76" s="216"/>
      <c r="L76" s="216"/>
      <c r="M76" s="216"/>
      <c r="N76" s="216"/>
    </row>
    <row r="77">
      <c r="A77" s="216"/>
      <c r="B77" s="216"/>
      <c r="C77" s="216"/>
      <c r="D77" s="216"/>
      <c r="E77" s="216"/>
      <c r="F77" s="216"/>
      <c r="G77" s="216"/>
      <c r="H77" s="216"/>
      <c r="I77" s="216"/>
      <c r="J77" s="216"/>
      <c r="K77" s="216"/>
      <c r="L77" s="216"/>
      <c r="M77" s="216"/>
      <c r="N77" s="216"/>
    </row>
    <row r="78">
      <c r="A78" s="217"/>
      <c r="B78" s="250"/>
      <c r="C78" s="250"/>
      <c r="D78" s="250"/>
      <c r="E78" s="250"/>
      <c r="F78" s="250"/>
      <c r="G78" s="250"/>
      <c r="H78" s="250"/>
      <c r="I78" s="250"/>
      <c r="J78" s="250"/>
      <c r="K78" s="216"/>
      <c r="L78" s="216"/>
      <c r="M78" s="216"/>
      <c r="N78" s="216"/>
    </row>
    <row r="79">
      <c r="A79" s="255" t="s">
        <v>487</v>
      </c>
      <c r="B79" s="231"/>
      <c r="C79" s="255">
        <v>6.0</v>
      </c>
      <c r="D79" s="256"/>
      <c r="E79" s="256"/>
      <c r="F79" s="256"/>
      <c r="G79" s="256"/>
      <c r="H79" s="256"/>
      <c r="I79" s="256"/>
      <c r="J79" s="256"/>
      <c r="K79" s="256"/>
      <c r="L79" s="257"/>
      <c r="M79" s="216"/>
      <c r="N79" s="216"/>
    </row>
    <row r="80">
      <c r="A80" s="258" t="s">
        <v>0</v>
      </c>
      <c r="B80" s="259" t="s">
        <v>488</v>
      </c>
      <c r="C80" s="259" t="s">
        <v>489</v>
      </c>
      <c r="D80" s="259" t="s">
        <v>490</v>
      </c>
      <c r="E80" s="260" t="s">
        <v>491</v>
      </c>
      <c r="F80" s="11"/>
      <c r="G80" s="259" t="s">
        <v>492</v>
      </c>
      <c r="H80" s="260" t="s">
        <v>493</v>
      </c>
      <c r="I80" s="11"/>
      <c r="J80" s="259" t="s">
        <v>494</v>
      </c>
      <c r="K80" s="261" t="s">
        <v>504</v>
      </c>
      <c r="L80" s="257"/>
      <c r="M80" s="216"/>
      <c r="N80" s="216"/>
    </row>
    <row r="81">
      <c r="A81" s="56"/>
      <c r="B81" s="11"/>
      <c r="C81" s="11"/>
      <c r="D81" s="11"/>
      <c r="E81" s="262" t="s">
        <v>495</v>
      </c>
      <c r="F81" s="262" t="s">
        <v>496</v>
      </c>
      <c r="G81" s="11"/>
      <c r="H81" s="262" t="s">
        <v>495</v>
      </c>
      <c r="I81" s="262" t="s">
        <v>496</v>
      </c>
      <c r="J81" s="11"/>
      <c r="K81" s="11"/>
      <c r="L81" s="257"/>
      <c r="M81" s="216"/>
      <c r="N81" s="227">
        <v>1.0</v>
      </c>
    </row>
    <row r="82">
      <c r="A82" s="101">
        <v>1.0</v>
      </c>
      <c r="B82" s="208" t="s">
        <v>433</v>
      </c>
      <c r="C82" s="209" t="s">
        <v>149</v>
      </c>
      <c r="D82" s="208" t="s">
        <v>501</v>
      </c>
      <c r="E82" s="208">
        <v>2.0</v>
      </c>
      <c r="F82" s="263"/>
      <c r="G82" s="86">
        <v>2.0</v>
      </c>
      <c r="H82" s="208">
        <v>4.0</v>
      </c>
      <c r="I82" s="263"/>
      <c r="J82" s="86">
        <f>sum(H82:I82)</f>
        <v>4</v>
      </c>
      <c r="K82" s="264" t="s">
        <v>505</v>
      </c>
      <c r="L82" s="257"/>
      <c r="M82" s="227">
        <v>1.0</v>
      </c>
      <c r="N82" s="227">
        <v>1.0</v>
      </c>
    </row>
    <row r="83">
      <c r="A83" s="101">
        <v>2.0</v>
      </c>
      <c r="B83" s="208" t="s">
        <v>434</v>
      </c>
      <c r="C83" s="210" t="s">
        <v>160</v>
      </c>
      <c r="D83" s="86" t="s">
        <v>498</v>
      </c>
      <c r="E83" s="263"/>
      <c r="F83" s="208">
        <v>3.0</v>
      </c>
      <c r="G83" s="86">
        <v>3.0</v>
      </c>
      <c r="H83" s="263"/>
      <c r="I83" s="208">
        <v>6.0</v>
      </c>
      <c r="J83" s="86">
        <v>6.0</v>
      </c>
      <c r="K83" s="264" t="s">
        <v>505</v>
      </c>
      <c r="L83" s="257"/>
      <c r="M83" s="216"/>
      <c r="N83" s="227">
        <v>1.0</v>
      </c>
    </row>
    <row r="84">
      <c r="A84" s="101">
        <v>3.0</v>
      </c>
      <c r="B84" s="208" t="s">
        <v>435</v>
      </c>
      <c r="C84" s="265" t="s">
        <v>141</v>
      </c>
      <c r="D84" s="266" t="s">
        <v>498</v>
      </c>
      <c r="E84" s="266">
        <v>2.0</v>
      </c>
      <c r="F84" s="267"/>
      <c r="G84" s="95">
        <f>sum(E84:F84)</f>
        <v>2</v>
      </c>
      <c r="H84" s="266">
        <v>4.0</v>
      </c>
      <c r="I84" s="267"/>
      <c r="J84" s="95">
        <f>sum(H84:I84)</f>
        <v>4</v>
      </c>
      <c r="K84" s="264" t="s">
        <v>505</v>
      </c>
      <c r="L84" s="257" t="s">
        <v>506</v>
      </c>
      <c r="M84" s="227">
        <v>1.0</v>
      </c>
      <c r="N84" s="227">
        <v>1.0</v>
      </c>
    </row>
    <row r="85">
      <c r="A85" s="268" t="s">
        <v>161</v>
      </c>
      <c r="B85" s="231"/>
      <c r="C85" s="231"/>
      <c r="D85" s="231"/>
      <c r="E85" s="231"/>
      <c r="F85" s="231"/>
      <c r="G85" s="231"/>
      <c r="H85" s="231"/>
      <c r="I85" s="231"/>
      <c r="J85" s="11"/>
      <c r="K85" s="269"/>
      <c r="L85" s="257"/>
      <c r="M85" s="227">
        <v>1.0</v>
      </c>
      <c r="N85" s="227">
        <v>1.0</v>
      </c>
    </row>
    <row r="86">
      <c r="A86" s="211">
        <v>4.0</v>
      </c>
      <c r="B86" s="208" t="s">
        <v>436</v>
      </c>
      <c r="C86" s="209" t="s">
        <v>163</v>
      </c>
      <c r="D86" s="208" t="s">
        <v>164</v>
      </c>
      <c r="E86" s="263"/>
      <c r="F86" s="208">
        <v>4.0</v>
      </c>
      <c r="G86" s="270">
        <v>4.0</v>
      </c>
      <c r="H86" s="263"/>
      <c r="I86" s="208">
        <v>8.0</v>
      </c>
      <c r="J86" s="208">
        <v>8.0</v>
      </c>
      <c r="K86" s="264" t="s">
        <v>507</v>
      </c>
      <c r="L86" s="257"/>
      <c r="M86" s="227">
        <v>1.0</v>
      </c>
      <c r="N86" s="227">
        <v>1.0</v>
      </c>
    </row>
    <row r="87">
      <c r="A87" s="101">
        <v>5.0</v>
      </c>
      <c r="B87" s="208" t="s">
        <v>437</v>
      </c>
      <c r="C87" s="209" t="s">
        <v>166</v>
      </c>
      <c r="D87" s="208" t="s">
        <v>164</v>
      </c>
      <c r="E87" s="263"/>
      <c r="F87" s="208">
        <v>3.0</v>
      </c>
      <c r="G87" s="208">
        <f t="shared" ref="G87:G88" si="7">sum(E87:F87)</f>
        <v>3</v>
      </c>
      <c r="H87" s="263"/>
      <c r="I87" s="208">
        <v>6.0</v>
      </c>
      <c r="J87" s="208">
        <f t="shared" ref="J87:J88" si="8">sum(H87:I87)</f>
        <v>6</v>
      </c>
      <c r="K87" s="264" t="s">
        <v>507</v>
      </c>
      <c r="L87" s="257"/>
      <c r="M87" s="216"/>
      <c r="N87" s="216"/>
    </row>
    <row r="88">
      <c r="A88" s="211">
        <v>6.0</v>
      </c>
      <c r="B88" s="208" t="s">
        <v>438</v>
      </c>
      <c r="C88" s="209" t="s">
        <v>168</v>
      </c>
      <c r="D88" s="208" t="s">
        <v>164</v>
      </c>
      <c r="E88" s="263"/>
      <c r="F88" s="208">
        <v>3.0</v>
      </c>
      <c r="G88" s="208">
        <f t="shared" si="7"/>
        <v>3</v>
      </c>
      <c r="H88" s="263"/>
      <c r="I88" s="208">
        <v>6.0</v>
      </c>
      <c r="J88" s="208">
        <f t="shared" si="8"/>
        <v>6</v>
      </c>
      <c r="K88" s="264" t="s">
        <v>507</v>
      </c>
      <c r="L88" s="257"/>
      <c r="M88" s="216"/>
      <c r="N88" s="216"/>
    </row>
    <row r="89">
      <c r="A89" s="101">
        <v>7.0</v>
      </c>
      <c r="B89" s="208" t="s">
        <v>439</v>
      </c>
      <c r="C89" s="209" t="s">
        <v>170</v>
      </c>
      <c r="D89" s="86" t="s">
        <v>164</v>
      </c>
      <c r="E89" s="263"/>
      <c r="F89" s="208">
        <v>3.0</v>
      </c>
      <c r="G89" s="86">
        <v>3.0</v>
      </c>
      <c r="H89" s="263"/>
      <c r="I89" s="208">
        <v>6.0</v>
      </c>
      <c r="J89" s="86">
        <v>6.0</v>
      </c>
      <c r="K89" s="264" t="s">
        <v>507</v>
      </c>
      <c r="L89" s="257"/>
      <c r="M89" s="216"/>
      <c r="N89" s="216"/>
    </row>
    <row r="90">
      <c r="A90" s="271" t="s">
        <v>502</v>
      </c>
      <c r="B90" s="231"/>
      <c r="C90" s="11"/>
      <c r="D90" s="272"/>
      <c r="E90" s="273" t="str">
        <f>SUM(R[-9]C[0]:R[-6]C[0],R[-4]C[0]:R[-1]C[0])</f>
        <v>#ERROR!</v>
      </c>
      <c r="F90" s="273" t="str">
        <f>SUM(R[-9]C[0]:R[-6]C[0],R[-4]C[0]:R[-1]C[0])</f>
        <v>#ERROR!</v>
      </c>
      <c r="G90" s="273" t="str">
        <f>SUM(R[-9]C[0]:R[-6]C[0],R[-4]C[0]:R[-1]C[0])</f>
        <v>#ERROR!</v>
      </c>
      <c r="H90" s="273" t="str">
        <f>SUM(R[-9]C[0]:R[-6]C[0],R[-4]C[0]:R[-1]C[0])</f>
        <v>#ERROR!</v>
      </c>
      <c r="I90" s="273" t="str">
        <f>SUM(R[-9]C[0]:R[-6]C[0],R[-4]C[0]:R[-1]C[0])</f>
        <v>#ERROR!</v>
      </c>
      <c r="J90" s="273" t="str">
        <f>SUM(R[-9]C[0]:R[-6]C[0],R[-4]C[0]:R[-1]C[0])</f>
        <v>#ERROR!</v>
      </c>
      <c r="K90" s="272"/>
      <c r="L90" s="257"/>
      <c r="M90" s="216"/>
      <c r="N90" s="216"/>
    </row>
    <row r="91">
      <c r="A91" s="268" t="s">
        <v>173</v>
      </c>
      <c r="B91" s="231"/>
      <c r="C91" s="231"/>
      <c r="D91" s="231"/>
      <c r="E91" s="231"/>
      <c r="F91" s="231"/>
      <c r="G91" s="231"/>
      <c r="H91" s="231"/>
      <c r="I91" s="231"/>
      <c r="J91" s="11"/>
      <c r="K91" s="269"/>
      <c r="L91" s="257"/>
      <c r="M91" s="216"/>
      <c r="N91" s="216"/>
    </row>
    <row r="92">
      <c r="A92" s="211">
        <v>4.0</v>
      </c>
      <c r="B92" s="208" t="s">
        <v>440</v>
      </c>
      <c r="C92" s="209" t="s">
        <v>184</v>
      </c>
      <c r="D92" s="208" t="s">
        <v>164</v>
      </c>
      <c r="E92" s="263"/>
      <c r="F92" s="208">
        <v>4.0</v>
      </c>
      <c r="G92" s="208">
        <f>F92</f>
        <v>4</v>
      </c>
      <c r="H92" s="263"/>
      <c r="I92" s="208">
        <f t="shared" ref="I92:I95" si="9">G92*2</f>
        <v>8</v>
      </c>
      <c r="J92" s="208">
        <f t="shared" ref="J92:J95" si="10">sum(H92:I92)</f>
        <v>8</v>
      </c>
      <c r="K92" s="264" t="s">
        <v>508</v>
      </c>
      <c r="L92" s="257"/>
      <c r="M92" s="216"/>
      <c r="N92" s="216"/>
    </row>
    <row r="93">
      <c r="A93" s="211">
        <v>5.0</v>
      </c>
      <c r="B93" s="208" t="s">
        <v>441</v>
      </c>
      <c r="C93" s="209" t="s">
        <v>186</v>
      </c>
      <c r="D93" s="208" t="s">
        <v>164</v>
      </c>
      <c r="E93" s="263"/>
      <c r="F93" s="208">
        <v>3.0</v>
      </c>
      <c r="G93" s="208">
        <v>3.0</v>
      </c>
      <c r="H93" s="263"/>
      <c r="I93" s="208">
        <f t="shared" si="9"/>
        <v>6</v>
      </c>
      <c r="J93" s="208">
        <f t="shared" si="10"/>
        <v>6</v>
      </c>
      <c r="K93" s="264" t="s">
        <v>508</v>
      </c>
      <c r="L93" s="257"/>
      <c r="M93" s="227">
        <v>1.0</v>
      </c>
      <c r="N93" s="227">
        <v>1.0</v>
      </c>
    </row>
    <row r="94">
      <c r="A94" s="211">
        <v>6.0</v>
      </c>
      <c r="B94" s="208" t="s">
        <v>442</v>
      </c>
      <c r="C94" s="209" t="s">
        <v>188</v>
      </c>
      <c r="D94" s="208" t="s">
        <v>164</v>
      </c>
      <c r="E94" s="263"/>
      <c r="F94" s="208">
        <v>3.0</v>
      </c>
      <c r="G94" s="208">
        <f>sum(E94:F94)</f>
        <v>3</v>
      </c>
      <c r="H94" s="263"/>
      <c r="I94" s="208">
        <f t="shared" si="9"/>
        <v>6</v>
      </c>
      <c r="J94" s="208">
        <f t="shared" si="10"/>
        <v>6</v>
      </c>
      <c r="K94" s="264" t="s">
        <v>508</v>
      </c>
      <c r="L94" s="257"/>
      <c r="M94" s="227">
        <v>1.0</v>
      </c>
      <c r="N94" s="227">
        <v>1.0</v>
      </c>
    </row>
    <row r="95">
      <c r="A95" s="211">
        <v>7.0</v>
      </c>
      <c r="B95" s="208" t="s">
        <v>443</v>
      </c>
      <c r="C95" s="212" t="s">
        <v>190</v>
      </c>
      <c r="D95" s="208" t="s">
        <v>164</v>
      </c>
      <c r="E95" s="263"/>
      <c r="F95" s="208">
        <v>3.0</v>
      </c>
      <c r="G95" s="208">
        <v>3.0</v>
      </c>
      <c r="H95" s="263"/>
      <c r="I95" s="208">
        <f t="shared" si="9"/>
        <v>6</v>
      </c>
      <c r="J95" s="208">
        <f t="shared" si="10"/>
        <v>6</v>
      </c>
      <c r="K95" s="264" t="s">
        <v>508</v>
      </c>
      <c r="L95" s="257"/>
      <c r="M95" s="216"/>
      <c r="N95" s="216"/>
    </row>
    <row r="96">
      <c r="A96" s="271" t="s">
        <v>502</v>
      </c>
      <c r="B96" s="231"/>
      <c r="C96" s="11"/>
      <c r="D96" s="272"/>
      <c r="E96" s="273" t="str">
        <f>SUM(R[-15]C[0]:R[-12]C[0],R[-4]C[0]:R[-1]C[0])</f>
        <v>#ERROR!</v>
      </c>
      <c r="F96" s="273" t="str">
        <f>SUM(R[-15]C[0]:R[-12]C[0],R[-4]C[0]:R[-1]C[0])</f>
        <v>#ERROR!</v>
      </c>
      <c r="G96" s="273" t="str">
        <f>SUM(R[-15]C[0]:R[-12]C[0],R[-4]C[0]:R[-1]C[0])</f>
        <v>#ERROR!</v>
      </c>
      <c r="H96" s="273" t="str">
        <f>SUM(R[-15]C[0]:R[-12]C[0],R[-4]C[0]:R[-1]C[0])</f>
        <v>#ERROR!</v>
      </c>
      <c r="I96" s="273" t="str">
        <f>SUM(R[-15]C[0]:R[-12]C[0],R[-4]C[0]:R[-1]C[0])</f>
        <v>#ERROR!</v>
      </c>
      <c r="J96" s="273" t="str">
        <f>SUM(R[-15]C[0]:R[-12]C[0],R[-4]C[0]:R[-1]C[0])</f>
        <v>#ERROR!</v>
      </c>
      <c r="K96" s="272"/>
      <c r="L96" s="257"/>
      <c r="M96" s="216"/>
      <c r="N96" s="216"/>
    </row>
    <row r="97">
      <c r="A97" s="268" t="s">
        <v>182</v>
      </c>
      <c r="B97" s="231"/>
      <c r="C97" s="231"/>
      <c r="D97" s="231"/>
      <c r="E97" s="231"/>
      <c r="F97" s="231"/>
      <c r="G97" s="231"/>
      <c r="H97" s="231"/>
      <c r="I97" s="231"/>
      <c r="J97" s="11"/>
      <c r="K97" s="269"/>
      <c r="L97" s="257"/>
      <c r="M97" s="216"/>
      <c r="N97" s="216"/>
    </row>
    <row r="98">
      <c r="A98" s="211">
        <v>4.0</v>
      </c>
      <c r="B98" s="208" t="s">
        <v>444</v>
      </c>
      <c r="C98" s="209" t="s">
        <v>445</v>
      </c>
      <c r="D98" s="208" t="s">
        <v>164</v>
      </c>
      <c r="E98" s="263"/>
      <c r="F98" s="208">
        <v>4.0</v>
      </c>
      <c r="G98" s="208">
        <f>F98</f>
        <v>4</v>
      </c>
      <c r="H98" s="263"/>
      <c r="I98" s="208">
        <f t="shared" ref="I98:I101" si="11">G98*2</f>
        <v>8</v>
      </c>
      <c r="J98" s="208">
        <f t="shared" ref="J98:J101" si="12">sum(H98:I98)</f>
        <v>8</v>
      </c>
      <c r="K98" s="264" t="s">
        <v>509</v>
      </c>
      <c r="L98" s="257"/>
      <c r="M98" s="227">
        <v>1.0</v>
      </c>
      <c r="N98" s="227">
        <v>1.0</v>
      </c>
    </row>
    <row r="99">
      <c r="A99" s="211">
        <v>5.0</v>
      </c>
      <c r="B99" s="208" t="s">
        <v>446</v>
      </c>
      <c r="C99" s="209" t="s">
        <v>447</v>
      </c>
      <c r="D99" s="208" t="s">
        <v>164</v>
      </c>
      <c r="E99" s="263"/>
      <c r="F99" s="208">
        <v>3.0</v>
      </c>
      <c r="G99" s="208">
        <v>3.0</v>
      </c>
      <c r="H99" s="263"/>
      <c r="I99" s="208">
        <f t="shared" si="11"/>
        <v>6</v>
      </c>
      <c r="J99" s="208">
        <f t="shared" si="12"/>
        <v>6</v>
      </c>
      <c r="K99" s="264" t="s">
        <v>509</v>
      </c>
      <c r="L99" s="257"/>
      <c r="M99" s="227">
        <v>1.0</v>
      </c>
      <c r="N99" s="227">
        <v>1.0</v>
      </c>
    </row>
    <row r="100">
      <c r="A100" s="211">
        <v>6.0</v>
      </c>
      <c r="B100" s="208" t="s">
        <v>448</v>
      </c>
      <c r="C100" s="209" t="s">
        <v>449</v>
      </c>
      <c r="D100" s="208" t="s">
        <v>164</v>
      </c>
      <c r="E100" s="263"/>
      <c r="F100" s="208">
        <v>3.0</v>
      </c>
      <c r="G100" s="208">
        <f>sum(E100:F100)</f>
        <v>3</v>
      </c>
      <c r="H100" s="263"/>
      <c r="I100" s="208">
        <f t="shared" si="11"/>
        <v>6</v>
      </c>
      <c r="J100" s="208">
        <f t="shared" si="12"/>
        <v>6</v>
      </c>
      <c r="K100" s="264" t="s">
        <v>509</v>
      </c>
      <c r="L100" s="257"/>
      <c r="M100" s="216"/>
      <c r="N100" s="216"/>
    </row>
    <row r="101">
      <c r="A101" s="211">
        <v>7.0</v>
      </c>
      <c r="B101" s="208" t="s">
        <v>450</v>
      </c>
      <c r="C101" s="209" t="s">
        <v>451</v>
      </c>
      <c r="D101" s="208" t="s">
        <v>164</v>
      </c>
      <c r="E101" s="263"/>
      <c r="F101" s="208">
        <v>3.0</v>
      </c>
      <c r="G101" s="208">
        <v>3.0</v>
      </c>
      <c r="H101" s="263"/>
      <c r="I101" s="208">
        <f t="shared" si="11"/>
        <v>6</v>
      </c>
      <c r="J101" s="208">
        <f t="shared" si="12"/>
        <v>6</v>
      </c>
      <c r="K101" s="264" t="s">
        <v>509</v>
      </c>
      <c r="L101" s="257"/>
      <c r="M101" s="216"/>
      <c r="N101" s="216"/>
    </row>
    <row r="102">
      <c r="A102" s="271" t="s">
        <v>502</v>
      </c>
      <c r="B102" s="231"/>
      <c r="C102" s="11"/>
      <c r="D102" s="272"/>
      <c r="E102" s="273" t="str">
        <f>SUM(R[-21]C[0]:R[-18]C[0],R[-4]C[0]:R[-1]C[0])</f>
        <v>#ERROR!</v>
      </c>
      <c r="F102" s="273" t="str">
        <f>SUM(R[-21]C[0]:R[-18]C[0],R[-4]C[0]:R[-1]C[0])</f>
        <v>#ERROR!</v>
      </c>
      <c r="G102" s="273" t="str">
        <f>SUM(R[-21]C[0]:R[-18]C[0],R[-4]C[0]:R[-1]C[0])</f>
        <v>#ERROR!</v>
      </c>
      <c r="H102" s="273" t="str">
        <f>SUM(R[-21]C[0]:R[-18]C[0],R[-4]C[0]:R[-1]C[0])</f>
        <v>#ERROR!</v>
      </c>
      <c r="I102" s="273" t="str">
        <f>SUM(R[-21]C[0]:R[-18]C[0],R[-4]C[0]:R[-1]C[0])</f>
        <v>#ERROR!</v>
      </c>
      <c r="J102" s="273" t="str">
        <f>SUM(R[-21]C[0]:R[-18]C[0],R[-4]C[0]:R[-1]C[0])</f>
        <v>#ERROR!</v>
      </c>
      <c r="K102" s="272"/>
      <c r="L102" s="257"/>
      <c r="M102" s="216"/>
      <c r="N102" s="216"/>
    </row>
    <row r="103">
      <c r="A103" s="257"/>
      <c r="B103" s="257"/>
      <c r="C103" s="257"/>
      <c r="D103" s="257"/>
      <c r="E103" s="257"/>
      <c r="F103" s="257"/>
      <c r="G103" s="257"/>
      <c r="H103" s="257"/>
      <c r="I103" s="257"/>
      <c r="J103" s="257"/>
      <c r="K103" s="257"/>
      <c r="L103" s="257"/>
      <c r="M103" s="216"/>
      <c r="N103" s="216"/>
    </row>
    <row r="104">
      <c r="A104" s="274" t="s">
        <v>487</v>
      </c>
      <c r="B104" s="231"/>
      <c r="C104" s="274">
        <v>7.0</v>
      </c>
      <c r="D104" s="275"/>
      <c r="E104" s="275"/>
      <c r="F104" s="275"/>
      <c r="G104" s="275"/>
      <c r="H104" s="275"/>
      <c r="I104" s="275"/>
      <c r="J104" s="275"/>
      <c r="K104" s="275"/>
      <c r="L104" s="257"/>
      <c r="M104" s="216"/>
      <c r="N104" s="216"/>
    </row>
    <row r="105">
      <c r="A105" s="276" t="s">
        <v>0</v>
      </c>
      <c r="B105" s="277" t="s">
        <v>488</v>
      </c>
      <c r="C105" s="277" t="s">
        <v>489</v>
      </c>
      <c r="D105" s="277" t="s">
        <v>490</v>
      </c>
      <c r="E105" s="278" t="s">
        <v>491</v>
      </c>
      <c r="F105" s="11"/>
      <c r="G105" s="277" t="s">
        <v>492</v>
      </c>
      <c r="H105" s="278" t="s">
        <v>493</v>
      </c>
      <c r="I105" s="11"/>
      <c r="J105" s="277" t="s">
        <v>494</v>
      </c>
      <c r="K105" s="279" t="s">
        <v>504</v>
      </c>
      <c r="L105" s="257"/>
      <c r="M105" s="216"/>
      <c r="N105" s="216"/>
    </row>
    <row r="106">
      <c r="A106" s="56"/>
      <c r="B106" s="11"/>
      <c r="C106" s="11"/>
      <c r="D106" s="11"/>
      <c r="E106" s="273" t="s">
        <v>495</v>
      </c>
      <c r="F106" s="273" t="s">
        <v>496</v>
      </c>
      <c r="G106" s="11"/>
      <c r="H106" s="273" t="s">
        <v>495</v>
      </c>
      <c r="I106" s="273" t="s">
        <v>496</v>
      </c>
      <c r="J106" s="11"/>
      <c r="K106" s="11"/>
      <c r="L106" s="257"/>
      <c r="M106" s="216"/>
      <c r="N106" s="216"/>
    </row>
    <row r="107">
      <c r="A107" s="101">
        <v>1.0</v>
      </c>
      <c r="B107" s="208" t="s">
        <v>452</v>
      </c>
      <c r="C107" s="209" t="s">
        <v>193</v>
      </c>
      <c r="D107" s="208" t="s">
        <v>498</v>
      </c>
      <c r="E107" s="263"/>
      <c r="F107" s="208">
        <v>10.0</v>
      </c>
      <c r="G107" s="86">
        <f>sum(E107:F107)</f>
        <v>10</v>
      </c>
      <c r="H107" s="263"/>
      <c r="I107" s="208">
        <f>G107*2</f>
        <v>20</v>
      </c>
      <c r="J107" s="86">
        <f>sum(H107:I107)</f>
        <v>20</v>
      </c>
      <c r="K107" s="264" t="s">
        <v>505</v>
      </c>
      <c r="L107" s="257"/>
      <c r="M107" s="216"/>
      <c r="N107" s="216"/>
    </row>
    <row r="108">
      <c r="A108" s="268" t="s">
        <v>161</v>
      </c>
      <c r="B108" s="231"/>
      <c r="C108" s="231"/>
      <c r="D108" s="231"/>
      <c r="E108" s="231"/>
      <c r="F108" s="231"/>
      <c r="G108" s="231"/>
      <c r="H108" s="231"/>
      <c r="I108" s="231"/>
      <c r="J108" s="11"/>
      <c r="K108" s="269"/>
      <c r="L108" s="257"/>
      <c r="M108" s="227">
        <v>1.0</v>
      </c>
      <c r="N108" s="227">
        <v>1.0</v>
      </c>
    </row>
    <row r="109">
      <c r="A109" s="101">
        <v>2.0</v>
      </c>
      <c r="B109" s="208" t="s">
        <v>453</v>
      </c>
      <c r="C109" s="214" t="s">
        <v>172</v>
      </c>
      <c r="D109" s="208" t="s">
        <v>164</v>
      </c>
      <c r="E109" s="208">
        <v>2.0</v>
      </c>
      <c r="F109" s="263"/>
      <c r="G109" s="86">
        <v>2.0</v>
      </c>
      <c r="H109" s="208">
        <v>2.0</v>
      </c>
      <c r="I109" s="263"/>
      <c r="J109" s="86">
        <v>2.0</v>
      </c>
      <c r="K109" s="264" t="s">
        <v>507</v>
      </c>
      <c r="L109" s="257"/>
      <c r="M109" s="216"/>
      <c r="N109" s="216"/>
    </row>
    <row r="110">
      <c r="A110" s="101">
        <v>3.0</v>
      </c>
      <c r="B110" s="208" t="s">
        <v>454</v>
      </c>
      <c r="C110" s="210" t="s">
        <v>455</v>
      </c>
      <c r="D110" s="208" t="s">
        <v>164</v>
      </c>
      <c r="E110" s="280"/>
      <c r="F110" s="86">
        <v>6.0</v>
      </c>
      <c r="G110" s="86">
        <v>6.0</v>
      </c>
      <c r="H110" s="280"/>
      <c r="I110" s="86">
        <v>12.0</v>
      </c>
      <c r="J110" s="86">
        <v>12.0</v>
      </c>
      <c r="K110" s="264" t="s">
        <v>507</v>
      </c>
      <c r="L110" s="257"/>
      <c r="M110" s="216"/>
      <c r="N110" s="227">
        <v>1.0</v>
      </c>
    </row>
    <row r="111">
      <c r="A111" s="101">
        <v>4.0</v>
      </c>
      <c r="B111" s="208" t="s">
        <v>456</v>
      </c>
      <c r="C111" s="209" t="s">
        <v>457</v>
      </c>
      <c r="D111" s="208" t="s">
        <v>164</v>
      </c>
      <c r="E111" s="208">
        <v>2.0</v>
      </c>
      <c r="F111" s="263"/>
      <c r="G111" s="86">
        <v>2.0</v>
      </c>
      <c r="H111" s="208">
        <v>4.0</v>
      </c>
      <c r="I111" s="263"/>
      <c r="J111" s="86">
        <v>4.0</v>
      </c>
      <c r="K111" s="264" t="s">
        <v>507</v>
      </c>
      <c r="L111" s="257"/>
      <c r="M111" s="216"/>
      <c r="N111" s="227">
        <v>1.0</v>
      </c>
    </row>
    <row r="112">
      <c r="A112" s="271" t="s">
        <v>510</v>
      </c>
      <c r="B112" s="231"/>
      <c r="C112" s="11"/>
      <c r="D112" s="281"/>
      <c r="E112" s="282">
        <f t="shared" ref="E112:J112" si="13">SUM(E107:E111)</f>
        <v>4</v>
      </c>
      <c r="F112" s="282">
        <f t="shared" si="13"/>
        <v>16</v>
      </c>
      <c r="G112" s="282">
        <f t="shared" si="13"/>
        <v>20</v>
      </c>
      <c r="H112" s="282">
        <f t="shared" si="13"/>
        <v>6</v>
      </c>
      <c r="I112" s="282">
        <f t="shared" si="13"/>
        <v>32</v>
      </c>
      <c r="J112" s="282">
        <f t="shared" si="13"/>
        <v>38</v>
      </c>
      <c r="K112" s="272"/>
      <c r="L112" s="257"/>
      <c r="M112" s="227">
        <v>1.0</v>
      </c>
      <c r="N112" s="227">
        <v>1.0</v>
      </c>
    </row>
    <row r="113">
      <c r="A113" s="268" t="s">
        <v>173</v>
      </c>
      <c r="B113" s="231"/>
      <c r="C113" s="231"/>
      <c r="D113" s="231"/>
      <c r="E113" s="231"/>
      <c r="F113" s="231"/>
      <c r="G113" s="231"/>
      <c r="H113" s="231"/>
      <c r="I113" s="231"/>
      <c r="J113" s="11"/>
      <c r="K113" s="269"/>
      <c r="L113" s="257"/>
      <c r="M113" s="216"/>
      <c r="N113" s="216"/>
    </row>
    <row r="114">
      <c r="A114" s="211">
        <v>3.0</v>
      </c>
      <c r="B114" s="208" t="s">
        <v>458</v>
      </c>
      <c r="C114" s="210" t="s">
        <v>459</v>
      </c>
      <c r="D114" s="208" t="s">
        <v>164</v>
      </c>
      <c r="E114" s="263"/>
      <c r="F114" s="208">
        <v>6.0</v>
      </c>
      <c r="G114" s="208">
        <v>6.0</v>
      </c>
      <c r="H114" s="263"/>
      <c r="I114" s="208">
        <f t="shared" ref="I114:I116" si="14">F114*2</f>
        <v>12</v>
      </c>
      <c r="J114" s="86">
        <f t="shared" ref="J114:J116" si="15">sum(H114:I114)</f>
        <v>12</v>
      </c>
      <c r="K114" s="264" t="s">
        <v>508</v>
      </c>
      <c r="L114" s="257"/>
      <c r="M114" s="216"/>
      <c r="N114" s="216"/>
    </row>
    <row r="115">
      <c r="A115" s="211">
        <v>4.0</v>
      </c>
      <c r="B115" s="208" t="s">
        <v>460</v>
      </c>
      <c r="C115" s="210" t="s">
        <v>461</v>
      </c>
      <c r="D115" s="208" t="s">
        <v>164</v>
      </c>
      <c r="E115" s="263"/>
      <c r="F115" s="208">
        <v>2.0</v>
      </c>
      <c r="G115" s="208">
        <v>2.0</v>
      </c>
      <c r="H115" s="263"/>
      <c r="I115" s="208">
        <f t="shared" si="14"/>
        <v>4</v>
      </c>
      <c r="J115" s="86">
        <f t="shared" si="15"/>
        <v>4</v>
      </c>
      <c r="K115" s="264" t="s">
        <v>508</v>
      </c>
      <c r="L115" s="257"/>
      <c r="M115" s="227">
        <f t="shared" ref="M115:N115" si="16">sum(M9:M113)</f>
        <v>24</v>
      </c>
      <c r="N115" s="227">
        <f t="shared" si="16"/>
        <v>55</v>
      </c>
    </row>
    <row r="116">
      <c r="A116" s="211">
        <v>5.0</v>
      </c>
      <c r="B116" s="208" t="s">
        <v>462</v>
      </c>
      <c r="C116" s="210" t="s">
        <v>463</v>
      </c>
      <c r="D116" s="208" t="s">
        <v>164</v>
      </c>
      <c r="E116" s="263"/>
      <c r="F116" s="208">
        <v>2.0</v>
      </c>
      <c r="G116" s="208">
        <f>sum(E116:F116)</f>
        <v>2</v>
      </c>
      <c r="H116" s="263"/>
      <c r="I116" s="208">
        <f t="shared" si="14"/>
        <v>4</v>
      </c>
      <c r="J116" s="86">
        <f t="shared" si="15"/>
        <v>4</v>
      </c>
      <c r="K116" s="264" t="s">
        <v>508</v>
      </c>
      <c r="L116" s="257"/>
      <c r="M116" s="216"/>
      <c r="N116" s="216"/>
    </row>
    <row r="117">
      <c r="A117" s="271" t="s">
        <v>502</v>
      </c>
      <c r="B117" s="231"/>
      <c r="C117" s="11"/>
      <c r="D117" s="272"/>
      <c r="E117" s="273" t="str">
        <f>SUM(R[-10]C[0],R[-3]C[0]:R[-1]C[0])</f>
        <v>#ERROR!</v>
      </c>
      <c r="F117" s="273" t="str">
        <f>SUM(R[-10]C[0],R[-3]C[0]:R[-1]C[0])</f>
        <v>#ERROR!</v>
      </c>
      <c r="G117" s="273" t="str">
        <f>SUM(R[-10]C[0],R[-3]C[0]:R[-1]C[0])</f>
        <v>#ERROR!</v>
      </c>
      <c r="H117" s="273" t="str">
        <f>SUM(R[-10]C[0],R[-3]C[0]:R[-1]C[0])</f>
        <v>#ERROR!</v>
      </c>
      <c r="I117" s="273" t="str">
        <f>SUM(R[-10]C[0],R[-3]C[0]:R[-1]C[0])</f>
        <v>#ERROR!</v>
      </c>
      <c r="J117" s="273" t="str">
        <f>SUM(R[-10]C[0],R[-3]C[0]:R[-1]C[0])</f>
        <v>#ERROR!</v>
      </c>
      <c r="K117" s="272"/>
      <c r="L117" s="257"/>
      <c r="M117" s="216"/>
      <c r="N117" s="227">
        <f>M115/N115*100%</f>
        <v>0.4363636364</v>
      </c>
    </row>
    <row r="118">
      <c r="A118" s="268" t="s">
        <v>182</v>
      </c>
      <c r="B118" s="231"/>
      <c r="C118" s="231"/>
      <c r="D118" s="231"/>
      <c r="E118" s="231"/>
      <c r="F118" s="231"/>
      <c r="G118" s="231"/>
      <c r="H118" s="231"/>
      <c r="I118" s="231"/>
      <c r="J118" s="11"/>
      <c r="K118" s="269"/>
      <c r="L118" s="257"/>
      <c r="M118" s="216"/>
      <c r="N118" s="216"/>
    </row>
    <row r="119">
      <c r="A119" s="211">
        <v>3.0</v>
      </c>
      <c r="B119" s="208" t="s">
        <v>464</v>
      </c>
      <c r="C119" s="210" t="s">
        <v>465</v>
      </c>
      <c r="D119" s="208" t="s">
        <v>164</v>
      </c>
      <c r="E119" s="263"/>
      <c r="F119" s="208">
        <v>6.0</v>
      </c>
      <c r="G119" s="208">
        <v>6.0</v>
      </c>
      <c r="H119" s="263"/>
      <c r="I119" s="208">
        <f t="shared" ref="I119:I121" si="17">F119*2</f>
        <v>12</v>
      </c>
      <c r="J119" s="86">
        <f t="shared" ref="J119:J121" si="18">sum(H119:I119)</f>
        <v>12</v>
      </c>
      <c r="K119" s="264" t="s">
        <v>511</v>
      </c>
      <c r="L119" s="257"/>
      <c r="M119" s="216"/>
      <c r="N119" s="216"/>
    </row>
    <row r="120">
      <c r="A120" s="211">
        <v>4.0</v>
      </c>
      <c r="B120" s="208" t="s">
        <v>466</v>
      </c>
      <c r="C120" s="209" t="s">
        <v>467</v>
      </c>
      <c r="D120" s="208" t="s">
        <v>164</v>
      </c>
      <c r="E120" s="263"/>
      <c r="F120" s="208">
        <v>2.0</v>
      </c>
      <c r="G120" s="208">
        <v>2.0</v>
      </c>
      <c r="H120" s="263"/>
      <c r="I120" s="208">
        <f t="shared" si="17"/>
        <v>4</v>
      </c>
      <c r="J120" s="86">
        <f t="shared" si="18"/>
        <v>4</v>
      </c>
      <c r="K120" s="264" t="s">
        <v>511</v>
      </c>
      <c r="L120" s="257"/>
      <c r="M120" s="216"/>
      <c r="N120" s="216"/>
    </row>
    <row r="121">
      <c r="A121" s="211">
        <v>5.0</v>
      </c>
      <c r="B121" s="208" t="s">
        <v>468</v>
      </c>
      <c r="C121" s="209" t="s">
        <v>469</v>
      </c>
      <c r="D121" s="208" t="s">
        <v>164</v>
      </c>
      <c r="E121" s="263"/>
      <c r="F121" s="208">
        <v>2.0</v>
      </c>
      <c r="G121" s="208">
        <f>sum(E121:F121)</f>
        <v>2</v>
      </c>
      <c r="H121" s="263"/>
      <c r="I121" s="208">
        <f t="shared" si="17"/>
        <v>4</v>
      </c>
      <c r="J121" s="86">
        <f t="shared" si="18"/>
        <v>4</v>
      </c>
      <c r="K121" s="264" t="s">
        <v>511</v>
      </c>
      <c r="L121" s="257"/>
      <c r="M121" s="216"/>
      <c r="N121" s="216"/>
    </row>
    <row r="122">
      <c r="A122" s="271" t="s">
        <v>502</v>
      </c>
      <c r="B122" s="231"/>
      <c r="C122" s="11"/>
      <c r="D122" s="272"/>
      <c r="E122" s="273" t="str">
        <f>SUM(R[-15]C[0],R[-3]C[0]:R[-1]C[0])</f>
        <v>#ERROR!</v>
      </c>
      <c r="F122" s="273" t="str">
        <f>SUM(R[-15]C[0],R[-3]C[0]:R[-1]C[0])</f>
        <v>#ERROR!</v>
      </c>
      <c r="G122" s="273" t="str">
        <f>SUM(R[-15]C[0],R[-3]C[0]:R[-1]C[0])</f>
        <v>#ERROR!</v>
      </c>
      <c r="H122" s="273" t="str">
        <f>SUM(R[-15]C[0],R[-3]C[0]:R[-1]C[0])</f>
        <v>#ERROR!</v>
      </c>
      <c r="I122" s="273" t="str">
        <f>SUM(R[-15]C[0],R[-3]C[0]:R[-1]C[0])</f>
        <v>#ERROR!</v>
      </c>
      <c r="J122" s="273" t="str">
        <f>SUM(R[-15]C[0],R[-3]C[0]:R[-1]C[0])</f>
        <v>#ERROR!</v>
      </c>
      <c r="K122" s="272"/>
      <c r="L122" s="257"/>
      <c r="M122" s="216"/>
      <c r="N122" s="216"/>
    </row>
    <row r="123">
      <c r="A123" s="30"/>
      <c r="B123" s="30"/>
      <c r="C123" s="30"/>
      <c r="D123" s="30"/>
      <c r="E123" s="30"/>
      <c r="F123" s="30"/>
      <c r="G123" s="30"/>
      <c r="H123" s="30"/>
      <c r="I123" s="30"/>
      <c r="J123" s="30"/>
      <c r="K123" s="30"/>
      <c r="L123" s="257"/>
      <c r="M123" s="216"/>
      <c r="N123" s="216"/>
    </row>
    <row r="124">
      <c r="A124" s="30"/>
      <c r="B124" s="30"/>
      <c r="C124" s="30"/>
      <c r="D124" s="30"/>
      <c r="E124" s="30"/>
      <c r="F124" s="30"/>
      <c r="G124" s="30"/>
      <c r="H124" s="30"/>
      <c r="I124" s="30"/>
      <c r="J124" s="30"/>
      <c r="K124" s="30"/>
      <c r="L124" s="257"/>
      <c r="M124" s="216"/>
      <c r="N124" s="216"/>
    </row>
    <row r="125">
      <c r="A125" s="255" t="s">
        <v>487</v>
      </c>
      <c r="B125" s="231"/>
      <c r="C125" s="255">
        <v>8.0</v>
      </c>
      <c r="D125" s="256"/>
      <c r="E125" s="256"/>
      <c r="F125" s="256"/>
      <c r="G125" s="256"/>
      <c r="H125" s="256"/>
      <c r="I125" s="256"/>
      <c r="J125" s="256"/>
      <c r="K125" s="256"/>
      <c r="L125" s="257"/>
    </row>
    <row r="126">
      <c r="A126" s="276" t="s">
        <v>0</v>
      </c>
      <c r="B126" s="277" t="s">
        <v>488</v>
      </c>
      <c r="C126" s="277" t="s">
        <v>489</v>
      </c>
      <c r="D126" s="283" t="s">
        <v>490</v>
      </c>
      <c r="E126" s="278" t="s">
        <v>491</v>
      </c>
      <c r="F126" s="11"/>
      <c r="G126" s="277" t="s">
        <v>492</v>
      </c>
      <c r="H126" s="278" t="s">
        <v>493</v>
      </c>
      <c r="I126" s="11"/>
      <c r="J126" s="277" t="s">
        <v>494</v>
      </c>
      <c r="K126" s="279" t="s">
        <v>504</v>
      </c>
      <c r="L126" s="257"/>
    </row>
    <row r="127">
      <c r="A127" s="56"/>
      <c r="B127" s="11"/>
      <c r="C127" s="11"/>
      <c r="D127" s="11"/>
      <c r="E127" s="273" t="s">
        <v>495</v>
      </c>
      <c r="F127" s="273" t="s">
        <v>496</v>
      </c>
      <c r="G127" s="11"/>
      <c r="H127" s="273" t="s">
        <v>495</v>
      </c>
      <c r="I127" s="273" t="s">
        <v>496</v>
      </c>
      <c r="J127" s="11"/>
      <c r="K127" s="11"/>
      <c r="L127" s="257"/>
    </row>
    <row r="128">
      <c r="A128" s="211">
        <v>1.0</v>
      </c>
      <c r="B128" s="208" t="s">
        <v>470</v>
      </c>
      <c r="C128" s="209" t="s">
        <v>199</v>
      </c>
      <c r="D128" s="86" t="s">
        <v>498</v>
      </c>
      <c r="E128" s="280"/>
      <c r="F128" s="86">
        <v>8.0</v>
      </c>
      <c r="G128" s="86">
        <f>sum(E128:F128)</f>
        <v>8</v>
      </c>
      <c r="H128" s="280"/>
      <c r="I128" s="86">
        <v>16.0</v>
      </c>
      <c r="J128" s="86">
        <f>sum(H128:I128)</f>
        <v>16</v>
      </c>
      <c r="K128" s="264" t="s">
        <v>505</v>
      </c>
      <c r="L128" s="257"/>
    </row>
    <row r="129">
      <c r="A129" s="268" t="s">
        <v>512</v>
      </c>
      <c r="B129" s="231"/>
      <c r="C129" s="231"/>
      <c r="D129" s="231"/>
      <c r="E129" s="231"/>
      <c r="F129" s="231"/>
      <c r="G129" s="231"/>
      <c r="H129" s="231"/>
      <c r="I129" s="231"/>
      <c r="J129" s="11"/>
      <c r="K129" s="269"/>
      <c r="L129" s="257"/>
    </row>
    <row r="130">
      <c r="A130" s="101">
        <v>2.0</v>
      </c>
      <c r="B130" s="208" t="s">
        <v>513</v>
      </c>
      <c r="C130" s="209" t="s">
        <v>158</v>
      </c>
      <c r="D130" s="86" t="s">
        <v>498</v>
      </c>
      <c r="E130" s="86">
        <v>2.0</v>
      </c>
      <c r="F130" s="280"/>
      <c r="G130" s="86">
        <f>sum(E130:F130)</f>
        <v>2</v>
      </c>
      <c r="H130" s="86">
        <v>4.0</v>
      </c>
      <c r="I130" s="280"/>
      <c r="J130" s="86">
        <f>sum(H130:I130)</f>
        <v>4</v>
      </c>
      <c r="K130" s="264" t="s">
        <v>507</v>
      </c>
      <c r="L130" s="257"/>
    </row>
    <row r="131">
      <c r="A131" s="271" t="s">
        <v>510</v>
      </c>
      <c r="B131" s="231"/>
      <c r="C131" s="11"/>
      <c r="D131" s="281"/>
      <c r="E131" s="281"/>
      <c r="F131" s="282">
        <f t="shared" ref="F131:J131" si="19">SUM(F128:F130)</f>
        <v>8</v>
      </c>
      <c r="G131" s="282">
        <f t="shared" si="19"/>
        <v>10</v>
      </c>
      <c r="H131" s="282">
        <f t="shared" si="19"/>
        <v>4</v>
      </c>
      <c r="I131" s="282">
        <f t="shared" si="19"/>
        <v>16</v>
      </c>
      <c r="J131" s="282">
        <f t="shared" si="19"/>
        <v>20</v>
      </c>
      <c r="K131" s="281"/>
      <c r="L131" s="257"/>
    </row>
    <row r="132">
      <c r="A132" s="284" t="s">
        <v>514</v>
      </c>
      <c r="B132" s="231"/>
      <c r="C132" s="231"/>
      <c r="D132" s="231"/>
      <c r="E132" s="231"/>
      <c r="F132" s="231"/>
      <c r="G132" s="231"/>
      <c r="H132" s="231"/>
      <c r="I132" s="231"/>
      <c r="J132" s="231"/>
      <c r="K132" s="231"/>
      <c r="L132" s="257"/>
    </row>
    <row r="133">
      <c r="A133" s="211">
        <v>3.0</v>
      </c>
      <c r="B133" s="208" t="s">
        <v>472</v>
      </c>
      <c r="C133" s="210" t="s">
        <v>473</v>
      </c>
      <c r="D133" s="86" t="s">
        <v>164</v>
      </c>
      <c r="E133" s="280"/>
      <c r="F133" s="86">
        <v>5.0</v>
      </c>
      <c r="G133" s="86">
        <f t="shared" ref="G133:G134" si="20">sum(E133:F133)</f>
        <v>5</v>
      </c>
      <c r="H133" s="280"/>
      <c r="I133" s="86">
        <f t="shared" ref="I133:I134" si="21">F133*2</f>
        <v>10</v>
      </c>
      <c r="J133" s="86">
        <f t="shared" ref="J133:J134" si="22">sum(H133:I133)</f>
        <v>10</v>
      </c>
      <c r="K133" s="264" t="s">
        <v>515</v>
      </c>
      <c r="L133" s="257"/>
    </row>
    <row r="134">
      <c r="A134" s="211">
        <v>4.0</v>
      </c>
      <c r="B134" s="86" t="s">
        <v>474</v>
      </c>
      <c r="C134" s="210" t="s">
        <v>475</v>
      </c>
      <c r="D134" s="86" t="s">
        <v>164</v>
      </c>
      <c r="E134" s="280"/>
      <c r="F134" s="86">
        <v>5.0</v>
      </c>
      <c r="G134" s="86">
        <f t="shared" si="20"/>
        <v>5</v>
      </c>
      <c r="H134" s="280"/>
      <c r="I134" s="86">
        <f t="shared" si="21"/>
        <v>10</v>
      </c>
      <c r="J134" s="86">
        <f t="shared" si="22"/>
        <v>10</v>
      </c>
      <c r="K134" s="264" t="s">
        <v>515</v>
      </c>
      <c r="L134" s="257"/>
    </row>
    <row r="135">
      <c r="A135" s="271" t="s">
        <v>510</v>
      </c>
      <c r="B135" s="231"/>
      <c r="C135" s="11"/>
      <c r="D135" s="281"/>
      <c r="E135" s="282">
        <f>sum(E128:E130)</f>
        <v>2</v>
      </c>
      <c r="F135" s="282">
        <f>SUM(F133:F134)+sum(F128:F130)</f>
        <v>18</v>
      </c>
      <c r="G135" s="282">
        <f>SUM(G133:G134)+sum(G128)</f>
        <v>18</v>
      </c>
      <c r="H135" s="282">
        <v>0.0</v>
      </c>
      <c r="I135" s="282">
        <f t="shared" ref="I135:J135" si="23">SUM(I133:I134)+sum(I128:I130)</f>
        <v>36</v>
      </c>
      <c r="J135" s="282">
        <f t="shared" si="23"/>
        <v>40</v>
      </c>
      <c r="K135" s="281"/>
      <c r="L135" s="257"/>
    </row>
    <row r="136">
      <c r="A136" s="257"/>
      <c r="B136" s="257"/>
      <c r="C136" s="285"/>
      <c r="D136" s="275"/>
      <c r="E136" s="275"/>
      <c r="F136" s="275"/>
      <c r="G136" s="275"/>
      <c r="H136" s="275"/>
      <c r="I136" s="275"/>
      <c r="J136" s="275"/>
      <c r="K136" s="257"/>
      <c r="L136" s="257"/>
    </row>
    <row r="137">
      <c r="A137" s="257"/>
      <c r="B137" s="286"/>
      <c r="C137" s="287" t="s">
        <v>516</v>
      </c>
      <c r="D137" s="9"/>
      <c r="E137" s="288" t="s">
        <v>491</v>
      </c>
      <c r="F137" s="11"/>
      <c r="G137" s="289" t="s">
        <v>517</v>
      </c>
      <c r="H137" s="288" t="s">
        <v>493</v>
      </c>
      <c r="I137" s="11"/>
      <c r="J137" s="289" t="s">
        <v>494</v>
      </c>
      <c r="K137" s="257"/>
      <c r="L137" s="257"/>
    </row>
    <row r="138">
      <c r="A138" s="257"/>
      <c r="B138" s="9"/>
      <c r="D138" s="9"/>
      <c r="E138" s="290" t="s">
        <v>495</v>
      </c>
      <c r="F138" s="290" t="s">
        <v>496</v>
      </c>
      <c r="G138" s="11"/>
      <c r="H138" s="290" t="s">
        <v>495</v>
      </c>
      <c r="I138" s="290" t="s">
        <v>496</v>
      </c>
      <c r="J138" s="11"/>
      <c r="K138" s="257"/>
      <c r="L138" s="257"/>
    </row>
    <row r="139">
      <c r="A139" s="257"/>
      <c r="B139" s="9"/>
      <c r="C139" s="231"/>
      <c r="D139" s="11"/>
      <c r="E139" s="290">
        <f t="shared" ref="E139:F139" si="24">E130+E112+E89+E76+E62+E47+E33+E17</f>
        <v>63</v>
      </c>
      <c r="F139" s="290">
        <f t="shared" si="24"/>
        <v>58</v>
      </c>
      <c r="G139" s="290" t="str">
        <f>G131+G112+G90+G76+G62+G47+G33+G17</f>
        <v>#ERROR!</v>
      </c>
      <c r="H139" s="290">
        <f t="shared" ref="H139:J139" si="25">H130+H112+H89+H76+H62+H47+H33+H17</f>
        <v>115</v>
      </c>
      <c r="I139" s="290">
        <f t="shared" si="25"/>
        <v>116</v>
      </c>
      <c r="J139" s="290">
        <f t="shared" si="25"/>
        <v>231</v>
      </c>
      <c r="K139" s="257"/>
      <c r="L139" s="257"/>
    </row>
    <row r="140">
      <c r="A140" s="257"/>
      <c r="B140" s="9"/>
      <c r="C140" s="275"/>
      <c r="D140" s="231"/>
      <c r="E140" s="231"/>
      <c r="F140" s="231"/>
      <c r="G140" s="231"/>
      <c r="H140" s="231"/>
      <c r="I140" s="231"/>
      <c r="J140" s="231"/>
      <c r="K140" s="257"/>
      <c r="L140" s="257"/>
    </row>
    <row r="141">
      <c r="A141" s="257"/>
      <c r="B141" s="9"/>
      <c r="C141" s="291" t="s">
        <v>518</v>
      </c>
      <c r="D141" s="9"/>
      <c r="E141" s="288" t="s">
        <v>519</v>
      </c>
      <c r="F141" s="11"/>
      <c r="G141" s="288" t="s">
        <v>520</v>
      </c>
      <c r="H141" s="11"/>
      <c r="I141" s="257"/>
      <c r="J141" s="257"/>
      <c r="K141" s="257"/>
      <c r="L141" s="257"/>
    </row>
    <row r="142">
      <c r="A142" s="292"/>
      <c r="B142" s="9"/>
      <c r="D142" s="9"/>
      <c r="E142" s="290" t="s">
        <v>495</v>
      </c>
      <c r="F142" s="290" t="s">
        <v>496</v>
      </c>
      <c r="G142" s="290" t="s">
        <v>495</v>
      </c>
      <c r="H142" s="290" t="s">
        <v>496</v>
      </c>
      <c r="I142" s="257"/>
      <c r="J142" s="257"/>
      <c r="K142" s="257"/>
      <c r="L142" s="257"/>
    </row>
    <row r="143">
      <c r="A143" s="292"/>
      <c r="B143" s="9"/>
      <c r="C143" s="231"/>
      <c r="D143" s="11"/>
      <c r="E143" s="293" t="str">
        <f>E139/G139</f>
        <v>#ERROR!</v>
      </c>
      <c r="F143" s="293" t="str">
        <f>F139/G139</f>
        <v>#ERROR!</v>
      </c>
      <c r="G143" s="293">
        <f>H139/J139</f>
        <v>0.4978354978</v>
      </c>
      <c r="H143" s="293">
        <f>I139/J139</f>
        <v>0.5021645022</v>
      </c>
      <c r="I143" s="257"/>
      <c r="J143" s="257"/>
      <c r="K143" s="257"/>
      <c r="L143" s="257"/>
    </row>
  </sheetData>
  <mergeCells count="109">
    <mergeCell ref="E51:F51"/>
    <mergeCell ref="H51:I51"/>
    <mergeCell ref="J51:J52"/>
    <mergeCell ref="A47:C47"/>
    <mergeCell ref="A50:B50"/>
    <mergeCell ref="A51:A52"/>
    <mergeCell ref="B51:B52"/>
    <mergeCell ref="C51:C52"/>
    <mergeCell ref="D51:D52"/>
    <mergeCell ref="G51:G52"/>
    <mergeCell ref="E66:F66"/>
    <mergeCell ref="H66:I66"/>
    <mergeCell ref="J66:J67"/>
    <mergeCell ref="A62:C62"/>
    <mergeCell ref="A65:B65"/>
    <mergeCell ref="A66:A67"/>
    <mergeCell ref="B66:B67"/>
    <mergeCell ref="C66:C67"/>
    <mergeCell ref="D66:D67"/>
    <mergeCell ref="G66:G67"/>
    <mergeCell ref="A76:C76"/>
    <mergeCell ref="A79:B79"/>
    <mergeCell ref="A80:A81"/>
    <mergeCell ref="B80:B81"/>
    <mergeCell ref="C80:C81"/>
    <mergeCell ref="D80:D81"/>
    <mergeCell ref="G80:G81"/>
    <mergeCell ref="E80:F80"/>
    <mergeCell ref="H80:I80"/>
    <mergeCell ref="J80:J81"/>
    <mergeCell ref="K80:K81"/>
    <mergeCell ref="A85:J85"/>
    <mergeCell ref="A90:C90"/>
    <mergeCell ref="A91:J91"/>
    <mergeCell ref="G105:G106"/>
    <mergeCell ref="H105:I105"/>
    <mergeCell ref="K105:K106"/>
    <mergeCell ref="A96:C96"/>
    <mergeCell ref="A97:J97"/>
    <mergeCell ref="A102:C102"/>
    <mergeCell ref="A104:B104"/>
    <mergeCell ref="A105:A106"/>
    <mergeCell ref="B105:B106"/>
    <mergeCell ref="C105:C106"/>
    <mergeCell ref="J105:J106"/>
    <mergeCell ref="A122:C122"/>
    <mergeCell ref="A125:B125"/>
    <mergeCell ref="A126:A127"/>
    <mergeCell ref="B126:B127"/>
    <mergeCell ref="C126:C127"/>
    <mergeCell ref="D126:D127"/>
    <mergeCell ref="G126:G127"/>
    <mergeCell ref="E126:F126"/>
    <mergeCell ref="H126:I126"/>
    <mergeCell ref="J126:J127"/>
    <mergeCell ref="K126:K127"/>
    <mergeCell ref="A129:J129"/>
    <mergeCell ref="A131:C131"/>
    <mergeCell ref="A132:K132"/>
    <mergeCell ref="C137:D139"/>
    <mergeCell ref="C141:D143"/>
    <mergeCell ref="E141:F141"/>
    <mergeCell ref="G141:H141"/>
    <mergeCell ref="A135:C135"/>
    <mergeCell ref="B137:B143"/>
    <mergeCell ref="E137:F137"/>
    <mergeCell ref="G137:G138"/>
    <mergeCell ref="H137:I137"/>
    <mergeCell ref="J137:J138"/>
    <mergeCell ref="C140:J140"/>
    <mergeCell ref="G7:G8"/>
    <mergeCell ref="H7:I7"/>
    <mergeCell ref="A1:J1"/>
    <mergeCell ref="A2:J2"/>
    <mergeCell ref="A3:J3"/>
    <mergeCell ref="A6:B6"/>
    <mergeCell ref="A7:A8"/>
    <mergeCell ref="B7:B8"/>
    <mergeCell ref="C7:C8"/>
    <mergeCell ref="J7:J8"/>
    <mergeCell ref="D21:D22"/>
    <mergeCell ref="E21:F21"/>
    <mergeCell ref="G21:G22"/>
    <mergeCell ref="H21:I21"/>
    <mergeCell ref="J21:J22"/>
    <mergeCell ref="D7:D8"/>
    <mergeCell ref="E7:F7"/>
    <mergeCell ref="A17:C17"/>
    <mergeCell ref="A20:B20"/>
    <mergeCell ref="A21:A22"/>
    <mergeCell ref="B21:B22"/>
    <mergeCell ref="C21:C22"/>
    <mergeCell ref="E37:F37"/>
    <mergeCell ref="H37:I37"/>
    <mergeCell ref="J37:J38"/>
    <mergeCell ref="A33:C33"/>
    <mergeCell ref="A36:B36"/>
    <mergeCell ref="A37:A38"/>
    <mergeCell ref="B37:B38"/>
    <mergeCell ref="C37:C38"/>
    <mergeCell ref="D37:D38"/>
    <mergeCell ref="G37:G38"/>
    <mergeCell ref="D105:D106"/>
    <mergeCell ref="E105:F105"/>
    <mergeCell ref="A108:J108"/>
    <mergeCell ref="A112:C112"/>
    <mergeCell ref="A113:J113"/>
    <mergeCell ref="A117:C117"/>
    <mergeCell ref="A118:J118"/>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
    <col customWidth="1" min="2" max="2" width="36.0"/>
    <col customWidth="1" min="3" max="3" width="31.5"/>
    <col customWidth="1" min="4" max="4" width="13.38"/>
  </cols>
  <sheetData>
    <row r="1">
      <c r="A1" s="294"/>
      <c r="B1" s="295" t="s">
        <v>521</v>
      </c>
      <c r="C1" s="296"/>
      <c r="D1" s="297"/>
      <c r="E1" s="297"/>
      <c r="F1" s="297"/>
      <c r="G1" s="297"/>
      <c r="H1" s="296"/>
      <c r="I1" s="296"/>
      <c r="J1" s="296"/>
    </row>
    <row r="2">
      <c r="A2" s="294"/>
      <c r="B2" s="298" t="s">
        <v>522</v>
      </c>
      <c r="C2" s="299" t="s">
        <v>373</v>
      </c>
      <c r="D2" s="297"/>
      <c r="E2" s="297"/>
      <c r="F2" s="297"/>
      <c r="G2" s="297"/>
      <c r="H2" s="296"/>
      <c r="I2" s="296"/>
      <c r="J2" s="296"/>
    </row>
    <row r="3">
      <c r="A3" s="300"/>
      <c r="B3" s="301" t="s">
        <v>523</v>
      </c>
      <c r="D3" s="17"/>
      <c r="E3" s="17"/>
      <c r="F3" s="17"/>
      <c r="G3" s="17"/>
    </row>
    <row r="4">
      <c r="A4" s="302"/>
      <c r="B4" s="303"/>
      <c r="D4" s="17"/>
      <c r="E4" s="17"/>
      <c r="F4" s="17"/>
      <c r="G4" s="17"/>
    </row>
    <row r="5">
      <c r="A5" s="304"/>
      <c r="B5" s="305" t="s">
        <v>524</v>
      </c>
      <c r="D5" s="17"/>
      <c r="E5" s="17"/>
      <c r="F5" s="17"/>
      <c r="G5" s="17"/>
    </row>
    <row r="6">
      <c r="A6" s="306"/>
      <c r="B6" s="307"/>
      <c r="D6" s="17"/>
      <c r="E6" s="17"/>
      <c r="F6" s="17"/>
      <c r="G6" s="17"/>
    </row>
    <row r="7">
      <c r="A7" s="308" t="s">
        <v>0</v>
      </c>
      <c r="B7" s="308" t="s">
        <v>525</v>
      </c>
      <c r="C7" s="308" t="s">
        <v>526</v>
      </c>
      <c r="D7" s="309" t="s">
        <v>527</v>
      </c>
      <c r="E7" s="54"/>
      <c r="F7" s="54"/>
      <c r="G7" s="55"/>
      <c r="H7" s="309" t="s">
        <v>528</v>
      </c>
      <c r="I7" s="55"/>
      <c r="J7" s="310"/>
    </row>
    <row r="8">
      <c r="A8" s="56"/>
      <c r="B8" s="56"/>
      <c r="C8" s="56"/>
      <c r="D8" s="311" t="s">
        <v>529</v>
      </c>
      <c r="E8" s="311" t="s">
        <v>530</v>
      </c>
      <c r="F8" s="311" t="s">
        <v>531</v>
      </c>
      <c r="G8" s="311" t="s">
        <v>532</v>
      </c>
      <c r="H8" s="311" t="s">
        <v>533</v>
      </c>
      <c r="I8" s="311" t="s">
        <v>534</v>
      </c>
      <c r="J8" s="312"/>
    </row>
    <row r="9">
      <c r="A9" s="313">
        <v>1.0</v>
      </c>
      <c r="B9" s="314" t="s">
        <v>535</v>
      </c>
      <c r="C9" s="311" t="s">
        <v>536</v>
      </c>
      <c r="D9" s="311">
        <f>D10+D13</f>
        <v>20</v>
      </c>
      <c r="E9" s="311">
        <f>(0.6*3)+0.4+0.4+3</f>
        <v>5.6</v>
      </c>
      <c r="F9" s="311">
        <f>F10+F13</f>
        <v>4</v>
      </c>
      <c r="G9" s="315">
        <v>0.0</v>
      </c>
      <c r="H9" s="316">
        <f>D9+E9+F9</f>
        <v>29.6</v>
      </c>
      <c r="I9" s="317">
        <f t="shared" ref="I9:I410" si="1">H9/(G9+H9)*100</f>
        <v>100</v>
      </c>
      <c r="J9" s="318"/>
    </row>
    <row r="10">
      <c r="A10" s="129"/>
      <c r="B10" s="129"/>
      <c r="C10" s="311" t="s">
        <v>537</v>
      </c>
      <c r="D10" s="311">
        <v>10.0</v>
      </c>
      <c r="E10" s="311"/>
      <c r="F10" s="311">
        <v>2.0</v>
      </c>
      <c r="G10" s="319"/>
      <c r="H10" s="316"/>
      <c r="I10" s="317" t="str">
        <f t="shared" si="1"/>
        <v>#DIV/0!</v>
      </c>
      <c r="J10" s="318"/>
    </row>
    <row r="11">
      <c r="A11" s="129"/>
      <c r="B11" s="129"/>
      <c r="C11" s="320" t="s">
        <v>411</v>
      </c>
      <c r="D11" s="321">
        <v>4.0</v>
      </c>
      <c r="E11" s="322"/>
      <c r="F11" s="322"/>
      <c r="G11" s="323"/>
      <c r="H11" s="322"/>
      <c r="I11" s="317" t="str">
        <f t="shared" si="1"/>
        <v>#DIV/0!</v>
      </c>
      <c r="J11" s="318"/>
    </row>
    <row r="12">
      <c r="A12" s="129"/>
      <c r="B12" s="129"/>
      <c r="C12" s="320" t="s">
        <v>143</v>
      </c>
      <c r="D12" s="321">
        <v>6.0</v>
      </c>
      <c r="E12" s="322"/>
      <c r="F12" s="322"/>
      <c r="G12" s="323"/>
      <c r="H12" s="322"/>
      <c r="I12" s="317" t="str">
        <f t="shared" si="1"/>
        <v>#DIV/0!</v>
      </c>
      <c r="J12" s="318"/>
    </row>
    <row r="13">
      <c r="A13" s="129"/>
      <c r="B13" s="129"/>
      <c r="C13" s="311" t="s">
        <v>538</v>
      </c>
      <c r="D13" s="311">
        <v>10.0</v>
      </c>
      <c r="E13" s="311"/>
      <c r="F13" s="311">
        <v>2.0</v>
      </c>
      <c r="G13" s="319"/>
      <c r="H13" s="316"/>
      <c r="I13" s="317" t="str">
        <f t="shared" si="1"/>
        <v>#DIV/0!</v>
      </c>
      <c r="J13" s="318"/>
    </row>
    <row r="14">
      <c r="A14" s="129"/>
      <c r="B14" s="129"/>
      <c r="C14" s="324" t="s">
        <v>128</v>
      </c>
      <c r="D14" s="321">
        <v>4.0</v>
      </c>
      <c r="E14" s="322"/>
      <c r="F14" s="322"/>
      <c r="G14" s="323"/>
      <c r="H14" s="322"/>
      <c r="I14" s="317" t="str">
        <f t="shared" si="1"/>
        <v>#DIV/0!</v>
      </c>
      <c r="J14" s="318"/>
    </row>
    <row r="15">
      <c r="A15" s="56"/>
      <c r="B15" s="56"/>
      <c r="C15" s="324" t="s">
        <v>130</v>
      </c>
      <c r="D15" s="321">
        <v>6.0</v>
      </c>
      <c r="E15" s="322"/>
      <c r="F15" s="322"/>
      <c r="G15" s="323"/>
      <c r="H15" s="322"/>
      <c r="I15" s="317" t="str">
        <f t="shared" si="1"/>
        <v>#DIV/0!</v>
      </c>
      <c r="J15" s="318"/>
    </row>
    <row r="16">
      <c r="A16" s="325">
        <v>1.0</v>
      </c>
      <c r="B16" s="326" t="s">
        <v>535</v>
      </c>
      <c r="C16" s="311" t="s">
        <v>536</v>
      </c>
      <c r="D16" s="327">
        <f t="shared" ref="D16:D17" si="2">SUM(D17)</f>
        <v>6</v>
      </c>
      <c r="E16" s="327"/>
      <c r="F16" s="327"/>
      <c r="G16" s="327"/>
      <c r="H16" s="328"/>
      <c r="I16" s="317" t="str">
        <f t="shared" si="1"/>
        <v>#DIV/0!</v>
      </c>
    </row>
    <row r="17">
      <c r="A17" s="129"/>
      <c r="B17" s="129"/>
      <c r="C17" s="311" t="s">
        <v>537</v>
      </c>
      <c r="D17" s="327">
        <f t="shared" si="2"/>
        <v>6</v>
      </c>
      <c r="E17" s="327"/>
      <c r="F17" s="327"/>
      <c r="G17" s="327"/>
      <c r="H17" s="328"/>
      <c r="I17" s="317" t="str">
        <f t="shared" si="1"/>
        <v>#DIV/0!</v>
      </c>
    </row>
    <row r="18">
      <c r="A18" s="56"/>
      <c r="B18" s="56"/>
      <c r="C18" s="329" t="s">
        <v>153</v>
      </c>
      <c r="D18" s="330">
        <v>6.0</v>
      </c>
      <c r="E18" s="323"/>
      <c r="F18" s="323"/>
      <c r="G18" s="323"/>
      <c r="H18" s="331"/>
      <c r="I18" s="317" t="str">
        <f t="shared" si="1"/>
        <v>#DIV/0!</v>
      </c>
    </row>
    <row r="19">
      <c r="A19" s="325">
        <v>2.0</v>
      </c>
      <c r="B19" s="326" t="s">
        <v>539</v>
      </c>
      <c r="C19" s="311" t="s">
        <v>536</v>
      </c>
      <c r="D19" s="327">
        <f>SUM(D20,D22)</f>
        <v>18</v>
      </c>
      <c r="E19" s="327"/>
      <c r="F19" s="327"/>
      <c r="G19" s="327"/>
      <c r="H19" s="328"/>
      <c r="I19" s="317" t="str">
        <f t="shared" si="1"/>
        <v>#DIV/0!</v>
      </c>
    </row>
    <row r="20">
      <c r="A20" s="129"/>
      <c r="B20" s="129"/>
      <c r="C20" s="311" t="s">
        <v>537</v>
      </c>
      <c r="D20" s="327">
        <f>SUM(D21)</f>
        <v>6</v>
      </c>
      <c r="E20" s="327"/>
      <c r="F20" s="327"/>
      <c r="G20" s="327"/>
      <c r="H20" s="328"/>
      <c r="I20" s="317" t="str">
        <f t="shared" si="1"/>
        <v>#DIV/0!</v>
      </c>
    </row>
    <row r="21">
      <c r="A21" s="129"/>
      <c r="B21" s="129"/>
      <c r="C21" s="329" t="s">
        <v>111</v>
      </c>
      <c r="D21" s="330">
        <v>6.0</v>
      </c>
      <c r="E21" s="323"/>
      <c r="F21" s="323"/>
      <c r="G21" s="323"/>
      <c r="H21" s="331"/>
      <c r="I21" s="317" t="str">
        <f t="shared" si="1"/>
        <v>#DIV/0!</v>
      </c>
    </row>
    <row r="22">
      <c r="A22" s="129"/>
      <c r="B22" s="129"/>
      <c r="C22" s="311" t="s">
        <v>538</v>
      </c>
      <c r="D22" s="327">
        <f>SUM(D23:D25)</f>
        <v>12</v>
      </c>
      <c r="E22" s="327"/>
      <c r="F22" s="327"/>
      <c r="G22" s="327"/>
      <c r="H22" s="328"/>
      <c r="I22" s="317" t="str">
        <f t="shared" si="1"/>
        <v>#DIV/0!</v>
      </c>
    </row>
    <row r="23">
      <c r="A23" s="129"/>
      <c r="B23" s="129"/>
      <c r="C23" s="329" t="s">
        <v>84</v>
      </c>
      <c r="D23" s="330">
        <v>4.0</v>
      </c>
      <c r="E23" s="323"/>
      <c r="F23" s="323"/>
      <c r="G23" s="323"/>
      <c r="H23" s="331"/>
      <c r="I23" s="317" t="str">
        <f t="shared" si="1"/>
        <v>#DIV/0!</v>
      </c>
    </row>
    <row r="24">
      <c r="A24" s="129"/>
      <c r="B24" s="129"/>
      <c r="C24" s="329" t="s">
        <v>158</v>
      </c>
      <c r="D24" s="330">
        <v>4.0</v>
      </c>
      <c r="E24" s="323"/>
      <c r="F24" s="323"/>
      <c r="G24" s="323"/>
      <c r="H24" s="331"/>
      <c r="I24" s="317" t="str">
        <f t="shared" si="1"/>
        <v>#DIV/0!</v>
      </c>
    </row>
    <row r="25">
      <c r="A25" s="56"/>
      <c r="B25" s="56"/>
      <c r="C25" s="329" t="s">
        <v>120</v>
      </c>
      <c r="D25" s="330">
        <v>4.0</v>
      </c>
      <c r="E25" s="323"/>
      <c r="F25" s="323"/>
      <c r="G25" s="323"/>
      <c r="H25" s="331"/>
      <c r="I25" s="317" t="str">
        <f t="shared" si="1"/>
        <v>#DIV/0!</v>
      </c>
    </row>
    <row r="26">
      <c r="A26" s="325">
        <v>3.0</v>
      </c>
      <c r="B26" s="326" t="s">
        <v>540</v>
      </c>
      <c r="C26" s="311" t="s">
        <v>536</v>
      </c>
      <c r="D26" s="327">
        <f>SUM(D27,D31)</f>
        <v>22</v>
      </c>
      <c r="E26" s="327"/>
      <c r="F26" s="327"/>
      <c r="G26" s="327"/>
      <c r="H26" s="328"/>
      <c r="I26" s="317" t="str">
        <f t="shared" si="1"/>
        <v>#DIV/0!</v>
      </c>
    </row>
    <row r="27">
      <c r="A27" s="129"/>
      <c r="B27" s="129"/>
      <c r="C27" s="311" t="s">
        <v>537</v>
      </c>
      <c r="D27" s="327">
        <f>SUM(D28:D30)</f>
        <v>14</v>
      </c>
      <c r="E27" s="327"/>
      <c r="F27" s="327"/>
      <c r="G27" s="327"/>
      <c r="H27" s="328"/>
      <c r="I27" s="317" t="str">
        <f t="shared" si="1"/>
        <v>#DIV/0!</v>
      </c>
    </row>
    <row r="28">
      <c r="A28" s="129"/>
      <c r="B28" s="129"/>
      <c r="C28" s="329" t="s">
        <v>79</v>
      </c>
      <c r="D28" s="330">
        <v>4.0</v>
      </c>
      <c r="E28" s="323"/>
      <c r="F28" s="323"/>
      <c r="G28" s="323"/>
      <c r="H28" s="331"/>
      <c r="I28" s="317" t="str">
        <f t="shared" si="1"/>
        <v>#DIV/0!</v>
      </c>
    </row>
    <row r="29">
      <c r="A29" s="129"/>
      <c r="B29" s="129"/>
      <c r="C29" s="329" t="s">
        <v>139</v>
      </c>
      <c r="D29" s="330">
        <v>4.0</v>
      </c>
      <c r="E29" s="323"/>
      <c r="F29" s="323"/>
      <c r="G29" s="323"/>
      <c r="H29" s="331"/>
      <c r="I29" s="317" t="str">
        <f t="shared" si="1"/>
        <v>#DIV/0!</v>
      </c>
    </row>
    <row r="30">
      <c r="A30" s="129"/>
      <c r="B30" s="129"/>
      <c r="C30" s="329" t="s">
        <v>143</v>
      </c>
      <c r="D30" s="330">
        <v>6.0</v>
      </c>
      <c r="E30" s="323"/>
      <c r="F30" s="323"/>
      <c r="G30" s="323"/>
      <c r="H30" s="331"/>
      <c r="I30" s="317" t="str">
        <f t="shared" si="1"/>
        <v>#DIV/0!</v>
      </c>
    </row>
    <row r="31">
      <c r="A31" s="129"/>
      <c r="B31" s="129"/>
      <c r="C31" s="311" t="s">
        <v>538</v>
      </c>
      <c r="D31" s="327">
        <f>SUM(D32:D33)</f>
        <v>8</v>
      </c>
      <c r="E31" s="327"/>
      <c r="F31" s="327"/>
      <c r="G31" s="327"/>
      <c r="H31" s="328"/>
      <c r="I31" s="317" t="str">
        <f t="shared" si="1"/>
        <v>#DIV/0!</v>
      </c>
    </row>
    <row r="32">
      <c r="A32" s="129"/>
      <c r="B32" s="129"/>
      <c r="C32" s="329" t="s">
        <v>541</v>
      </c>
      <c r="D32" s="330">
        <v>6.0</v>
      </c>
      <c r="E32" s="323"/>
      <c r="F32" s="323"/>
      <c r="G32" s="323"/>
      <c r="H32" s="331"/>
      <c r="I32" s="317" t="str">
        <f t="shared" si="1"/>
        <v>#DIV/0!</v>
      </c>
    </row>
    <row r="33">
      <c r="A33" s="56"/>
      <c r="B33" s="56"/>
      <c r="C33" s="329" t="s">
        <v>88</v>
      </c>
      <c r="D33" s="330">
        <v>2.0</v>
      </c>
      <c r="E33" s="323"/>
      <c r="F33" s="323"/>
      <c r="G33" s="323"/>
      <c r="H33" s="331"/>
      <c r="I33" s="317" t="str">
        <f t="shared" si="1"/>
        <v>#DIV/0!</v>
      </c>
    </row>
    <row r="34">
      <c r="A34" s="325">
        <v>4.0</v>
      </c>
      <c r="B34" s="332" t="s">
        <v>542</v>
      </c>
      <c r="C34" s="311" t="s">
        <v>536</v>
      </c>
      <c r="D34" s="327">
        <f>SUM(D35,D37)</f>
        <v>10</v>
      </c>
      <c r="E34" s="323"/>
      <c r="F34" s="323"/>
      <c r="G34" s="323"/>
      <c r="H34" s="331"/>
      <c r="I34" s="317" t="str">
        <f t="shared" si="1"/>
        <v>#DIV/0!</v>
      </c>
    </row>
    <row r="35">
      <c r="A35" s="129"/>
      <c r="B35" s="129"/>
      <c r="C35" s="311" t="s">
        <v>537</v>
      </c>
      <c r="D35" s="327">
        <f>SUM(D36)</f>
        <v>6</v>
      </c>
      <c r="E35" s="323"/>
      <c r="F35" s="323"/>
      <c r="G35" s="323"/>
      <c r="H35" s="331"/>
      <c r="I35" s="317" t="str">
        <f t="shared" si="1"/>
        <v>#DIV/0!</v>
      </c>
    </row>
    <row r="36">
      <c r="A36" s="129"/>
      <c r="B36" s="129"/>
      <c r="C36" s="333" t="s">
        <v>101</v>
      </c>
      <c r="D36" s="330">
        <v>6.0</v>
      </c>
      <c r="E36" s="323"/>
      <c r="F36" s="323"/>
      <c r="G36" s="323"/>
      <c r="H36" s="331"/>
      <c r="I36" s="317" t="str">
        <f t="shared" si="1"/>
        <v>#DIV/0!</v>
      </c>
    </row>
    <row r="37">
      <c r="A37" s="129"/>
      <c r="B37" s="129"/>
      <c r="C37" s="311" t="s">
        <v>538</v>
      </c>
      <c r="D37" s="327">
        <f>SUM(D38)</f>
        <v>4</v>
      </c>
      <c r="E37" s="323"/>
      <c r="F37" s="323"/>
      <c r="G37" s="323"/>
      <c r="H37" s="331"/>
      <c r="I37" s="317" t="str">
        <f t="shared" si="1"/>
        <v>#DIV/0!</v>
      </c>
    </row>
    <row r="38">
      <c r="A38" s="56"/>
      <c r="B38" s="56"/>
      <c r="C38" s="333" t="s">
        <v>158</v>
      </c>
      <c r="D38" s="330">
        <v>4.0</v>
      </c>
      <c r="E38" s="323"/>
      <c r="F38" s="323"/>
      <c r="G38" s="323"/>
      <c r="H38" s="331"/>
      <c r="I38" s="317" t="str">
        <f t="shared" si="1"/>
        <v>#DIV/0!</v>
      </c>
    </row>
    <row r="39">
      <c r="A39" s="325">
        <v>5.0</v>
      </c>
      <c r="B39" s="332" t="s">
        <v>543</v>
      </c>
      <c r="C39" s="311" t="s">
        <v>536</v>
      </c>
      <c r="D39" s="327">
        <f t="shared" ref="D39:D40" si="3">SUM(D40)</f>
        <v>4</v>
      </c>
      <c r="E39" s="323"/>
      <c r="F39" s="323"/>
      <c r="G39" s="323"/>
      <c r="H39" s="331"/>
      <c r="I39" s="317" t="str">
        <f t="shared" si="1"/>
        <v>#DIV/0!</v>
      </c>
    </row>
    <row r="40">
      <c r="A40" s="129"/>
      <c r="B40" s="129"/>
      <c r="C40" s="311" t="s">
        <v>538</v>
      </c>
      <c r="D40" s="327">
        <f t="shared" si="3"/>
        <v>4</v>
      </c>
      <c r="E40" s="323"/>
      <c r="F40" s="323"/>
      <c r="G40" s="323"/>
      <c r="H40" s="331"/>
      <c r="I40" s="317" t="str">
        <f t="shared" si="1"/>
        <v>#DIV/0!</v>
      </c>
    </row>
    <row r="41">
      <c r="A41" s="56"/>
      <c r="B41" s="56"/>
      <c r="C41" s="333" t="s">
        <v>124</v>
      </c>
      <c r="D41" s="330">
        <v>4.0</v>
      </c>
      <c r="E41" s="323"/>
      <c r="F41" s="323"/>
      <c r="G41" s="323"/>
      <c r="H41" s="331"/>
      <c r="I41" s="317" t="str">
        <f t="shared" si="1"/>
        <v>#DIV/0!</v>
      </c>
    </row>
    <row r="42">
      <c r="A42" s="325">
        <v>6.0</v>
      </c>
      <c r="B42" s="332" t="s">
        <v>544</v>
      </c>
      <c r="C42" s="311" t="s">
        <v>536</v>
      </c>
      <c r="D42" s="327">
        <f>SUM(D43,D46)</f>
        <v>22</v>
      </c>
      <c r="E42" s="323"/>
      <c r="F42" s="323"/>
      <c r="G42" s="323"/>
      <c r="H42" s="331"/>
      <c r="I42" s="317" t="str">
        <f t="shared" si="1"/>
        <v>#DIV/0!</v>
      </c>
    </row>
    <row r="43">
      <c r="A43" s="129"/>
      <c r="B43" s="129"/>
      <c r="C43" s="311" t="s">
        <v>537</v>
      </c>
      <c r="D43" s="327">
        <f>SUM(D44:D45)</f>
        <v>12</v>
      </c>
      <c r="E43" s="323"/>
      <c r="F43" s="323"/>
      <c r="G43" s="323"/>
      <c r="H43" s="331"/>
      <c r="I43" s="317" t="str">
        <f t="shared" si="1"/>
        <v>#DIV/0!</v>
      </c>
    </row>
    <row r="44">
      <c r="A44" s="129"/>
      <c r="B44" s="129"/>
      <c r="C44" s="333" t="s">
        <v>77</v>
      </c>
      <c r="D44" s="330">
        <v>8.0</v>
      </c>
      <c r="E44" s="323"/>
      <c r="F44" s="323"/>
      <c r="G44" s="323"/>
      <c r="H44" s="331"/>
      <c r="I44" s="317" t="str">
        <f t="shared" si="1"/>
        <v>#DIV/0!</v>
      </c>
    </row>
    <row r="45">
      <c r="A45" s="129"/>
      <c r="B45" s="129"/>
      <c r="C45" s="329" t="s">
        <v>139</v>
      </c>
      <c r="D45" s="330">
        <v>4.0</v>
      </c>
      <c r="E45" s="323"/>
      <c r="F45" s="323"/>
      <c r="G45" s="323"/>
      <c r="H45" s="331"/>
      <c r="I45" s="317" t="str">
        <f t="shared" si="1"/>
        <v>#DIV/0!</v>
      </c>
    </row>
    <row r="46">
      <c r="A46" s="129"/>
      <c r="B46" s="129"/>
      <c r="C46" s="311" t="s">
        <v>538</v>
      </c>
      <c r="D46" s="327">
        <f>SUM(D47:D48)</f>
        <v>10</v>
      </c>
      <c r="E46" s="323"/>
      <c r="F46" s="323"/>
      <c r="G46" s="323"/>
      <c r="H46" s="331"/>
      <c r="I46" s="317" t="str">
        <f t="shared" si="1"/>
        <v>#DIV/0!</v>
      </c>
    </row>
    <row r="47">
      <c r="A47" s="129"/>
      <c r="B47" s="129"/>
      <c r="C47" s="333" t="s">
        <v>86</v>
      </c>
      <c r="D47" s="330">
        <v>6.0</v>
      </c>
      <c r="E47" s="323"/>
      <c r="F47" s="323"/>
      <c r="G47" s="323"/>
      <c r="H47" s="331"/>
      <c r="I47" s="317" t="str">
        <f t="shared" si="1"/>
        <v>#DIV/0!</v>
      </c>
    </row>
    <row r="48">
      <c r="A48" s="56"/>
      <c r="B48" s="56"/>
      <c r="C48" s="333" t="s">
        <v>158</v>
      </c>
      <c r="D48" s="330">
        <v>4.0</v>
      </c>
      <c r="E48" s="323"/>
      <c r="F48" s="323"/>
      <c r="G48" s="323"/>
      <c r="H48" s="331"/>
      <c r="I48" s="317" t="str">
        <f t="shared" si="1"/>
        <v>#DIV/0!</v>
      </c>
    </row>
    <row r="49">
      <c r="A49" s="325">
        <v>7.0</v>
      </c>
      <c r="B49" s="332" t="s">
        <v>545</v>
      </c>
      <c r="C49" s="311" t="s">
        <v>536</v>
      </c>
      <c r="D49" s="327">
        <f>SUM(D50,D53)</f>
        <v>16</v>
      </c>
      <c r="E49" s="323"/>
      <c r="F49" s="323"/>
      <c r="G49" s="323"/>
      <c r="H49" s="331"/>
      <c r="I49" s="317" t="str">
        <f t="shared" si="1"/>
        <v>#DIV/0!</v>
      </c>
    </row>
    <row r="50">
      <c r="A50" s="129"/>
      <c r="B50" s="129"/>
      <c r="C50" s="311" t="s">
        <v>537</v>
      </c>
      <c r="D50" s="327">
        <f>SUM(D51:D52)</f>
        <v>8</v>
      </c>
      <c r="E50" s="323"/>
      <c r="F50" s="323"/>
      <c r="G50" s="323"/>
      <c r="H50" s="331"/>
      <c r="I50" s="317" t="str">
        <f t="shared" si="1"/>
        <v>#DIV/0!</v>
      </c>
    </row>
    <row r="51">
      <c r="A51" s="129"/>
      <c r="B51" s="129"/>
      <c r="C51" s="333" t="s">
        <v>65</v>
      </c>
      <c r="D51" s="330">
        <v>4.0</v>
      </c>
      <c r="E51" s="323"/>
      <c r="F51" s="323"/>
      <c r="G51" s="323"/>
      <c r="H51" s="331"/>
      <c r="I51" s="317" t="str">
        <f t="shared" si="1"/>
        <v>#DIV/0!</v>
      </c>
    </row>
    <row r="52">
      <c r="A52" s="129"/>
      <c r="B52" s="129"/>
      <c r="C52" s="333" t="s">
        <v>101</v>
      </c>
      <c r="D52" s="330">
        <v>4.0</v>
      </c>
      <c r="E52" s="323"/>
      <c r="F52" s="323"/>
      <c r="G52" s="323"/>
      <c r="H52" s="331"/>
      <c r="I52" s="317" t="str">
        <f t="shared" si="1"/>
        <v>#DIV/0!</v>
      </c>
    </row>
    <row r="53">
      <c r="A53" s="129"/>
      <c r="B53" s="129"/>
      <c r="C53" s="311" t="s">
        <v>538</v>
      </c>
      <c r="D53" s="327">
        <f>SUM(D54)</f>
        <v>8</v>
      </c>
      <c r="E53" s="323"/>
      <c r="F53" s="323"/>
      <c r="G53" s="323"/>
      <c r="H53" s="331"/>
      <c r="I53" s="317" t="str">
        <f t="shared" si="1"/>
        <v>#DIV/0!</v>
      </c>
    </row>
    <row r="54">
      <c r="A54" s="56"/>
      <c r="B54" s="56"/>
      <c r="C54" s="333" t="s">
        <v>79</v>
      </c>
      <c r="D54" s="330">
        <v>8.0</v>
      </c>
      <c r="E54" s="323"/>
      <c r="F54" s="323"/>
      <c r="G54" s="323"/>
      <c r="H54" s="331"/>
      <c r="I54" s="317" t="str">
        <f t="shared" si="1"/>
        <v>#DIV/0!</v>
      </c>
    </row>
    <row r="55">
      <c r="A55" s="325">
        <v>8.0</v>
      </c>
      <c r="B55" s="332" t="s">
        <v>546</v>
      </c>
      <c r="C55" s="311" t="s">
        <v>536</v>
      </c>
      <c r="D55" s="327">
        <f>SUM(D56)</f>
        <v>12</v>
      </c>
      <c r="E55" s="323"/>
      <c r="F55" s="323"/>
      <c r="G55" s="323"/>
      <c r="H55" s="331"/>
      <c r="I55" s="317" t="str">
        <f t="shared" si="1"/>
        <v>#DIV/0!</v>
      </c>
    </row>
    <row r="56">
      <c r="A56" s="129"/>
      <c r="B56" s="129"/>
      <c r="C56" s="311" t="s">
        <v>537</v>
      </c>
      <c r="D56" s="327">
        <f>SUM(D57:D58)</f>
        <v>12</v>
      </c>
      <c r="E56" s="323"/>
      <c r="F56" s="323"/>
      <c r="G56" s="323"/>
      <c r="H56" s="331"/>
      <c r="I56" s="317" t="str">
        <f t="shared" si="1"/>
        <v>#DIV/0!</v>
      </c>
    </row>
    <row r="57">
      <c r="A57" s="129"/>
      <c r="B57" s="129"/>
      <c r="C57" s="333" t="s">
        <v>105</v>
      </c>
      <c r="D57" s="330">
        <v>6.0</v>
      </c>
      <c r="E57" s="323"/>
      <c r="F57" s="323"/>
      <c r="G57" s="323"/>
      <c r="H57" s="331"/>
      <c r="I57" s="317" t="str">
        <f t="shared" si="1"/>
        <v>#DIV/0!</v>
      </c>
    </row>
    <row r="58">
      <c r="A58" s="56"/>
      <c r="B58" s="56"/>
      <c r="C58" s="333" t="s">
        <v>61</v>
      </c>
      <c r="D58" s="330">
        <v>6.0</v>
      </c>
      <c r="E58" s="323"/>
      <c r="F58" s="323"/>
      <c r="G58" s="323"/>
      <c r="H58" s="331"/>
      <c r="I58" s="317" t="str">
        <f t="shared" si="1"/>
        <v>#DIV/0!</v>
      </c>
    </row>
    <row r="59">
      <c r="A59" s="325">
        <v>9.0</v>
      </c>
      <c r="B59" s="332" t="s">
        <v>547</v>
      </c>
      <c r="C59" s="311" t="s">
        <v>536</v>
      </c>
      <c r="D59" s="327">
        <f>SUM(D60)</f>
        <v>18</v>
      </c>
      <c r="E59" s="323"/>
      <c r="F59" s="323"/>
      <c r="G59" s="323"/>
      <c r="H59" s="331"/>
      <c r="I59" s="317" t="str">
        <f t="shared" si="1"/>
        <v>#DIV/0!</v>
      </c>
    </row>
    <row r="60">
      <c r="A60" s="129"/>
      <c r="B60" s="129"/>
      <c r="C60" s="311" t="s">
        <v>538</v>
      </c>
      <c r="D60" s="327">
        <f>SUM(D61:D62)</f>
        <v>18</v>
      </c>
      <c r="E60" s="323"/>
      <c r="F60" s="323"/>
      <c r="G60" s="323"/>
      <c r="H60" s="331"/>
      <c r="I60" s="317" t="str">
        <f t="shared" si="1"/>
        <v>#DIV/0!</v>
      </c>
    </row>
    <row r="61">
      <c r="A61" s="129"/>
      <c r="B61" s="129"/>
      <c r="C61" s="333" t="s">
        <v>82</v>
      </c>
      <c r="D61" s="330">
        <v>16.0</v>
      </c>
      <c r="E61" s="323"/>
      <c r="F61" s="323"/>
      <c r="G61" s="323"/>
      <c r="H61" s="331"/>
      <c r="I61" s="317" t="str">
        <f t="shared" si="1"/>
        <v>#DIV/0!</v>
      </c>
    </row>
    <row r="62">
      <c r="A62" s="56"/>
      <c r="B62" s="56"/>
      <c r="C62" s="333" t="s">
        <v>156</v>
      </c>
      <c r="D62" s="330">
        <v>2.0</v>
      </c>
      <c r="E62" s="323"/>
      <c r="F62" s="323"/>
      <c r="G62" s="323"/>
      <c r="H62" s="331"/>
      <c r="I62" s="317" t="str">
        <f t="shared" si="1"/>
        <v>#DIV/0!</v>
      </c>
    </row>
    <row r="63">
      <c r="A63" s="325">
        <v>10.0</v>
      </c>
      <c r="B63" s="332" t="s">
        <v>548</v>
      </c>
      <c r="C63" s="311" t="s">
        <v>536</v>
      </c>
      <c r="D63" s="327">
        <f>SUM(D64)</f>
        <v>8</v>
      </c>
      <c r="E63" s="323"/>
      <c r="F63" s="323"/>
      <c r="G63" s="323"/>
      <c r="H63" s="331"/>
      <c r="I63" s="317" t="str">
        <f t="shared" si="1"/>
        <v>#DIV/0!</v>
      </c>
    </row>
    <row r="64">
      <c r="A64" s="129"/>
      <c r="B64" s="129"/>
      <c r="C64" s="311" t="s">
        <v>537</v>
      </c>
      <c r="D64" s="327">
        <f>SUM(D65:D66)</f>
        <v>8</v>
      </c>
      <c r="E64" s="323"/>
      <c r="F64" s="323"/>
      <c r="G64" s="323"/>
      <c r="H64" s="331"/>
      <c r="I64" s="317" t="str">
        <f t="shared" si="1"/>
        <v>#DIV/0!</v>
      </c>
    </row>
    <row r="65">
      <c r="A65" s="129"/>
      <c r="B65" s="129"/>
      <c r="C65" s="333" t="s">
        <v>71</v>
      </c>
      <c r="D65" s="330">
        <v>4.0</v>
      </c>
      <c r="E65" s="323"/>
      <c r="F65" s="323"/>
      <c r="G65" s="323"/>
      <c r="H65" s="331"/>
      <c r="I65" s="317" t="str">
        <f t="shared" si="1"/>
        <v>#DIV/0!</v>
      </c>
    </row>
    <row r="66">
      <c r="A66" s="56"/>
      <c r="B66" s="56"/>
      <c r="C66" s="333" t="s">
        <v>117</v>
      </c>
      <c r="D66" s="330">
        <v>4.0</v>
      </c>
      <c r="E66" s="323"/>
      <c r="F66" s="323"/>
      <c r="G66" s="323"/>
      <c r="H66" s="331"/>
      <c r="I66" s="317" t="str">
        <f t="shared" si="1"/>
        <v>#DIV/0!</v>
      </c>
    </row>
    <row r="67">
      <c r="A67" s="325">
        <v>11.0</v>
      </c>
      <c r="B67" s="332" t="s">
        <v>549</v>
      </c>
      <c r="C67" s="311" t="s">
        <v>536</v>
      </c>
      <c r="D67" s="327">
        <f>SUM(D68,D71)</f>
        <v>16</v>
      </c>
      <c r="E67" s="323"/>
      <c r="F67" s="323"/>
      <c r="G67" s="323"/>
      <c r="H67" s="331"/>
      <c r="I67" s="317" t="str">
        <f t="shared" si="1"/>
        <v>#DIV/0!</v>
      </c>
    </row>
    <row r="68">
      <c r="A68" s="129"/>
      <c r="B68" s="129"/>
      <c r="C68" s="311" t="s">
        <v>537</v>
      </c>
      <c r="D68" s="327">
        <f>SUM(D69:D70)</f>
        <v>8</v>
      </c>
      <c r="E68" s="323"/>
      <c r="F68" s="323"/>
      <c r="G68" s="323"/>
      <c r="H68" s="331"/>
      <c r="I68" s="317" t="str">
        <f t="shared" si="1"/>
        <v>#DIV/0!</v>
      </c>
    </row>
    <row r="69">
      <c r="A69" s="129"/>
      <c r="B69" s="129"/>
      <c r="C69" s="333" t="s">
        <v>550</v>
      </c>
      <c r="D69" s="330">
        <v>4.0</v>
      </c>
      <c r="E69" s="323"/>
      <c r="F69" s="323"/>
      <c r="G69" s="323"/>
      <c r="H69" s="331"/>
      <c r="I69" s="317" t="str">
        <f t="shared" si="1"/>
        <v>#DIV/0!</v>
      </c>
    </row>
    <row r="70">
      <c r="A70" s="129"/>
      <c r="B70" s="129"/>
      <c r="C70" s="333" t="s">
        <v>77</v>
      </c>
      <c r="D70" s="330">
        <v>4.0</v>
      </c>
      <c r="E70" s="323"/>
      <c r="F70" s="323"/>
      <c r="G70" s="323"/>
      <c r="H70" s="331"/>
      <c r="I70" s="317" t="str">
        <f t="shared" si="1"/>
        <v>#DIV/0!</v>
      </c>
    </row>
    <row r="71">
      <c r="A71" s="129"/>
      <c r="B71" s="129"/>
      <c r="C71" s="311" t="s">
        <v>538</v>
      </c>
      <c r="D71" s="327">
        <f>SUM(D72:D73)</f>
        <v>8</v>
      </c>
      <c r="E71" s="323"/>
      <c r="F71" s="323"/>
      <c r="G71" s="323"/>
      <c r="H71" s="331"/>
      <c r="I71" s="317" t="str">
        <f t="shared" si="1"/>
        <v>#DIV/0!</v>
      </c>
    </row>
    <row r="72">
      <c r="A72" s="129"/>
      <c r="B72" s="129"/>
      <c r="C72" s="333" t="s">
        <v>86</v>
      </c>
      <c r="D72" s="330">
        <v>6.0</v>
      </c>
      <c r="E72" s="323"/>
      <c r="F72" s="323"/>
      <c r="G72" s="323"/>
      <c r="H72" s="331"/>
      <c r="I72" s="317" t="str">
        <f t="shared" si="1"/>
        <v>#DIV/0!</v>
      </c>
    </row>
    <row r="73">
      <c r="A73" s="56"/>
      <c r="B73" s="56"/>
      <c r="C73" s="333" t="s">
        <v>126</v>
      </c>
      <c r="D73" s="330">
        <v>2.0</v>
      </c>
      <c r="E73" s="323"/>
      <c r="F73" s="323"/>
      <c r="G73" s="323"/>
      <c r="H73" s="331"/>
      <c r="I73" s="317" t="str">
        <f t="shared" si="1"/>
        <v>#DIV/0!</v>
      </c>
    </row>
    <row r="74">
      <c r="A74" s="325">
        <v>12.0</v>
      </c>
      <c r="B74" s="332" t="s">
        <v>551</v>
      </c>
      <c r="C74" s="311" t="s">
        <v>536</v>
      </c>
      <c r="D74" s="327">
        <f>SUM(D75,D78)</f>
        <v>14</v>
      </c>
      <c r="E74" s="323"/>
      <c r="F74" s="323"/>
      <c r="G74" s="323"/>
      <c r="H74" s="331"/>
      <c r="I74" s="317" t="str">
        <f t="shared" si="1"/>
        <v>#DIV/0!</v>
      </c>
    </row>
    <row r="75">
      <c r="A75" s="129"/>
      <c r="B75" s="129"/>
      <c r="C75" s="311" t="s">
        <v>537</v>
      </c>
      <c r="D75" s="327">
        <f>SUM(D76:D77)</f>
        <v>10</v>
      </c>
      <c r="E75" s="323"/>
      <c r="F75" s="323"/>
      <c r="G75" s="323"/>
      <c r="H75" s="331"/>
      <c r="I75" s="317" t="str">
        <f t="shared" si="1"/>
        <v>#DIV/0!</v>
      </c>
    </row>
    <row r="76">
      <c r="A76" s="129"/>
      <c r="B76" s="129"/>
      <c r="C76" s="333" t="s">
        <v>65</v>
      </c>
      <c r="D76" s="330">
        <v>6.0</v>
      </c>
      <c r="E76" s="323"/>
      <c r="F76" s="323"/>
      <c r="G76" s="323"/>
      <c r="H76" s="331"/>
      <c r="I76" s="317" t="str">
        <f t="shared" si="1"/>
        <v>#DIV/0!</v>
      </c>
    </row>
    <row r="77">
      <c r="A77" s="129"/>
      <c r="B77" s="129"/>
      <c r="C77" s="333" t="s">
        <v>103</v>
      </c>
      <c r="D77" s="330">
        <v>4.0</v>
      </c>
      <c r="E77" s="323"/>
      <c r="F77" s="323"/>
      <c r="G77" s="323"/>
      <c r="H77" s="331"/>
      <c r="I77" s="317" t="str">
        <f t="shared" si="1"/>
        <v>#DIV/0!</v>
      </c>
    </row>
    <row r="78">
      <c r="A78" s="129"/>
      <c r="B78" s="129"/>
      <c r="C78" s="311" t="s">
        <v>538</v>
      </c>
      <c r="D78" s="327">
        <f>SUM(D79)</f>
        <v>4</v>
      </c>
      <c r="E78" s="323"/>
      <c r="F78" s="323"/>
      <c r="G78" s="323"/>
      <c r="H78" s="331"/>
      <c r="I78" s="317" t="str">
        <f t="shared" si="1"/>
        <v>#DIV/0!</v>
      </c>
    </row>
    <row r="79">
      <c r="A79" s="56"/>
      <c r="B79" s="56"/>
      <c r="C79" s="333" t="s">
        <v>156</v>
      </c>
      <c r="D79" s="330">
        <v>4.0</v>
      </c>
      <c r="E79" s="323"/>
      <c r="F79" s="323"/>
      <c r="G79" s="323"/>
      <c r="H79" s="331"/>
      <c r="I79" s="317" t="str">
        <f t="shared" si="1"/>
        <v>#DIV/0!</v>
      </c>
    </row>
    <row r="80">
      <c r="A80" s="325">
        <v>13.0</v>
      </c>
      <c r="B80" s="332" t="s">
        <v>552</v>
      </c>
      <c r="C80" s="311" t="s">
        <v>536</v>
      </c>
      <c r="D80" s="327">
        <f>SUM(D81,D83)</f>
        <v>20</v>
      </c>
      <c r="E80" s="323"/>
      <c r="F80" s="323"/>
      <c r="G80" s="323"/>
      <c r="H80" s="331"/>
      <c r="I80" s="317" t="str">
        <f t="shared" si="1"/>
        <v>#DIV/0!</v>
      </c>
    </row>
    <row r="81">
      <c r="A81" s="129"/>
      <c r="B81" s="129"/>
      <c r="C81" s="311" t="s">
        <v>537</v>
      </c>
      <c r="D81" s="327">
        <f>SUM(D82)</f>
        <v>6</v>
      </c>
      <c r="E81" s="323"/>
      <c r="F81" s="323"/>
      <c r="G81" s="323"/>
      <c r="H81" s="331"/>
      <c r="I81" s="317" t="str">
        <f t="shared" si="1"/>
        <v>#DIV/0!</v>
      </c>
    </row>
    <row r="82">
      <c r="A82" s="129"/>
      <c r="B82" s="129"/>
      <c r="C82" s="333" t="s">
        <v>109</v>
      </c>
      <c r="D82" s="330">
        <v>6.0</v>
      </c>
      <c r="E82" s="323"/>
      <c r="F82" s="323"/>
      <c r="G82" s="323"/>
      <c r="H82" s="331"/>
      <c r="I82" s="317" t="str">
        <f t="shared" si="1"/>
        <v>#DIV/0!</v>
      </c>
    </row>
    <row r="83">
      <c r="A83" s="129"/>
      <c r="B83" s="129"/>
      <c r="C83" s="311" t="s">
        <v>538</v>
      </c>
      <c r="D83" s="327">
        <f>SUM(D84:D86)</f>
        <v>14</v>
      </c>
      <c r="E83" s="323"/>
      <c r="F83" s="323"/>
      <c r="G83" s="323"/>
      <c r="H83" s="331"/>
      <c r="I83" s="317" t="str">
        <f t="shared" si="1"/>
        <v>#DIV/0!</v>
      </c>
    </row>
    <row r="84">
      <c r="A84" s="129"/>
      <c r="B84" s="129"/>
      <c r="C84" s="333" t="s">
        <v>92</v>
      </c>
      <c r="D84" s="330">
        <v>4.0</v>
      </c>
      <c r="E84" s="323"/>
      <c r="F84" s="323"/>
      <c r="G84" s="323"/>
      <c r="H84" s="331"/>
      <c r="I84" s="317" t="str">
        <f t="shared" si="1"/>
        <v>#DIV/0!</v>
      </c>
    </row>
    <row r="85">
      <c r="A85" s="129"/>
      <c r="B85" s="129"/>
      <c r="C85" s="333" t="s">
        <v>94</v>
      </c>
      <c r="D85" s="330">
        <v>4.0</v>
      </c>
      <c r="E85" s="323"/>
      <c r="F85" s="323"/>
      <c r="G85" s="323"/>
      <c r="H85" s="331"/>
      <c r="I85" s="317" t="str">
        <f t="shared" si="1"/>
        <v>#DIV/0!</v>
      </c>
    </row>
    <row r="86">
      <c r="A86" s="56"/>
      <c r="B86" s="56"/>
      <c r="C86" s="333" t="s">
        <v>90</v>
      </c>
      <c r="D86" s="330">
        <v>6.0</v>
      </c>
      <c r="E86" s="323"/>
      <c r="F86" s="323"/>
      <c r="G86" s="323"/>
      <c r="H86" s="331"/>
      <c r="I86" s="317" t="str">
        <f t="shared" si="1"/>
        <v>#DIV/0!</v>
      </c>
    </row>
    <row r="87">
      <c r="A87" s="325">
        <v>14.0</v>
      </c>
      <c r="B87" s="332" t="s">
        <v>553</v>
      </c>
      <c r="C87" s="311" t="s">
        <v>536</v>
      </c>
      <c r="D87" s="327">
        <f t="shared" ref="D87:D88" si="4">SUM(D88)</f>
        <v>4</v>
      </c>
      <c r="E87" s="323"/>
      <c r="F87" s="323"/>
      <c r="G87" s="323"/>
      <c r="H87" s="331"/>
      <c r="I87" s="317" t="str">
        <f t="shared" si="1"/>
        <v>#DIV/0!</v>
      </c>
    </row>
    <row r="88">
      <c r="A88" s="129"/>
      <c r="B88" s="129"/>
      <c r="C88" s="311" t="s">
        <v>538</v>
      </c>
      <c r="D88" s="327">
        <f t="shared" si="4"/>
        <v>4</v>
      </c>
      <c r="E88" s="323"/>
      <c r="F88" s="323"/>
      <c r="G88" s="323"/>
      <c r="H88" s="331"/>
      <c r="I88" s="317" t="str">
        <f t="shared" si="1"/>
        <v>#DIV/0!</v>
      </c>
    </row>
    <row r="89">
      <c r="A89" s="56"/>
      <c r="B89" s="56"/>
      <c r="C89" s="333" t="s">
        <v>134</v>
      </c>
      <c r="D89" s="330">
        <v>4.0</v>
      </c>
      <c r="E89" s="323"/>
      <c r="F89" s="323"/>
      <c r="G89" s="323"/>
      <c r="H89" s="331"/>
      <c r="I89" s="317" t="str">
        <f t="shared" si="1"/>
        <v>#DIV/0!</v>
      </c>
    </row>
    <row r="90">
      <c r="A90" s="325">
        <v>15.0</v>
      </c>
      <c r="B90" s="332" t="s">
        <v>554</v>
      </c>
      <c r="C90" s="311" t="s">
        <v>536</v>
      </c>
      <c r="D90" s="327">
        <f>SUM(D91,D96)</f>
        <v>20</v>
      </c>
      <c r="E90" s="323"/>
      <c r="F90" s="323"/>
      <c r="G90" s="323"/>
      <c r="H90" s="331"/>
      <c r="I90" s="317" t="str">
        <f t="shared" si="1"/>
        <v>#DIV/0!</v>
      </c>
    </row>
    <row r="91">
      <c r="A91" s="129"/>
      <c r="B91" s="129"/>
      <c r="C91" s="311" t="s">
        <v>537</v>
      </c>
      <c r="D91" s="327">
        <f>SUM(D92:D95)</f>
        <v>16</v>
      </c>
      <c r="E91" s="323"/>
      <c r="F91" s="323"/>
      <c r="G91" s="323"/>
      <c r="H91" s="331"/>
      <c r="I91" s="317" t="str">
        <f t="shared" si="1"/>
        <v>#DIV/0!</v>
      </c>
    </row>
    <row r="92">
      <c r="A92" s="129"/>
      <c r="B92" s="129"/>
      <c r="C92" s="333" t="s">
        <v>77</v>
      </c>
      <c r="D92" s="330">
        <v>4.0</v>
      </c>
      <c r="E92" s="323"/>
      <c r="F92" s="323"/>
      <c r="G92" s="323"/>
      <c r="H92" s="331"/>
      <c r="I92" s="317" t="str">
        <f t="shared" si="1"/>
        <v>#DIV/0!</v>
      </c>
    </row>
    <row r="93">
      <c r="A93" s="129"/>
      <c r="B93" s="129"/>
      <c r="C93" s="333" t="s">
        <v>139</v>
      </c>
      <c r="D93" s="330">
        <v>4.0</v>
      </c>
      <c r="E93" s="323"/>
      <c r="F93" s="323"/>
      <c r="G93" s="323"/>
      <c r="H93" s="331"/>
      <c r="I93" s="317" t="str">
        <f t="shared" si="1"/>
        <v>#DIV/0!</v>
      </c>
    </row>
    <row r="94">
      <c r="A94" s="129"/>
      <c r="B94" s="129"/>
      <c r="C94" s="333" t="s">
        <v>172</v>
      </c>
      <c r="D94" s="330">
        <v>4.0</v>
      </c>
      <c r="E94" s="323"/>
      <c r="F94" s="323"/>
      <c r="G94" s="323"/>
      <c r="H94" s="331"/>
      <c r="I94" s="317" t="str">
        <f t="shared" si="1"/>
        <v>#DIV/0!</v>
      </c>
    </row>
    <row r="95">
      <c r="A95" s="129"/>
      <c r="B95" s="129"/>
      <c r="C95" s="333" t="s">
        <v>103</v>
      </c>
      <c r="D95" s="330">
        <v>4.0</v>
      </c>
      <c r="E95" s="323"/>
      <c r="F95" s="323"/>
      <c r="G95" s="323"/>
      <c r="H95" s="331"/>
      <c r="I95" s="317" t="str">
        <f t="shared" si="1"/>
        <v>#DIV/0!</v>
      </c>
    </row>
    <row r="96">
      <c r="A96" s="129"/>
      <c r="B96" s="129"/>
      <c r="C96" s="311" t="s">
        <v>538</v>
      </c>
      <c r="D96" s="327">
        <f>SUM(D97)</f>
        <v>4</v>
      </c>
      <c r="E96" s="323"/>
      <c r="F96" s="323"/>
      <c r="G96" s="323"/>
      <c r="H96" s="331"/>
      <c r="I96" s="317" t="str">
        <f t="shared" si="1"/>
        <v>#DIV/0!</v>
      </c>
    </row>
    <row r="97">
      <c r="A97" s="56"/>
      <c r="B97" s="56"/>
      <c r="C97" s="333" t="s">
        <v>158</v>
      </c>
      <c r="D97" s="330">
        <v>4.0</v>
      </c>
      <c r="E97" s="323"/>
      <c r="F97" s="323"/>
      <c r="G97" s="323"/>
      <c r="H97" s="331"/>
      <c r="I97" s="317" t="str">
        <f t="shared" si="1"/>
        <v>#DIV/0!</v>
      </c>
    </row>
    <row r="98">
      <c r="A98" s="325">
        <v>16.0</v>
      </c>
      <c r="B98" s="332" t="s">
        <v>555</v>
      </c>
      <c r="C98" s="311" t="s">
        <v>536</v>
      </c>
      <c r="D98" s="327">
        <f>SUM(D99,D102)</f>
        <v>24</v>
      </c>
      <c r="E98" s="323"/>
      <c r="F98" s="323"/>
      <c r="G98" s="323"/>
      <c r="H98" s="331"/>
      <c r="I98" s="317" t="str">
        <f t="shared" si="1"/>
        <v>#DIV/0!</v>
      </c>
    </row>
    <row r="99">
      <c r="A99" s="129"/>
      <c r="B99" s="129"/>
      <c r="C99" s="311" t="s">
        <v>537</v>
      </c>
      <c r="D99" s="327">
        <f>SUM(D100:D101)</f>
        <v>10</v>
      </c>
      <c r="E99" s="323"/>
      <c r="F99" s="323"/>
      <c r="G99" s="323"/>
      <c r="H99" s="331"/>
      <c r="I99" s="317" t="str">
        <f t="shared" si="1"/>
        <v>#DIV/0!</v>
      </c>
    </row>
    <row r="100">
      <c r="A100" s="129"/>
      <c r="B100" s="129"/>
      <c r="C100" s="333" t="s">
        <v>111</v>
      </c>
      <c r="D100" s="330">
        <v>4.0</v>
      </c>
      <c r="E100" s="323"/>
      <c r="F100" s="323"/>
      <c r="G100" s="323"/>
      <c r="H100" s="331"/>
      <c r="I100" s="317" t="str">
        <f t="shared" si="1"/>
        <v>#DIV/0!</v>
      </c>
    </row>
    <row r="101">
      <c r="A101" s="129"/>
      <c r="B101" s="129"/>
      <c r="C101" s="333" t="s">
        <v>149</v>
      </c>
      <c r="D101" s="330">
        <v>6.0</v>
      </c>
      <c r="E101" s="323"/>
      <c r="F101" s="323"/>
      <c r="G101" s="323"/>
      <c r="H101" s="331"/>
      <c r="I101" s="317" t="str">
        <f t="shared" si="1"/>
        <v>#DIV/0!</v>
      </c>
    </row>
    <row r="102">
      <c r="A102" s="129"/>
      <c r="B102" s="129"/>
      <c r="C102" s="311" t="s">
        <v>538</v>
      </c>
      <c r="D102" s="327">
        <f>SUM(D103:D106)</f>
        <v>14</v>
      </c>
      <c r="E102" s="323"/>
      <c r="F102" s="323"/>
      <c r="G102" s="323"/>
      <c r="H102" s="331"/>
      <c r="I102" s="317" t="str">
        <f t="shared" si="1"/>
        <v>#DIV/0!</v>
      </c>
    </row>
    <row r="103">
      <c r="A103" s="129"/>
      <c r="B103" s="129"/>
      <c r="C103" s="333" t="s">
        <v>170</v>
      </c>
      <c r="D103" s="330">
        <v>4.0</v>
      </c>
      <c r="E103" s="323"/>
      <c r="F103" s="323"/>
      <c r="G103" s="323"/>
      <c r="H103" s="331"/>
      <c r="I103" s="317" t="str">
        <f t="shared" si="1"/>
        <v>#DIV/0!</v>
      </c>
    </row>
    <row r="104">
      <c r="A104" s="129"/>
      <c r="B104" s="129"/>
      <c r="C104" s="333" t="s">
        <v>160</v>
      </c>
      <c r="D104" s="330">
        <v>2.0</v>
      </c>
      <c r="E104" s="323"/>
      <c r="F104" s="323"/>
      <c r="G104" s="323"/>
      <c r="H104" s="331"/>
      <c r="I104" s="317" t="str">
        <f t="shared" si="1"/>
        <v>#DIV/0!</v>
      </c>
    </row>
    <row r="105">
      <c r="A105" s="129"/>
      <c r="B105" s="129"/>
      <c r="C105" s="333" t="s">
        <v>163</v>
      </c>
      <c r="D105" s="330">
        <v>6.0</v>
      </c>
      <c r="E105" s="323"/>
      <c r="F105" s="323"/>
      <c r="G105" s="323"/>
      <c r="H105" s="331"/>
      <c r="I105" s="317" t="str">
        <f t="shared" si="1"/>
        <v>#DIV/0!</v>
      </c>
    </row>
    <row r="106">
      <c r="A106" s="56"/>
      <c r="B106" s="56"/>
      <c r="C106" s="333" t="s">
        <v>88</v>
      </c>
      <c r="D106" s="330">
        <v>2.0</v>
      </c>
      <c r="E106" s="323"/>
      <c r="F106" s="323"/>
      <c r="G106" s="323"/>
      <c r="H106" s="331"/>
      <c r="I106" s="317" t="str">
        <f t="shared" si="1"/>
        <v>#DIV/0!</v>
      </c>
    </row>
    <row r="107">
      <c r="A107" s="325">
        <v>17.0</v>
      </c>
      <c r="B107" s="332" t="s">
        <v>556</v>
      </c>
      <c r="C107" s="311" t="s">
        <v>536</v>
      </c>
      <c r="D107" s="327">
        <f>SUM(D108,D111)</f>
        <v>8</v>
      </c>
      <c r="E107" s="323"/>
      <c r="F107" s="323"/>
      <c r="G107" s="323"/>
      <c r="H107" s="331"/>
      <c r="I107" s="317" t="str">
        <f t="shared" si="1"/>
        <v>#DIV/0!</v>
      </c>
    </row>
    <row r="108">
      <c r="A108" s="129"/>
      <c r="B108" s="129"/>
      <c r="C108" s="311" t="s">
        <v>537</v>
      </c>
      <c r="D108" s="327">
        <f>SUM(D109:D110)</f>
        <v>4</v>
      </c>
      <c r="E108" s="323"/>
      <c r="F108" s="323"/>
      <c r="G108" s="323"/>
      <c r="H108" s="331"/>
      <c r="I108" s="317" t="str">
        <f t="shared" si="1"/>
        <v>#DIV/0!</v>
      </c>
    </row>
    <row r="109">
      <c r="A109" s="129"/>
      <c r="B109" s="129"/>
      <c r="C109" s="333" t="s">
        <v>113</v>
      </c>
      <c r="D109" s="330">
        <v>2.0</v>
      </c>
      <c r="E109" s="323"/>
      <c r="F109" s="323"/>
      <c r="G109" s="323"/>
      <c r="H109" s="331"/>
      <c r="I109" s="317" t="str">
        <f t="shared" si="1"/>
        <v>#DIV/0!</v>
      </c>
    </row>
    <row r="110">
      <c r="A110" s="129"/>
      <c r="B110" s="129"/>
      <c r="C110" s="333" t="s">
        <v>115</v>
      </c>
      <c r="D110" s="330">
        <v>2.0</v>
      </c>
      <c r="E110" s="323"/>
      <c r="F110" s="323"/>
      <c r="G110" s="323"/>
      <c r="H110" s="331"/>
      <c r="I110" s="317" t="str">
        <f t="shared" si="1"/>
        <v>#DIV/0!</v>
      </c>
    </row>
    <row r="111">
      <c r="A111" s="129"/>
      <c r="B111" s="129"/>
      <c r="C111" s="311" t="s">
        <v>538</v>
      </c>
      <c r="D111" s="327">
        <f>SUM(D112)</f>
        <v>4</v>
      </c>
      <c r="E111" s="323"/>
      <c r="F111" s="323"/>
      <c r="G111" s="323"/>
      <c r="H111" s="331"/>
      <c r="I111" s="317" t="str">
        <f t="shared" si="1"/>
        <v>#DIV/0!</v>
      </c>
    </row>
    <row r="112">
      <c r="A112" s="56"/>
      <c r="B112" s="56"/>
      <c r="C112" s="333" t="s">
        <v>122</v>
      </c>
      <c r="D112" s="330">
        <v>4.0</v>
      </c>
      <c r="E112" s="323"/>
      <c r="F112" s="323"/>
      <c r="G112" s="323"/>
      <c r="H112" s="331"/>
      <c r="I112" s="317" t="str">
        <f t="shared" si="1"/>
        <v>#DIV/0!</v>
      </c>
    </row>
    <row r="113">
      <c r="A113" s="325">
        <v>18.0</v>
      </c>
      <c r="B113" s="332" t="s">
        <v>557</v>
      </c>
      <c r="C113" s="311" t="s">
        <v>536</v>
      </c>
      <c r="D113" s="327">
        <f>SUM(D114,D117)</f>
        <v>30</v>
      </c>
      <c r="E113" s="323"/>
      <c r="F113" s="323"/>
      <c r="G113" s="323"/>
      <c r="H113" s="331"/>
      <c r="I113" s="317" t="str">
        <f t="shared" si="1"/>
        <v>#DIV/0!</v>
      </c>
    </row>
    <row r="114">
      <c r="A114" s="129"/>
      <c r="B114" s="129"/>
      <c r="C114" s="311" t="s">
        <v>537</v>
      </c>
      <c r="D114" s="327">
        <f>SUM(D115:D116)</f>
        <v>12</v>
      </c>
      <c r="E114" s="323"/>
      <c r="F114" s="323"/>
      <c r="G114" s="323"/>
      <c r="H114" s="331"/>
      <c r="I114" s="317" t="str">
        <f t="shared" si="1"/>
        <v>#DIV/0!</v>
      </c>
    </row>
    <row r="115">
      <c r="A115" s="129"/>
      <c r="B115" s="129"/>
      <c r="C115" s="333" t="s">
        <v>147</v>
      </c>
      <c r="D115" s="330">
        <v>4.0</v>
      </c>
      <c r="E115" s="323"/>
      <c r="F115" s="323"/>
      <c r="G115" s="323"/>
      <c r="H115" s="331"/>
      <c r="I115" s="317" t="str">
        <f t="shared" si="1"/>
        <v>#DIV/0!</v>
      </c>
    </row>
    <row r="116">
      <c r="A116" s="129"/>
      <c r="B116" s="129"/>
      <c r="C116" s="333" t="s">
        <v>149</v>
      </c>
      <c r="D116" s="330">
        <v>8.0</v>
      </c>
      <c r="E116" s="323"/>
      <c r="F116" s="323"/>
      <c r="G116" s="323"/>
      <c r="H116" s="331"/>
      <c r="I116" s="317" t="str">
        <f t="shared" si="1"/>
        <v>#DIV/0!</v>
      </c>
    </row>
    <row r="117">
      <c r="A117" s="129"/>
      <c r="B117" s="129"/>
      <c r="C117" s="311" t="s">
        <v>538</v>
      </c>
      <c r="D117" s="327">
        <f>SUM(D118:D120)</f>
        <v>18</v>
      </c>
      <c r="E117" s="323"/>
      <c r="F117" s="323"/>
      <c r="G117" s="323"/>
      <c r="H117" s="331"/>
      <c r="I117" s="317" t="str">
        <f t="shared" si="1"/>
        <v>#DIV/0!</v>
      </c>
    </row>
    <row r="118">
      <c r="A118" s="129"/>
      <c r="B118" s="129"/>
      <c r="C118" s="333" t="s">
        <v>168</v>
      </c>
      <c r="D118" s="330">
        <v>8.0</v>
      </c>
      <c r="E118" s="323"/>
      <c r="F118" s="323"/>
      <c r="G118" s="323"/>
      <c r="H118" s="331"/>
      <c r="I118" s="317" t="str">
        <f t="shared" si="1"/>
        <v>#DIV/0!</v>
      </c>
    </row>
    <row r="119">
      <c r="A119" s="129"/>
      <c r="B119" s="129"/>
      <c r="C119" s="333" t="s">
        <v>170</v>
      </c>
      <c r="D119" s="330">
        <v>4.0</v>
      </c>
      <c r="E119" s="323"/>
      <c r="F119" s="323"/>
      <c r="G119" s="323"/>
      <c r="H119" s="331"/>
      <c r="I119" s="317" t="str">
        <f t="shared" si="1"/>
        <v>#DIV/0!</v>
      </c>
    </row>
    <row r="120">
      <c r="A120" s="56"/>
      <c r="B120" s="56"/>
      <c r="C120" s="333" t="s">
        <v>163</v>
      </c>
      <c r="D120" s="330">
        <v>6.0</v>
      </c>
      <c r="E120" s="323"/>
      <c r="F120" s="323"/>
      <c r="G120" s="323"/>
      <c r="H120" s="331"/>
      <c r="I120" s="317" t="str">
        <f t="shared" si="1"/>
        <v>#DIV/0!</v>
      </c>
    </row>
    <row r="121">
      <c r="A121" s="325">
        <v>19.0</v>
      </c>
      <c r="B121" s="332" t="s">
        <v>558</v>
      </c>
      <c r="C121" s="311" t="s">
        <v>536</v>
      </c>
      <c r="D121" s="327">
        <f>SUM(D122,D126)</f>
        <v>36</v>
      </c>
      <c r="E121" s="323"/>
      <c r="F121" s="323"/>
      <c r="G121" s="323"/>
      <c r="H121" s="331"/>
      <c r="I121" s="317" t="str">
        <f t="shared" si="1"/>
        <v>#DIV/0!</v>
      </c>
    </row>
    <row r="122">
      <c r="A122" s="129"/>
      <c r="B122" s="129"/>
      <c r="C122" s="311" t="s">
        <v>537</v>
      </c>
      <c r="D122" s="327">
        <f>SUM(D123:D125)</f>
        <v>10</v>
      </c>
      <c r="E122" s="323"/>
      <c r="F122" s="323"/>
      <c r="G122" s="323"/>
      <c r="H122" s="331"/>
      <c r="I122" s="317" t="str">
        <f t="shared" si="1"/>
        <v>#DIV/0!</v>
      </c>
    </row>
    <row r="123">
      <c r="A123" s="129"/>
      <c r="B123" s="129"/>
      <c r="C123" s="333" t="s">
        <v>107</v>
      </c>
      <c r="D123" s="330">
        <v>6.0</v>
      </c>
      <c r="E123" s="323"/>
      <c r="F123" s="323"/>
      <c r="G123" s="323"/>
      <c r="H123" s="331"/>
      <c r="I123" s="317" t="str">
        <f t="shared" si="1"/>
        <v>#DIV/0!</v>
      </c>
    </row>
    <row r="124">
      <c r="A124" s="129"/>
      <c r="B124" s="129"/>
      <c r="C124" s="333" t="s">
        <v>172</v>
      </c>
      <c r="D124" s="330">
        <v>2.0</v>
      </c>
      <c r="E124" s="323"/>
      <c r="F124" s="323"/>
      <c r="G124" s="323"/>
      <c r="H124" s="331"/>
      <c r="I124" s="317" t="str">
        <f t="shared" si="1"/>
        <v>#DIV/0!</v>
      </c>
    </row>
    <row r="125">
      <c r="A125" s="129"/>
      <c r="B125" s="129"/>
      <c r="C125" s="333" t="s">
        <v>101</v>
      </c>
      <c r="D125" s="330">
        <v>2.0</v>
      </c>
      <c r="E125" s="323"/>
      <c r="F125" s="323"/>
      <c r="G125" s="323"/>
      <c r="H125" s="331"/>
      <c r="I125" s="317" t="str">
        <f t="shared" si="1"/>
        <v>#DIV/0!</v>
      </c>
    </row>
    <row r="126">
      <c r="A126" s="129"/>
      <c r="B126" s="129"/>
      <c r="C126" s="311" t="s">
        <v>538</v>
      </c>
      <c r="D126" s="327">
        <f>SUM(D127:D132)</f>
        <v>26</v>
      </c>
      <c r="E126" s="323"/>
      <c r="F126" s="323"/>
      <c r="G126" s="323"/>
      <c r="H126" s="331"/>
      <c r="I126" s="317" t="str">
        <f t="shared" si="1"/>
        <v>#DIV/0!</v>
      </c>
    </row>
    <row r="127">
      <c r="A127" s="129"/>
      <c r="B127" s="129"/>
      <c r="C127" s="333" t="s">
        <v>86</v>
      </c>
      <c r="D127" s="330">
        <v>2.0</v>
      </c>
      <c r="E127" s="323"/>
      <c r="F127" s="323"/>
      <c r="G127" s="323"/>
      <c r="H127" s="331"/>
      <c r="I127" s="317" t="str">
        <f t="shared" si="1"/>
        <v>#DIV/0!</v>
      </c>
    </row>
    <row r="128">
      <c r="A128" s="129"/>
      <c r="B128" s="129"/>
      <c r="C128" s="333" t="s">
        <v>172</v>
      </c>
      <c r="D128" s="330">
        <v>2.0</v>
      </c>
      <c r="E128" s="323"/>
      <c r="F128" s="323"/>
      <c r="G128" s="323"/>
      <c r="H128" s="331"/>
      <c r="I128" s="317" t="str">
        <f t="shared" si="1"/>
        <v>#DIV/0!</v>
      </c>
    </row>
    <row r="129">
      <c r="A129" s="129"/>
      <c r="B129" s="129"/>
      <c r="C129" s="333" t="s">
        <v>160</v>
      </c>
      <c r="D129" s="330">
        <v>4.0</v>
      </c>
      <c r="E129" s="323"/>
      <c r="F129" s="323"/>
      <c r="G129" s="323"/>
      <c r="H129" s="331"/>
      <c r="I129" s="317" t="str">
        <f t="shared" si="1"/>
        <v>#DIV/0!</v>
      </c>
    </row>
    <row r="130">
      <c r="A130" s="129"/>
      <c r="B130" s="129"/>
      <c r="C130" s="333" t="s">
        <v>132</v>
      </c>
      <c r="D130" s="330">
        <v>6.0</v>
      </c>
      <c r="E130" s="323"/>
      <c r="F130" s="323"/>
      <c r="G130" s="323"/>
      <c r="H130" s="331"/>
      <c r="I130" s="317" t="str">
        <f t="shared" si="1"/>
        <v>#DIV/0!</v>
      </c>
    </row>
    <row r="131">
      <c r="A131" s="129"/>
      <c r="B131" s="129"/>
      <c r="C131" s="333" t="s">
        <v>136</v>
      </c>
      <c r="D131" s="330">
        <v>6.0</v>
      </c>
      <c r="E131" s="323"/>
      <c r="F131" s="323"/>
      <c r="G131" s="323"/>
      <c r="H131" s="331"/>
      <c r="I131" s="317" t="str">
        <f t="shared" si="1"/>
        <v>#DIV/0!</v>
      </c>
    </row>
    <row r="132">
      <c r="A132" s="56"/>
      <c r="B132" s="56"/>
      <c r="C132" s="333" t="s">
        <v>163</v>
      </c>
      <c r="D132" s="330">
        <v>6.0</v>
      </c>
      <c r="E132" s="323"/>
      <c r="F132" s="323"/>
      <c r="G132" s="323"/>
      <c r="H132" s="331"/>
      <c r="I132" s="317" t="str">
        <f t="shared" si="1"/>
        <v>#DIV/0!</v>
      </c>
    </row>
    <row r="133">
      <c r="A133" s="325">
        <v>20.0</v>
      </c>
      <c r="B133" s="332" t="s">
        <v>559</v>
      </c>
      <c r="C133" s="311" t="s">
        <v>536</v>
      </c>
      <c r="D133" s="327">
        <f t="shared" ref="D133:D134" si="5">SUM(D134)</f>
        <v>3</v>
      </c>
      <c r="E133" s="323"/>
      <c r="F133" s="323"/>
      <c r="G133" s="323"/>
      <c r="H133" s="331"/>
      <c r="I133" s="317" t="str">
        <f t="shared" si="1"/>
        <v>#DIV/0!</v>
      </c>
    </row>
    <row r="134">
      <c r="A134" s="129"/>
      <c r="B134" s="129"/>
      <c r="C134" s="311" t="s">
        <v>537</v>
      </c>
      <c r="D134" s="327">
        <f t="shared" si="5"/>
        <v>3</v>
      </c>
      <c r="E134" s="323"/>
      <c r="F134" s="323"/>
      <c r="G134" s="323"/>
      <c r="H134" s="331"/>
      <c r="I134" s="317" t="str">
        <f t="shared" si="1"/>
        <v>#DIV/0!</v>
      </c>
    </row>
    <row r="135">
      <c r="A135" s="56"/>
      <c r="B135" s="56"/>
      <c r="C135" s="333" t="s">
        <v>109</v>
      </c>
      <c r="D135" s="330">
        <v>3.0</v>
      </c>
      <c r="E135" s="323"/>
      <c r="F135" s="323"/>
      <c r="G135" s="323"/>
      <c r="H135" s="331"/>
      <c r="I135" s="317" t="str">
        <f t="shared" si="1"/>
        <v>#DIV/0!</v>
      </c>
    </row>
    <row r="136">
      <c r="A136" s="325">
        <v>21.0</v>
      </c>
      <c r="B136" s="332" t="s">
        <v>560</v>
      </c>
      <c r="C136" s="311" t="s">
        <v>536</v>
      </c>
      <c r="D136" s="327">
        <f>SUM(D137,D141)</f>
        <v>22</v>
      </c>
      <c r="E136" s="323"/>
      <c r="F136" s="323"/>
      <c r="G136" s="323"/>
      <c r="H136" s="331"/>
      <c r="I136" s="317" t="str">
        <f t="shared" si="1"/>
        <v>#DIV/0!</v>
      </c>
    </row>
    <row r="137">
      <c r="A137" s="129"/>
      <c r="B137" s="129"/>
      <c r="C137" s="311" t="s">
        <v>537</v>
      </c>
      <c r="D137" s="327">
        <f>SUM(D138:D140)</f>
        <v>12</v>
      </c>
      <c r="E137" s="323"/>
      <c r="F137" s="323"/>
      <c r="G137" s="323"/>
      <c r="H137" s="331"/>
      <c r="I137" s="317" t="str">
        <f t="shared" si="1"/>
        <v>#DIV/0!</v>
      </c>
    </row>
    <row r="138">
      <c r="A138" s="129"/>
      <c r="B138" s="129"/>
      <c r="C138" s="333" t="s">
        <v>141</v>
      </c>
      <c r="D138" s="330">
        <v>4.0</v>
      </c>
      <c r="E138" s="323"/>
      <c r="F138" s="323"/>
      <c r="G138" s="323"/>
      <c r="H138" s="331"/>
      <c r="I138" s="317" t="str">
        <f t="shared" si="1"/>
        <v>#DIV/0!</v>
      </c>
    </row>
    <row r="139">
      <c r="A139" s="129"/>
      <c r="B139" s="129"/>
      <c r="C139" s="333" t="s">
        <v>145</v>
      </c>
      <c r="D139" s="330">
        <v>6.0</v>
      </c>
      <c r="E139" s="323"/>
      <c r="F139" s="323"/>
      <c r="G139" s="323"/>
      <c r="H139" s="331"/>
      <c r="I139" s="317" t="str">
        <f t="shared" si="1"/>
        <v>#DIV/0!</v>
      </c>
    </row>
    <row r="140">
      <c r="A140" s="129"/>
      <c r="B140" s="129"/>
      <c r="C140" s="333" t="s">
        <v>158</v>
      </c>
      <c r="D140" s="330">
        <v>2.0</v>
      </c>
      <c r="E140" s="323"/>
      <c r="F140" s="323"/>
      <c r="G140" s="323"/>
      <c r="H140" s="331"/>
      <c r="I140" s="317" t="str">
        <f t="shared" si="1"/>
        <v>#DIV/0!</v>
      </c>
    </row>
    <row r="141">
      <c r="A141" s="129"/>
      <c r="B141" s="129"/>
      <c r="C141" s="311" t="s">
        <v>538</v>
      </c>
      <c r="D141" s="327">
        <f>SUM(D142:D143)</f>
        <v>10</v>
      </c>
      <c r="E141" s="323"/>
      <c r="F141" s="323"/>
      <c r="G141" s="323"/>
      <c r="H141" s="331"/>
      <c r="I141" s="317" t="str">
        <f t="shared" si="1"/>
        <v>#DIV/0!</v>
      </c>
    </row>
    <row r="142">
      <c r="A142" s="129"/>
      <c r="B142" s="129"/>
      <c r="C142" s="333" t="s">
        <v>158</v>
      </c>
      <c r="D142" s="330">
        <v>4.0</v>
      </c>
      <c r="E142" s="323"/>
      <c r="F142" s="323"/>
      <c r="G142" s="323"/>
      <c r="H142" s="331"/>
      <c r="I142" s="317" t="str">
        <f t="shared" si="1"/>
        <v>#DIV/0!</v>
      </c>
    </row>
    <row r="143">
      <c r="A143" s="56"/>
      <c r="B143" s="56"/>
      <c r="C143" s="333" t="s">
        <v>120</v>
      </c>
      <c r="D143" s="330">
        <v>6.0</v>
      </c>
      <c r="E143" s="323"/>
      <c r="F143" s="323"/>
      <c r="G143" s="323"/>
      <c r="H143" s="331"/>
      <c r="I143" s="317" t="str">
        <f t="shared" si="1"/>
        <v>#DIV/0!</v>
      </c>
    </row>
    <row r="144">
      <c r="A144" s="325">
        <v>22.0</v>
      </c>
      <c r="B144" s="332" t="s">
        <v>561</v>
      </c>
      <c r="C144" s="311" t="s">
        <v>536</v>
      </c>
      <c r="D144" s="327">
        <f>SUM(D145,D147)</f>
        <v>6</v>
      </c>
      <c r="E144" s="323"/>
      <c r="F144" s="323"/>
      <c r="G144" s="323"/>
      <c r="H144" s="331"/>
      <c r="I144" s="317" t="str">
        <f t="shared" si="1"/>
        <v>#DIV/0!</v>
      </c>
    </row>
    <row r="145">
      <c r="A145" s="129"/>
      <c r="B145" s="129"/>
      <c r="C145" s="311" t="s">
        <v>537</v>
      </c>
      <c r="D145" s="327">
        <f>SUM(D146)</f>
        <v>2</v>
      </c>
      <c r="E145" s="323"/>
      <c r="F145" s="323"/>
      <c r="G145" s="323"/>
      <c r="H145" s="331"/>
      <c r="I145" s="317" t="str">
        <f t="shared" si="1"/>
        <v>#DIV/0!</v>
      </c>
    </row>
    <row r="146">
      <c r="A146" s="129"/>
      <c r="B146" s="129"/>
      <c r="C146" s="333" t="s">
        <v>65</v>
      </c>
      <c r="D146" s="330">
        <v>2.0</v>
      </c>
      <c r="E146" s="323"/>
      <c r="F146" s="323"/>
      <c r="G146" s="323"/>
      <c r="H146" s="331"/>
      <c r="I146" s="317" t="str">
        <f t="shared" si="1"/>
        <v>#DIV/0!</v>
      </c>
    </row>
    <row r="147">
      <c r="A147" s="129"/>
      <c r="B147" s="129"/>
      <c r="C147" s="311" t="s">
        <v>538</v>
      </c>
      <c r="D147" s="327">
        <f>SUM(D148)</f>
        <v>4</v>
      </c>
      <c r="E147" s="323"/>
      <c r="F147" s="323"/>
      <c r="G147" s="323"/>
      <c r="H147" s="331"/>
      <c r="I147" s="317" t="str">
        <f t="shared" si="1"/>
        <v>#DIV/0!</v>
      </c>
    </row>
    <row r="148">
      <c r="A148" s="56"/>
      <c r="B148" s="56"/>
      <c r="C148" s="333" t="s">
        <v>90</v>
      </c>
      <c r="D148" s="330">
        <v>4.0</v>
      </c>
      <c r="E148" s="323"/>
      <c r="F148" s="323"/>
      <c r="G148" s="323"/>
      <c r="H148" s="331"/>
      <c r="I148" s="317" t="str">
        <f t="shared" si="1"/>
        <v>#DIV/0!</v>
      </c>
    </row>
    <row r="149">
      <c r="A149" s="325">
        <v>23.0</v>
      </c>
      <c r="B149" s="332" t="s">
        <v>562</v>
      </c>
      <c r="C149" s="311" t="s">
        <v>536</v>
      </c>
      <c r="D149" s="327">
        <f>SUM(D150,D152)</f>
        <v>12</v>
      </c>
      <c r="E149" s="323"/>
      <c r="F149" s="323"/>
      <c r="G149" s="323"/>
      <c r="H149" s="331"/>
      <c r="I149" s="317" t="str">
        <f t="shared" si="1"/>
        <v>#DIV/0!</v>
      </c>
    </row>
    <row r="150">
      <c r="A150" s="129"/>
      <c r="B150" s="129"/>
      <c r="C150" s="311" t="s">
        <v>537</v>
      </c>
      <c r="D150" s="327">
        <f>SUM(D151)</f>
        <v>4</v>
      </c>
      <c r="E150" s="323"/>
      <c r="F150" s="323"/>
      <c r="G150" s="323"/>
      <c r="H150" s="331"/>
      <c r="I150" s="317" t="str">
        <f t="shared" si="1"/>
        <v>#DIV/0!</v>
      </c>
    </row>
    <row r="151">
      <c r="A151" s="129"/>
      <c r="B151" s="129"/>
      <c r="C151" s="333" t="s">
        <v>147</v>
      </c>
      <c r="D151" s="330">
        <v>4.0</v>
      </c>
      <c r="E151" s="323"/>
      <c r="F151" s="323"/>
      <c r="G151" s="323"/>
      <c r="H151" s="331"/>
      <c r="I151" s="317" t="str">
        <f t="shared" si="1"/>
        <v>#DIV/0!</v>
      </c>
    </row>
    <row r="152">
      <c r="A152" s="129"/>
      <c r="B152" s="129"/>
      <c r="C152" s="311" t="s">
        <v>538</v>
      </c>
      <c r="D152" s="327">
        <f>SUM(D153:D154)</f>
        <v>8</v>
      </c>
      <c r="E152" s="323"/>
      <c r="F152" s="323"/>
      <c r="G152" s="323"/>
      <c r="H152" s="331"/>
      <c r="I152" s="317" t="str">
        <f t="shared" si="1"/>
        <v>#DIV/0!</v>
      </c>
    </row>
    <row r="153">
      <c r="A153" s="129"/>
      <c r="B153" s="129"/>
      <c r="C153" s="333" t="s">
        <v>126</v>
      </c>
      <c r="D153" s="330">
        <v>4.0</v>
      </c>
      <c r="E153" s="323"/>
      <c r="F153" s="323"/>
      <c r="G153" s="323"/>
      <c r="H153" s="331"/>
      <c r="I153" s="317" t="str">
        <f t="shared" si="1"/>
        <v>#DIV/0!</v>
      </c>
    </row>
    <row r="154">
      <c r="A154" s="56"/>
      <c r="B154" s="56"/>
      <c r="C154" s="333" t="s">
        <v>158</v>
      </c>
      <c r="D154" s="330">
        <v>4.0</v>
      </c>
      <c r="E154" s="323"/>
      <c r="F154" s="323"/>
      <c r="G154" s="323"/>
      <c r="H154" s="331"/>
      <c r="I154" s="317" t="str">
        <f t="shared" si="1"/>
        <v>#DIV/0!</v>
      </c>
    </row>
    <row r="155">
      <c r="A155" s="325">
        <v>24.0</v>
      </c>
      <c r="B155" s="332" t="s">
        <v>563</v>
      </c>
      <c r="C155" s="311" t="s">
        <v>536</v>
      </c>
      <c r="D155" s="327">
        <f>SUM(D156,D159)</f>
        <v>24</v>
      </c>
      <c r="E155" s="323"/>
      <c r="F155" s="323"/>
      <c r="G155" s="323"/>
      <c r="H155" s="331"/>
      <c r="I155" s="317" t="str">
        <f t="shared" si="1"/>
        <v>#DIV/0!</v>
      </c>
    </row>
    <row r="156">
      <c r="A156" s="129"/>
      <c r="B156" s="129"/>
      <c r="C156" s="311" t="s">
        <v>537</v>
      </c>
      <c r="D156" s="327">
        <f>SUM(D157:D158)</f>
        <v>12</v>
      </c>
      <c r="E156" s="323"/>
      <c r="F156" s="323"/>
      <c r="G156" s="323"/>
      <c r="H156" s="331"/>
      <c r="I156" s="317" t="str">
        <f t="shared" si="1"/>
        <v>#DIV/0!</v>
      </c>
    </row>
    <row r="157">
      <c r="A157" s="129"/>
      <c r="B157" s="129"/>
      <c r="C157" s="333" t="s">
        <v>141</v>
      </c>
      <c r="D157" s="330">
        <v>6.0</v>
      </c>
      <c r="E157" s="323"/>
      <c r="F157" s="323"/>
      <c r="G157" s="323"/>
      <c r="H157" s="331"/>
      <c r="I157" s="317" t="str">
        <f t="shared" si="1"/>
        <v>#DIV/0!</v>
      </c>
    </row>
    <row r="158">
      <c r="A158" s="129"/>
      <c r="B158" s="129"/>
      <c r="C158" s="333" t="s">
        <v>151</v>
      </c>
      <c r="D158" s="330">
        <v>6.0</v>
      </c>
      <c r="E158" s="323"/>
      <c r="F158" s="323"/>
      <c r="G158" s="323"/>
      <c r="H158" s="331"/>
      <c r="I158" s="317" t="str">
        <f t="shared" si="1"/>
        <v>#DIV/0!</v>
      </c>
    </row>
    <row r="159">
      <c r="A159" s="129"/>
      <c r="B159" s="129"/>
      <c r="C159" s="311" t="s">
        <v>538</v>
      </c>
      <c r="D159" s="327">
        <f>SUM(D160:D161)</f>
        <v>12</v>
      </c>
      <c r="E159" s="323"/>
      <c r="F159" s="323"/>
      <c r="G159" s="323"/>
      <c r="H159" s="331"/>
      <c r="I159" s="317" t="str">
        <f t="shared" si="1"/>
        <v>#DIV/0!</v>
      </c>
    </row>
    <row r="160">
      <c r="A160" s="129"/>
      <c r="B160" s="129"/>
      <c r="C160" s="333" t="s">
        <v>126</v>
      </c>
      <c r="D160" s="330">
        <v>4.0</v>
      </c>
      <c r="E160" s="323"/>
      <c r="F160" s="323"/>
      <c r="G160" s="323"/>
      <c r="H160" s="331"/>
      <c r="I160" s="317" t="str">
        <f t="shared" si="1"/>
        <v>#DIV/0!</v>
      </c>
    </row>
    <row r="161">
      <c r="A161" s="56"/>
      <c r="B161" s="56"/>
      <c r="C161" s="333" t="s">
        <v>120</v>
      </c>
      <c r="D161" s="330">
        <v>8.0</v>
      </c>
      <c r="E161" s="323"/>
      <c r="F161" s="323"/>
      <c r="G161" s="323"/>
      <c r="H161" s="331"/>
      <c r="I161" s="317" t="str">
        <f t="shared" si="1"/>
        <v>#DIV/0!</v>
      </c>
    </row>
    <row r="162">
      <c r="A162" s="325">
        <v>25.0</v>
      </c>
      <c r="B162" s="332" t="s">
        <v>564</v>
      </c>
      <c r="C162" s="311" t="s">
        <v>536</v>
      </c>
      <c r="D162" s="327">
        <f>SUM(D163)</f>
        <v>24</v>
      </c>
      <c r="E162" s="323"/>
      <c r="F162" s="323"/>
      <c r="G162" s="323"/>
      <c r="H162" s="331"/>
      <c r="I162" s="317" t="str">
        <f t="shared" si="1"/>
        <v>#DIV/0!</v>
      </c>
    </row>
    <row r="163">
      <c r="A163" s="129"/>
      <c r="B163" s="129"/>
      <c r="C163" s="311" t="s">
        <v>537</v>
      </c>
      <c r="D163" s="327">
        <f>SUM(D164:D165)</f>
        <v>24</v>
      </c>
      <c r="E163" s="323"/>
      <c r="F163" s="323"/>
      <c r="G163" s="323"/>
      <c r="H163" s="331"/>
      <c r="I163" s="317" t="str">
        <f t="shared" si="1"/>
        <v>#DIV/0!</v>
      </c>
    </row>
    <row r="164">
      <c r="A164" s="129"/>
      <c r="B164" s="129"/>
      <c r="C164" s="333" t="s">
        <v>105</v>
      </c>
      <c r="D164" s="330">
        <v>12.0</v>
      </c>
      <c r="E164" s="323"/>
      <c r="F164" s="323"/>
      <c r="G164" s="323"/>
      <c r="H164" s="331"/>
      <c r="I164" s="317" t="str">
        <f t="shared" si="1"/>
        <v>#DIV/0!</v>
      </c>
    </row>
    <row r="165">
      <c r="A165" s="56"/>
      <c r="B165" s="56"/>
      <c r="C165" s="333" t="s">
        <v>61</v>
      </c>
      <c r="D165" s="330">
        <v>12.0</v>
      </c>
      <c r="E165" s="323"/>
      <c r="F165" s="323"/>
      <c r="G165" s="323"/>
      <c r="H165" s="331"/>
      <c r="I165" s="317" t="str">
        <f t="shared" si="1"/>
        <v>#DIV/0!</v>
      </c>
    </row>
    <row r="166">
      <c r="A166" s="325">
        <v>26.0</v>
      </c>
      <c r="B166" s="332" t="s">
        <v>565</v>
      </c>
      <c r="C166" s="311" t="s">
        <v>536</v>
      </c>
      <c r="D166" s="327">
        <f>SUM(D167)</f>
        <v>11</v>
      </c>
      <c r="E166" s="323"/>
      <c r="F166" s="323"/>
      <c r="G166" s="323"/>
      <c r="H166" s="331"/>
      <c r="I166" s="317" t="str">
        <f t="shared" si="1"/>
        <v>#DIV/0!</v>
      </c>
    </row>
    <row r="167">
      <c r="A167" s="129"/>
      <c r="B167" s="129"/>
      <c r="C167" s="311" t="s">
        <v>538</v>
      </c>
      <c r="D167" s="327">
        <f>SUM(D168:D170)</f>
        <v>11</v>
      </c>
      <c r="E167" s="323"/>
      <c r="F167" s="323"/>
      <c r="G167" s="323"/>
      <c r="H167" s="331"/>
      <c r="I167" s="317" t="str">
        <f t="shared" si="1"/>
        <v>#DIV/0!</v>
      </c>
    </row>
    <row r="168">
      <c r="A168" s="129"/>
      <c r="B168" s="129"/>
      <c r="C168" s="333" t="s">
        <v>122</v>
      </c>
      <c r="D168" s="330">
        <v>6.0</v>
      </c>
      <c r="E168" s="323"/>
      <c r="F168" s="323"/>
      <c r="G168" s="323"/>
      <c r="H168" s="331"/>
      <c r="I168" s="317" t="str">
        <f t="shared" si="1"/>
        <v>#DIV/0!</v>
      </c>
    </row>
    <row r="169">
      <c r="A169" s="129"/>
      <c r="B169" s="129"/>
      <c r="C169" s="333" t="s">
        <v>136</v>
      </c>
      <c r="D169" s="330">
        <v>3.0</v>
      </c>
      <c r="E169" s="323"/>
      <c r="F169" s="323"/>
      <c r="G169" s="323"/>
      <c r="H169" s="331"/>
      <c r="I169" s="317" t="str">
        <f t="shared" si="1"/>
        <v>#DIV/0!</v>
      </c>
    </row>
    <row r="170">
      <c r="A170" s="56"/>
      <c r="B170" s="56"/>
      <c r="C170" s="333" t="s">
        <v>90</v>
      </c>
      <c r="D170" s="330">
        <v>2.0</v>
      </c>
      <c r="E170" s="323"/>
      <c r="F170" s="323"/>
      <c r="G170" s="323"/>
      <c r="H170" s="331"/>
      <c r="I170" s="317" t="str">
        <f t="shared" si="1"/>
        <v>#DIV/0!</v>
      </c>
    </row>
    <row r="171">
      <c r="A171" s="325">
        <v>27.0</v>
      </c>
      <c r="B171" s="332" t="s">
        <v>566</v>
      </c>
      <c r="C171" s="311" t="s">
        <v>536</v>
      </c>
      <c r="D171" s="327">
        <f>SUM(D172,D174)</f>
        <v>10</v>
      </c>
      <c r="E171" s="323"/>
      <c r="F171" s="323"/>
      <c r="G171" s="323"/>
      <c r="H171" s="331"/>
      <c r="I171" s="317" t="str">
        <f t="shared" si="1"/>
        <v>#DIV/0!</v>
      </c>
    </row>
    <row r="172">
      <c r="A172" s="129"/>
      <c r="B172" s="129"/>
      <c r="C172" s="311" t="s">
        <v>537</v>
      </c>
      <c r="D172" s="327">
        <f>SUM(D173)</f>
        <v>4</v>
      </c>
      <c r="E172" s="323"/>
      <c r="F172" s="323"/>
      <c r="G172" s="323"/>
      <c r="H172" s="331"/>
      <c r="I172" s="317" t="str">
        <f t="shared" si="1"/>
        <v>#DIV/0!</v>
      </c>
    </row>
    <row r="173">
      <c r="A173" s="129"/>
      <c r="B173" s="129"/>
      <c r="C173" s="333" t="s">
        <v>550</v>
      </c>
      <c r="D173" s="330">
        <v>4.0</v>
      </c>
      <c r="E173" s="323"/>
      <c r="F173" s="323"/>
      <c r="G173" s="323"/>
      <c r="H173" s="331"/>
      <c r="I173" s="317" t="str">
        <f t="shared" si="1"/>
        <v>#DIV/0!</v>
      </c>
    </row>
    <row r="174">
      <c r="A174" s="129"/>
      <c r="B174" s="129"/>
      <c r="C174" s="311" t="s">
        <v>538</v>
      </c>
      <c r="D174" s="327">
        <f>SUM(D175:D177)</f>
        <v>6</v>
      </c>
      <c r="E174" s="323"/>
      <c r="F174" s="323"/>
      <c r="G174" s="323"/>
      <c r="H174" s="331"/>
      <c r="I174" s="317" t="str">
        <f t="shared" si="1"/>
        <v>#DIV/0!</v>
      </c>
    </row>
    <row r="175">
      <c r="A175" s="129"/>
      <c r="B175" s="129"/>
      <c r="C175" s="333" t="s">
        <v>92</v>
      </c>
      <c r="D175" s="330">
        <v>2.0</v>
      </c>
      <c r="E175" s="323"/>
      <c r="F175" s="323"/>
      <c r="G175" s="323"/>
      <c r="H175" s="331"/>
      <c r="I175" s="317" t="str">
        <f t="shared" si="1"/>
        <v>#DIV/0!</v>
      </c>
    </row>
    <row r="176">
      <c r="A176" s="129"/>
      <c r="B176" s="129"/>
      <c r="C176" s="333" t="s">
        <v>79</v>
      </c>
      <c r="D176" s="330">
        <v>2.0</v>
      </c>
      <c r="E176" s="323"/>
      <c r="F176" s="323"/>
      <c r="G176" s="323"/>
      <c r="H176" s="331"/>
      <c r="I176" s="317" t="str">
        <f t="shared" si="1"/>
        <v>#DIV/0!</v>
      </c>
    </row>
    <row r="177">
      <c r="A177" s="56"/>
      <c r="B177" s="56"/>
      <c r="C177" s="333" t="s">
        <v>94</v>
      </c>
      <c r="D177" s="330">
        <v>2.0</v>
      </c>
      <c r="E177" s="323"/>
      <c r="F177" s="323"/>
      <c r="G177" s="323"/>
      <c r="H177" s="331"/>
      <c r="I177" s="317" t="str">
        <f t="shared" si="1"/>
        <v>#DIV/0!</v>
      </c>
    </row>
    <row r="178">
      <c r="A178" s="325">
        <v>28.0</v>
      </c>
      <c r="B178" s="332" t="s">
        <v>567</v>
      </c>
      <c r="C178" s="311" t="s">
        <v>536</v>
      </c>
      <c r="D178" s="327">
        <f>SUM(D179,D181)</f>
        <v>23</v>
      </c>
      <c r="E178" s="323"/>
      <c r="F178" s="323"/>
      <c r="G178" s="323"/>
      <c r="H178" s="331"/>
      <c r="I178" s="317" t="str">
        <f t="shared" si="1"/>
        <v>#DIV/0!</v>
      </c>
    </row>
    <row r="179">
      <c r="A179" s="129"/>
      <c r="B179" s="129"/>
      <c r="C179" s="311" t="s">
        <v>537</v>
      </c>
      <c r="D179" s="327">
        <f>SUM(D180)</f>
        <v>8</v>
      </c>
      <c r="E179" s="323"/>
      <c r="F179" s="323"/>
      <c r="G179" s="323"/>
      <c r="H179" s="331"/>
      <c r="I179" s="317" t="str">
        <f t="shared" si="1"/>
        <v>#DIV/0!</v>
      </c>
    </row>
    <row r="180">
      <c r="A180" s="129"/>
      <c r="B180" s="129"/>
      <c r="C180" s="333" t="s">
        <v>147</v>
      </c>
      <c r="D180" s="330">
        <v>8.0</v>
      </c>
      <c r="E180" s="323"/>
      <c r="F180" s="323"/>
      <c r="G180" s="323"/>
      <c r="H180" s="331"/>
      <c r="I180" s="317" t="str">
        <f t="shared" si="1"/>
        <v>#DIV/0!</v>
      </c>
    </row>
    <row r="181">
      <c r="A181" s="129"/>
      <c r="B181" s="129"/>
      <c r="C181" s="311" t="s">
        <v>538</v>
      </c>
      <c r="D181" s="327">
        <f>SUM(D182:D183)</f>
        <v>15</v>
      </c>
      <c r="E181" s="323"/>
      <c r="F181" s="323"/>
      <c r="G181" s="323"/>
      <c r="H181" s="331"/>
      <c r="I181" s="317" t="str">
        <f t="shared" si="1"/>
        <v>#DIV/0!</v>
      </c>
    </row>
    <row r="182">
      <c r="A182" s="129"/>
      <c r="B182" s="129"/>
      <c r="C182" s="333" t="s">
        <v>132</v>
      </c>
      <c r="D182" s="330">
        <v>9.0</v>
      </c>
      <c r="E182" s="323"/>
      <c r="F182" s="323"/>
      <c r="G182" s="323"/>
      <c r="H182" s="331"/>
      <c r="I182" s="317" t="str">
        <f t="shared" si="1"/>
        <v>#DIV/0!</v>
      </c>
    </row>
    <row r="183">
      <c r="A183" s="56"/>
      <c r="B183" s="56"/>
      <c r="C183" s="333" t="s">
        <v>136</v>
      </c>
      <c r="D183" s="330">
        <v>6.0</v>
      </c>
      <c r="E183" s="323"/>
      <c r="F183" s="323"/>
      <c r="G183" s="323"/>
      <c r="H183" s="331"/>
      <c r="I183" s="317" t="str">
        <f t="shared" si="1"/>
        <v>#DIV/0!</v>
      </c>
    </row>
    <row r="184">
      <c r="A184" s="325">
        <v>29.0</v>
      </c>
      <c r="B184" s="332" t="s">
        <v>568</v>
      </c>
      <c r="C184" s="311" t="s">
        <v>536</v>
      </c>
      <c r="D184" s="327">
        <f>SUM(D185,D187)</f>
        <v>12</v>
      </c>
      <c r="E184" s="323"/>
      <c r="F184" s="323"/>
      <c r="G184" s="323"/>
      <c r="H184" s="331"/>
      <c r="I184" s="317" t="str">
        <f t="shared" si="1"/>
        <v>#DIV/0!</v>
      </c>
    </row>
    <row r="185">
      <c r="A185" s="129"/>
      <c r="B185" s="129"/>
      <c r="C185" s="311" t="s">
        <v>537</v>
      </c>
      <c r="D185" s="327">
        <f>SUM(D186)</f>
        <v>6</v>
      </c>
      <c r="E185" s="323"/>
      <c r="F185" s="323"/>
      <c r="G185" s="323"/>
      <c r="H185" s="331"/>
      <c r="I185" s="317" t="str">
        <f t="shared" si="1"/>
        <v>#DIV/0!</v>
      </c>
    </row>
    <row r="186">
      <c r="A186" s="129"/>
      <c r="B186" s="129"/>
      <c r="C186" s="333" t="s">
        <v>69</v>
      </c>
      <c r="D186" s="330">
        <v>6.0</v>
      </c>
      <c r="E186" s="323"/>
      <c r="F186" s="323"/>
      <c r="G186" s="323"/>
      <c r="H186" s="331"/>
      <c r="I186" s="317" t="str">
        <f t="shared" si="1"/>
        <v>#DIV/0!</v>
      </c>
    </row>
    <row r="187">
      <c r="A187" s="129"/>
      <c r="B187" s="129"/>
      <c r="C187" s="311" t="s">
        <v>538</v>
      </c>
      <c r="D187" s="327">
        <f>SUM(D188:D189)</f>
        <v>6</v>
      </c>
      <c r="E187" s="323"/>
      <c r="F187" s="323"/>
      <c r="G187" s="323"/>
      <c r="H187" s="331"/>
      <c r="I187" s="317" t="str">
        <f t="shared" si="1"/>
        <v>#DIV/0!</v>
      </c>
    </row>
    <row r="188">
      <c r="A188" s="129"/>
      <c r="B188" s="129"/>
      <c r="C188" s="333" t="s">
        <v>84</v>
      </c>
      <c r="D188" s="330">
        <v>2.0</v>
      </c>
      <c r="E188" s="323"/>
      <c r="F188" s="323"/>
      <c r="G188" s="323"/>
      <c r="H188" s="331"/>
      <c r="I188" s="317" t="str">
        <f t="shared" si="1"/>
        <v>#DIV/0!</v>
      </c>
    </row>
    <row r="189">
      <c r="A189" s="56"/>
      <c r="B189" s="56"/>
      <c r="C189" s="333" t="s">
        <v>79</v>
      </c>
      <c r="D189" s="330">
        <v>4.0</v>
      </c>
      <c r="E189" s="323"/>
      <c r="F189" s="323"/>
      <c r="G189" s="323"/>
      <c r="H189" s="331"/>
      <c r="I189" s="317" t="str">
        <f t="shared" si="1"/>
        <v>#DIV/0!</v>
      </c>
    </row>
    <row r="190">
      <c r="A190" s="325">
        <v>30.0</v>
      </c>
      <c r="B190" s="332" t="s">
        <v>569</v>
      </c>
      <c r="C190" s="311" t="s">
        <v>536</v>
      </c>
      <c r="D190" s="327">
        <f>SUM(D191,D193)</f>
        <v>28</v>
      </c>
      <c r="E190" s="323"/>
      <c r="F190" s="323"/>
      <c r="G190" s="323"/>
      <c r="H190" s="331"/>
      <c r="I190" s="317" t="str">
        <f t="shared" si="1"/>
        <v>#DIV/0!</v>
      </c>
    </row>
    <row r="191">
      <c r="A191" s="129"/>
      <c r="B191" s="129"/>
      <c r="C191" s="311" t="s">
        <v>537</v>
      </c>
      <c r="D191" s="327">
        <f>SUM(D192)</f>
        <v>6</v>
      </c>
      <c r="E191" s="323"/>
      <c r="F191" s="323"/>
      <c r="G191" s="323"/>
      <c r="H191" s="331"/>
      <c r="I191" s="317" t="str">
        <f t="shared" si="1"/>
        <v>#DIV/0!</v>
      </c>
    </row>
    <row r="192">
      <c r="A192" s="129"/>
      <c r="B192" s="129"/>
      <c r="C192" s="333" t="s">
        <v>107</v>
      </c>
      <c r="D192" s="330">
        <v>6.0</v>
      </c>
      <c r="E192" s="323"/>
      <c r="F192" s="323"/>
      <c r="G192" s="323"/>
      <c r="H192" s="331"/>
      <c r="I192" s="317" t="str">
        <f t="shared" si="1"/>
        <v>#DIV/0!</v>
      </c>
    </row>
    <row r="193">
      <c r="A193" s="129"/>
      <c r="B193" s="129"/>
      <c r="C193" s="311" t="s">
        <v>538</v>
      </c>
      <c r="D193" s="327">
        <f>SUM(D194:D199)</f>
        <v>22</v>
      </c>
      <c r="E193" s="323"/>
      <c r="F193" s="323"/>
      <c r="G193" s="323"/>
      <c r="H193" s="331"/>
      <c r="I193" s="317" t="str">
        <f t="shared" si="1"/>
        <v>#DIV/0!</v>
      </c>
    </row>
    <row r="194">
      <c r="A194" s="129"/>
      <c r="B194" s="129"/>
      <c r="C194" s="333" t="s">
        <v>86</v>
      </c>
      <c r="D194" s="330">
        <v>2.0</v>
      </c>
      <c r="E194" s="323"/>
      <c r="F194" s="323"/>
      <c r="G194" s="323"/>
      <c r="H194" s="331"/>
      <c r="I194" s="317" t="str">
        <f t="shared" si="1"/>
        <v>#DIV/0!</v>
      </c>
    </row>
    <row r="195">
      <c r="A195" s="129"/>
      <c r="B195" s="129"/>
      <c r="C195" s="333" t="s">
        <v>156</v>
      </c>
      <c r="D195" s="330">
        <v>2.0</v>
      </c>
      <c r="E195" s="323"/>
      <c r="F195" s="323"/>
      <c r="G195" s="323"/>
      <c r="H195" s="331"/>
      <c r="I195" s="317" t="str">
        <f t="shared" si="1"/>
        <v>#DIV/0!</v>
      </c>
    </row>
    <row r="196">
      <c r="A196" s="129"/>
      <c r="B196" s="129"/>
      <c r="C196" s="333" t="s">
        <v>160</v>
      </c>
      <c r="D196" s="330">
        <v>6.0</v>
      </c>
      <c r="E196" s="323"/>
      <c r="F196" s="323"/>
      <c r="G196" s="323"/>
      <c r="H196" s="331"/>
      <c r="I196" s="317" t="str">
        <f t="shared" si="1"/>
        <v>#DIV/0!</v>
      </c>
    </row>
    <row r="197">
      <c r="A197" s="129"/>
      <c r="B197" s="129"/>
      <c r="C197" s="333" t="s">
        <v>132</v>
      </c>
      <c r="D197" s="330">
        <v>3.0</v>
      </c>
      <c r="E197" s="323"/>
      <c r="F197" s="323"/>
      <c r="G197" s="323"/>
      <c r="H197" s="331"/>
      <c r="I197" s="317" t="str">
        <f t="shared" si="1"/>
        <v>#DIV/0!</v>
      </c>
    </row>
    <row r="198">
      <c r="A198" s="129"/>
      <c r="B198" s="129"/>
      <c r="C198" s="333" t="s">
        <v>136</v>
      </c>
      <c r="D198" s="330">
        <v>3.0</v>
      </c>
      <c r="E198" s="323"/>
      <c r="F198" s="323"/>
      <c r="G198" s="323"/>
      <c r="H198" s="331"/>
      <c r="I198" s="317" t="str">
        <f t="shared" si="1"/>
        <v>#DIV/0!</v>
      </c>
    </row>
    <row r="199">
      <c r="A199" s="56"/>
      <c r="B199" s="56"/>
      <c r="C199" s="333" t="s">
        <v>163</v>
      </c>
      <c r="D199" s="330">
        <v>6.0</v>
      </c>
      <c r="E199" s="323"/>
      <c r="F199" s="323"/>
      <c r="G199" s="323"/>
      <c r="H199" s="331"/>
      <c r="I199" s="317" t="str">
        <f t="shared" si="1"/>
        <v>#DIV/0!</v>
      </c>
    </row>
    <row r="200">
      <c r="A200" s="325">
        <v>31.0</v>
      </c>
      <c r="B200" s="332" t="s">
        <v>570</v>
      </c>
      <c r="C200" s="311" t="s">
        <v>536</v>
      </c>
      <c r="D200" s="327">
        <f>SUM(D201,D203)</f>
        <v>16</v>
      </c>
      <c r="E200" s="323"/>
      <c r="F200" s="323"/>
      <c r="G200" s="323"/>
      <c r="H200" s="331"/>
      <c r="I200" s="317" t="str">
        <f t="shared" si="1"/>
        <v>#DIV/0!</v>
      </c>
    </row>
    <row r="201">
      <c r="A201" s="129"/>
      <c r="B201" s="129"/>
      <c r="C201" s="311" t="s">
        <v>537</v>
      </c>
      <c r="D201" s="327">
        <f>SUM(D202)</f>
        <v>14</v>
      </c>
      <c r="E201" s="323"/>
      <c r="F201" s="323"/>
      <c r="G201" s="323"/>
      <c r="H201" s="331"/>
      <c r="I201" s="317" t="str">
        <f t="shared" si="1"/>
        <v>#DIV/0!</v>
      </c>
    </row>
    <row r="202">
      <c r="A202" s="129"/>
      <c r="B202" s="129"/>
      <c r="C202" s="333" t="s">
        <v>117</v>
      </c>
      <c r="D202" s="330">
        <v>14.0</v>
      </c>
      <c r="E202" s="323"/>
      <c r="F202" s="323"/>
      <c r="G202" s="323"/>
      <c r="H202" s="331"/>
      <c r="I202" s="317" t="str">
        <f t="shared" si="1"/>
        <v>#DIV/0!</v>
      </c>
    </row>
    <row r="203">
      <c r="A203" s="129"/>
      <c r="B203" s="129"/>
      <c r="C203" s="311" t="s">
        <v>538</v>
      </c>
      <c r="D203" s="327">
        <f>SUM(D204)</f>
        <v>2</v>
      </c>
      <c r="E203" s="323"/>
      <c r="F203" s="323"/>
      <c r="G203" s="323"/>
      <c r="H203" s="331"/>
      <c r="I203" s="317" t="str">
        <f t="shared" si="1"/>
        <v>#DIV/0!</v>
      </c>
    </row>
    <row r="204">
      <c r="A204" s="56"/>
      <c r="B204" s="56"/>
      <c r="C204" s="333" t="s">
        <v>201</v>
      </c>
      <c r="D204" s="330">
        <v>2.0</v>
      </c>
      <c r="E204" s="323"/>
      <c r="F204" s="323"/>
      <c r="G204" s="323"/>
      <c r="H204" s="331"/>
      <c r="I204" s="317" t="str">
        <f t="shared" si="1"/>
        <v>#DIV/0!</v>
      </c>
    </row>
    <row r="205">
      <c r="A205" s="325">
        <v>32.0</v>
      </c>
      <c r="B205" s="332" t="s">
        <v>571</v>
      </c>
      <c r="C205" s="311" t="s">
        <v>536</v>
      </c>
      <c r="D205" s="327">
        <f>SUM(D206,D210)</f>
        <v>35</v>
      </c>
      <c r="E205" s="323"/>
      <c r="F205" s="323"/>
      <c r="G205" s="323"/>
      <c r="H205" s="331"/>
      <c r="I205" s="317" t="str">
        <f t="shared" si="1"/>
        <v>#DIV/0!</v>
      </c>
    </row>
    <row r="206">
      <c r="A206" s="129"/>
      <c r="B206" s="129"/>
      <c r="C206" s="311" t="s">
        <v>537</v>
      </c>
      <c r="D206" s="327">
        <f>SUM(D207:D209)</f>
        <v>19</v>
      </c>
      <c r="E206" s="323"/>
      <c r="F206" s="323"/>
      <c r="G206" s="323"/>
      <c r="H206" s="331"/>
      <c r="I206" s="317" t="str">
        <f t="shared" si="1"/>
        <v>#DIV/0!</v>
      </c>
    </row>
    <row r="207">
      <c r="A207" s="129"/>
      <c r="B207" s="129"/>
      <c r="C207" s="333" t="s">
        <v>172</v>
      </c>
      <c r="D207" s="330">
        <v>4.0</v>
      </c>
      <c r="E207" s="323"/>
      <c r="F207" s="323"/>
      <c r="G207" s="323"/>
      <c r="H207" s="331"/>
      <c r="I207" s="317" t="str">
        <f t="shared" si="1"/>
        <v>#DIV/0!</v>
      </c>
    </row>
    <row r="208">
      <c r="A208" s="129"/>
      <c r="B208" s="129"/>
      <c r="C208" s="333" t="s">
        <v>69</v>
      </c>
      <c r="D208" s="330">
        <v>3.0</v>
      </c>
      <c r="E208" s="323"/>
      <c r="F208" s="323"/>
      <c r="G208" s="323"/>
      <c r="H208" s="331"/>
      <c r="I208" s="317" t="str">
        <f t="shared" si="1"/>
        <v>#DIV/0!</v>
      </c>
    </row>
    <row r="209">
      <c r="A209" s="129"/>
      <c r="B209" s="129"/>
      <c r="C209" s="333" t="s">
        <v>143</v>
      </c>
      <c r="D209" s="330">
        <v>12.0</v>
      </c>
      <c r="E209" s="323"/>
      <c r="F209" s="323"/>
      <c r="G209" s="323"/>
      <c r="H209" s="331"/>
      <c r="I209" s="317" t="str">
        <f t="shared" si="1"/>
        <v>#DIV/0!</v>
      </c>
    </row>
    <row r="210">
      <c r="A210" s="129"/>
      <c r="B210" s="129"/>
      <c r="C210" s="311" t="s">
        <v>538</v>
      </c>
      <c r="D210" s="327">
        <f>SUM(D211:D215)</f>
        <v>16</v>
      </c>
      <c r="E210" s="323"/>
      <c r="F210" s="323"/>
      <c r="G210" s="323"/>
      <c r="H210" s="331"/>
      <c r="I210" s="317" t="str">
        <f t="shared" si="1"/>
        <v>#DIV/0!</v>
      </c>
    </row>
    <row r="211">
      <c r="A211" s="129"/>
      <c r="B211" s="129"/>
      <c r="C211" s="333" t="s">
        <v>170</v>
      </c>
      <c r="D211" s="330">
        <v>2.0</v>
      </c>
      <c r="E211" s="323"/>
      <c r="F211" s="323"/>
      <c r="G211" s="323"/>
      <c r="H211" s="331"/>
      <c r="I211" s="317" t="str">
        <f t="shared" si="1"/>
        <v>#DIV/0!</v>
      </c>
    </row>
    <row r="212">
      <c r="A212" s="129"/>
      <c r="B212" s="129"/>
      <c r="C212" s="333" t="s">
        <v>86</v>
      </c>
      <c r="D212" s="330">
        <v>2.0</v>
      </c>
      <c r="E212" s="323"/>
      <c r="F212" s="323"/>
      <c r="G212" s="323"/>
      <c r="H212" s="331"/>
      <c r="I212" s="317" t="str">
        <f t="shared" si="1"/>
        <v>#DIV/0!</v>
      </c>
    </row>
    <row r="213">
      <c r="A213" s="129"/>
      <c r="B213" s="129"/>
      <c r="C213" s="333" t="s">
        <v>132</v>
      </c>
      <c r="D213" s="330">
        <v>3.0</v>
      </c>
      <c r="E213" s="323"/>
      <c r="F213" s="323"/>
      <c r="G213" s="323"/>
      <c r="H213" s="331"/>
      <c r="I213" s="317" t="str">
        <f t="shared" si="1"/>
        <v>#DIV/0!</v>
      </c>
    </row>
    <row r="214">
      <c r="A214" s="129"/>
      <c r="B214" s="129"/>
      <c r="C214" s="333" t="s">
        <v>136</v>
      </c>
      <c r="D214" s="330">
        <v>3.0</v>
      </c>
      <c r="E214" s="323"/>
      <c r="F214" s="323"/>
      <c r="G214" s="323"/>
      <c r="H214" s="331"/>
      <c r="I214" s="317" t="str">
        <f t="shared" si="1"/>
        <v>#DIV/0!</v>
      </c>
    </row>
    <row r="215">
      <c r="A215" s="56"/>
      <c r="B215" s="56"/>
      <c r="C215" s="333" t="s">
        <v>163</v>
      </c>
      <c r="D215" s="330">
        <v>6.0</v>
      </c>
      <c r="E215" s="323"/>
      <c r="F215" s="323"/>
      <c r="G215" s="323"/>
      <c r="H215" s="331"/>
      <c r="I215" s="317" t="str">
        <f t="shared" si="1"/>
        <v>#DIV/0!</v>
      </c>
    </row>
    <row r="216">
      <c r="A216" s="325">
        <v>33.0</v>
      </c>
      <c r="B216" s="332" t="s">
        <v>572</v>
      </c>
      <c r="C216" s="311" t="s">
        <v>536</v>
      </c>
      <c r="D216" s="327">
        <f>SUM(D218,D220)</f>
        <v>4</v>
      </c>
      <c r="E216" s="323"/>
      <c r="F216" s="323"/>
      <c r="G216" s="323"/>
      <c r="H216" s="331"/>
      <c r="I216" s="317" t="str">
        <f t="shared" si="1"/>
        <v>#DIV/0!</v>
      </c>
    </row>
    <row r="217">
      <c r="A217" s="129"/>
      <c r="B217" s="129"/>
      <c r="C217" s="311" t="s">
        <v>537</v>
      </c>
      <c r="D217" s="327">
        <f>SUM(D218)</f>
        <v>2</v>
      </c>
      <c r="E217" s="323"/>
      <c r="F217" s="323"/>
      <c r="G217" s="323"/>
      <c r="H217" s="331"/>
      <c r="I217" s="317" t="str">
        <f t="shared" si="1"/>
        <v>#DIV/0!</v>
      </c>
    </row>
    <row r="218">
      <c r="A218" s="129"/>
      <c r="B218" s="129"/>
      <c r="C218" s="333" t="s">
        <v>77</v>
      </c>
      <c r="D218" s="330">
        <v>2.0</v>
      </c>
      <c r="E218" s="323"/>
      <c r="F218" s="323"/>
      <c r="G218" s="323"/>
      <c r="H218" s="331"/>
      <c r="I218" s="317" t="str">
        <f t="shared" si="1"/>
        <v>#DIV/0!</v>
      </c>
    </row>
    <row r="219">
      <c r="A219" s="129"/>
      <c r="B219" s="129"/>
      <c r="C219" s="311" t="s">
        <v>538</v>
      </c>
      <c r="D219" s="327">
        <f>SUM(D220)</f>
        <v>2</v>
      </c>
      <c r="E219" s="323"/>
      <c r="F219" s="323"/>
      <c r="G219" s="323"/>
      <c r="H219" s="331"/>
      <c r="I219" s="317" t="str">
        <f t="shared" si="1"/>
        <v>#DIV/0!</v>
      </c>
    </row>
    <row r="220">
      <c r="A220" s="56"/>
      <c r="B220" s="56"/>
      <c r="C220" s="333" t="s">
        <v>158</v>
      </c>
      <c r="D220" s="330">
        <v>2.0</v>
      </c>
      <c r="E220" s="323"/>
      <c r="F220" s="323"/>
      <c r="G220" s="323"/>
      <c r="H220" s="331"/>
      <c r="I220" s="317" t="str">
        <f t="shared" si="1"/>
        <v>#DIV/0!</v>
      </c>
    </row>
    <row r="221">
      <c r="A221" s="325">
        <v>34.0</v>
      </c>
      <c r="B221" s="332" t="s">
        <v>573</v>
      </c>
      <c r="C221" s="311" t="s">
        <v>536</v>
      </c>
      <c r="D221" s="327">
        <f t="shared" ref="D221:D222" si="6">SUM(D222)</f>
        <v>2</v>
      </c>
      <c r="E221" s="323"/>
      <c r="F221" s="323"/>
      <c r="G221" s="323"/>
      <c r="H221" s="331"/>
      <c r="I221" s="317" t="str">
        <f t="shared" si="1"/>
        <v>#DIV/0!</v>
      </c>
    </row>
    <row r="222">
      <c r="A222" s="129"/>
      <c r="B222" s="129"/>
      <c r="C222" s="311" t="s">
        <v>538</v>
      </c>
      <c r="D222" s="327">
        <f t="shared" si="6"/>
        <v>2</v>
      </c>
      <c r="E222" s="323"/>
      <c r="F222" s="323"/>
      <c r="G222" s="323"/>
      <c r="H222" s="331"/>
      <c r="I222" s="317" t="str">
        <f t="shared" si="1"/>
        <v>#DIV/0!</v>
      </c>
    </row>
    <row r="223">
      <c r="A223" s="56"/>
      <c r="B223" s="56"/>
      <c r="C223" s="333" t="s">
        <v>82</v>
      </c>
      <c r="D223" s="330">
        <v>2.0</v>
      </c>
      <c r="E223" s="323"/>
      <c r="F223" s="323"/>
      <c r="G223" s="323"/>
      <c r="H223" s="331"/>
      <c r="I223" s="317" t="str">
        <f t="shared" si="1"/>
        <v>#DIV/0!</v>
      </c>
    </row>
    <row r="224">
      <c r="A224" s="325">
        <v>35.0</v>
      </c>
      <c r="B224" s="332" t="s">
        <v>574</v>
      </c>
      <c r="C224" s="311" t="s">
        <v>536</v>
      </c>
      <c r="D224" s="327">
        <f>SUM(D225,D229)</f>
        <v>28</v>
      </c>
      <c r="E224" s="323"/>
      <c r="F224" s="323"/>
      <c r="G224" s="323"/>
      <c r="H224" s="331"/>
      <c r="I224" s="317" t="str">
        <f t="shared" si="1"/>
        <v>#DIV/0!</v>
      </c>
    </row>
    <row r="225">
      <c r="A225" s="129"/>
      <c r="B225" s="129"/>
      <c r="C225" s="311" t="s">
        <v>537</v>
      </c>
      <c r="D225" s="327">
        <f>SUM(D226:D228)</f>
        <v>14</v>
      </c>
      <c r="E225" s="323"/>
      <c r="F225" s="323"/>
      <c r="G225" s="323"/>
      <c r="H225" s="331"/>
      <c r="I225" s="317" t="str">
        <f t="shared" si="1"/>
        <v>#DIV/0!</v>
      </c>
    </row>
    <row r="226">
      <c r="A226" s="129"/>
      <c r="B226" s="129"/>
      <c r="C226" s="333" t="s">
        <v>73</v>
      </c>
      <c r="D226" s="330">
        <v>4.0</v>
      </c>
      <c r="E226" s="323"/>
      <c r="F226" s="323"/>
      <c r="G226" s="323"/>
      <c r="H226" s="331"/>
      <c r="I226" s="317" t="str">
        <f t="shared" si="1"/>
        <v>#DIV/0!</v>
      </c>
    </row>
    <row r="227">
      <c r="A227" s="129"/>
      <c r="B227" s="129"/>
      <c r="C227" s="333" t="s">
        <v>172</v>
      </c>
      <c r="D227" s="330">
        <v>4.0</v>
      </c>
      <c r="E227" s="323"/>
      <c r="F227" s="323"/>
      <c r="G227" s="323"/>
      <c r="H227" s="331"/>
      <c r="I227" s="317" t="str">
        <f t="shared" si="1"/>
        <v>#DIV/0!</v>
      </c>
    </row>
    <row r="228">
      <c r="A228" s="129"/>
      <c r="B228" s="129"/>
      <c r="C228" s="333" t="s">
        <v>75</v>
      </c>
      <c r="D228" s="330">
        <v>6.0</v>
      </c>
      <c r="E228" s="323"/>
      <c r="F228" s="323"/>
      <c r="G228" s="323"/>
      <c r="H228" s="331"/>
      <c r="I228" s="317" t="str">
        <f t="shared" si="1"/>
        <v>#DIV/0!</v>
      </c>
    </row>
    <row r="229">
      <c r="A229" s="129"/>
      <c r="B229" s="129"/>
      <c r="C229" s="311" t="s">
        <v>538</v>
      </c>
      <c r="D229" s="327">
        <f>SUM(D230:D232)</f>
        <v>14</v>
      </c>
      <c r="E229" s="323"/>
      <c r="F229" s="323"/>
      <c r="G229" s="323"/>
      <c r="H229" s="331"/>
      <c r="I229" s="317" t="str">
        <f t="shared" si="1"/>
        <v>#DIV/0!</v>
      </c>
    </row>
    <row r="230">
      <c r="A230" s="129"/>
      <c r="B230" s="129"/>
      <c r="C230" s="333" t="s">
        <v>96</v>
      </c>
      <c r="D230" s="330">
        <v>4.0</v>
      </c>
      <c r="E230" s="323"/>
      <c r="F230" s="323"/>
      <c r="G230" s="323"/>
      <c r="H230" s="331"/>
      <c r="I230" s="317" t="str">
        <f t="shared" si="1"/>
        <v>#DIV/0!</v>
      </c>
    </row>
    <row r="231">
      <c r="A231" s="129"/>
      <c r="B231" s="129"/>
      <c r="C231" s="333" t="s">
        <v>249</v>
      </c>
      <c r="D231" s="330">
        <v>6.0</v>
      </c>
      <c r="E231" s="323"/>
      <c r="F231" s="323"/>
      <c r="G231" s="323"/>
      <c r="H231" s="331"/>
      <c r="I231" s="317" t="str">
        <f t="shared" si="1"/>
        <v>#DIV/0!</v>
      </c>
    </row>
    <row r="232">
      <c r="A232" s="56"/>
      <c r="B232" s="56"/>
      <c r="C232" s="333" t="s">
        <v>88</v>
      </c>
      <c r="D232" s="330">
        <v>4.0</v>
      </c>
      <c r="E232" s="323"/>
      <c r="F232" s="323"/>
      <c r="G232" s="323"/>
      <c r="H232" s="331"/>
      <c r="I232" s="317" t="str">
        <f t="shared" si="1"/>
        <v>#DIV/0!</v>
      </c>
    </row>
    <row r="233">
      <c r="A233" s="325">
        <v>36.0</v>
      </c>
      <c r="B233" s="332" t="s">
        <v>575</v>
      </c>
      <c r="C233" s="311" t="s">
        <v>536</v>
      </c>
      <c r="D233" s="327">
        <f t="shared" ref="D233:D234" si="7">SUM(D234)</f>
        <v>6</v>
      </c>
      <c r="E233" s="323"/>
      <c r="F233" s="323"/>
      <c r="G233" s="323"/>
      <c r="H233" s="331"/>
      <c r="I233" s="317" t="str">
        <f t="shared" si="1"/>
        <v>#DIV/0!</v>
      </c>
    </row>
    <row r="234">
      <c r="A234" s="129"/>
      <c r="B234" s="129"/>
      <c r="C234" s="311" t="s">
        <v>538</v>
      </c>
      <c r="D234" s="327">
        <f t="shared" si="7"/>
        <v>6</v>
      </c>
      <c r="E234" s="323"/>
      <c r="F234" s="323"/>
      <c r="G234" s="323"/>
      <c r="H234" s="331"/>
      <c r="I234" s="317" t="str">
        <f t="shared" si="1"/>
        <v>#DIV/0!</v>
      </c>
    </row>
    <row r="235">
      <c r="A235" s="56"/>
      <c r="B235" s="56"/>
      <c r="C235" s="333" t="s">
        <v>103</v>
      </c>
      <c r="D235" s="330">
        <v>6.0</v>
      </c>
      <c r="E235" s="323"/>
      <c r="F235" s="323"/>
      <c r="G235" s="323"/>
      <c r="H235" s="331"/>
      <c r="I235" s="317" t="str">
        <f t="shared" si="1"/>
        <v>#DIV/0!</v>
      </c>
    </row>
    <row r="236">
      <c r="A236" s="325">
        <v>37.0</v>
      </c>
      <c r="B236" s="332" t="s">
        <v>576</v>
      </c>
      <c r="C236" s="311" t="s">
        <v>536</v>
      </c>
      <c r="D236" s="327">
        <f>SUM(D237,D241)</f>
        <v>22</v>
      </c>
      <c r="E236" s="323"/>
      <c r="F236" s="323"/>
      <c r="G236" s="323"/>
      <c r="H236" s="331"/>
      <c r="I236" s="317" t="str">
        <f t="shared" si="1"/>
        <v>#DIV/0!</v>
      </c>
    </row>
    <row r="237">
      <c r="A237" s="129"/>
      <c r="B237" s="129"/>
      <c r="C237" s="311" t="s">
        <v>537</v>
      </c>
      <c r="D237" s="327">
        <f>SUM(D238:D240)</f>
        <v>16</v>
      </c>
      <c r="E237" s="323"/>
      <c r="F237" s="323"/>
      <c r="G237" s="323"/>
      <c r="H237" s="331"/>
      <c r="I237" s="317" t="str">
        <f t="shared" si="1"/>
        <v>#DIV/0!</v>
      </c>
    </row>
    <row r="238">
      <c r="A238" s="129"/>
      <c r="B238" s="129"/>
      <c r="C238" s="333" t="s">
        <v>139</v>
      </c>
      <c r="D238" s="330">
        <v>6.0</v>
      </c>
      <c r="E238" s="323"/>
      <c r="F238" s="323"/>
      <c r="G238" s="323"/>
      <c r="H238" s="331"/>
      <c r="I238" s="317" t="str">
        <f t="shared" si="1"/>
        <v>#DIV/0!</v>
      </c>
    </row>
    <row r="239">
      <c r="A239" s="129"/>
      <c r="B239" s="129"/>
      <c r="C239" s="333" t="s">
        <v>172</v>
      </c>
      <c r="D239" s="330">
        <v>4.0</v>
      </c>
      <c r="E239" s="323"/>
      <c r="F239" s="323"/>
      <c r="G239" s="323"/>
      <c r="H239" s="331"/>
      <c r="I239" s="317" t="str">
        <f t="shared" si="1"/>
        <v>#DIV/0!</v>
      </c>
    </row>
    <row r="240">
      <c r="A240" s="129"/>
      <c r="B240" s="129"/>
      <c r="C240" s="333" t="s">
        <v>65</v>
      </c>
      <c r="D240" s="330">
        <v>6.0</v>
      </c>
      <c r="E240" s="323"/>
      <c r="F240" s="323"/>
      <c r="G240" s="323"/>
      <c r="H240" s="331"/>
      <c r="I240" s="317" t="str">
        <f t="shared" si="1"/>
        <v>#DIV/0!</v>
      </c>
    </row>
    <row r="241">
      <c r="A241" s="129"/>
      <c r="B241" s="129"/>
      <c r="C241" s="311" t="s">
        <v>538</v>
      </c>
      <c r="D241" s="327">
        <f>SUM(D242)</f>
        <v>6</v>
      </c>
      <c r="E241" s="323"/>
      <c r="F241" s="323"/>
      <c r="G241" s="323"/>
      <c r="H241" s="331"/>
      <c r="I241" s="317" t="str">
        <f t="shared" si="1"/>
        <v>#DIV/0!</v>
      </c>
    </row>
    <row r="242">
      <c r="A242" s="56"/>
      <c r="B242" s="56"/>
      <c r="C242" s="333" t="s">
        <v>156</v>
      </c>
      <c r="D242" s="330">
        <v>6.0</v>
      </c>
      <c r="E242" s="323"/>
      <c r="F242" s="323"/>
      <c r="G242" s="323"/>
      <c r="H242" s="331"/>
      <c r="I242" s="317" t="str">
        <f t="shared" si="1"/>
        <v>#DIV/0!</v>
      </c>
    </row>
    <row r="243">
      <c r="A243" s="325">
        <v>38.0</v>
      </c>
      <c r="B243" s="332" t="s">
        <v>577</v>
      </c>
      <c r="C243" s="311" t="s">
        <v>536</v>
      </c>
      <c r="D243" s="327">
        <f t="shared" ref="D243:D244" si="8">SUM(D244)</f>
        <v>6</v>
      </c>
      <c r="E243" s="323"/>
      <c r="F243" s="323"/>
      <c r="G243" s="323"/>
      <c r="H243" s="331"/>
      <c r="I243" s="317" t="str">
        <f t="shared" si="1"/>
        <v>#DIV/0!</v>
      </c>
    </row>
    <row r="244">
      <c r="A244" s="129"/>
      <c r="B244" s="129"/>
      <c r="C244" s="311" t="s">
        <v>538</v>
      </c>
      <c r="D244" s="327">
        <f t="shared" si="8"/>
        <v>6</v>
      </c>
      <c r="E244" s="323"/>
      <c r="F244" s="323"/>
      <c r="G244" s="323"/>
      <c r="H244" s="331"/>
      <c r="I244" s="317" t="str">
        <f t="shared" si="1"/>
        <v>#DIV/0!</v>
      </c>
    </row>
    <row r="245">
      <c r="A245" s="56"/>
      <c r="B245" s="56"/>
      <c r="C245" s="333" t="s">
        <v>158</v>
      </c>
      <c r="D245" s="330">
        <v>6.0</v>
      </c>
      <c r="E245" s="323"/>
      <c r="F245" s="323"/>
      <c r="G245" s="323"/>
      <c r="H245" s="331"/>
      <c r="I245" s="317" t="str">
        <f t="shared" si="1"/>
        <v>#DIV/0!</v>
      </c>
    </row>
    <row r="246">
      <c r="A246" s="325">
        <v>39.0</v>
      </c>
      <c r="B246" s="332" t="s">
        <v>578</v>
      </c>
      <c r="C246" s="311" t="s">
        <v>536</v>
      </c>
      <c r="D246" s="327">
        <f>SUM(D247)</f>
        <v>4</v>
      </c>
      <c r="E246" s="323"/>
      <c r="F246" s="323"/>
      <c r="G246" s="323"/>
      <c r="H246" s="331"/>
      <c r="I246" s="317" t="str">
        <f t="shared" si="1"/>
        <v>#DIV/0!</v>
      </c>
    </row>
    <row r="247">
      <c r="A247" s="129"/>
      <c r="B247" s="129"/>
      <c r="C247" s="311" t="s">
        <v>538</v>
      </c>
      <c r="D247" s="327">
        <f>SUM(D248:D249)</f>
        <v>4</v>
      </c>
      <c r="E247" s="323"/>
      <c r="F247" s="323"/>
      <c r="G247" s="323"/>
      <c r="H247" s="331"/>
      <c r="I247" s="317" t="str">
        <f t="shared" si="1"/>
        <v>#DIV/0!</v>
      </c>
    </row>
    <row r="248">
      <c r="A248" s="129"/>
      <c r="B248" s="129"/>
      <c r="C248" s="333" t="s">
        <v>92</v>
      </c>
      <c r="D248" s="330">
        <v>2.0</v>
      </c>
      <c r="E248" s="323"/>
      <c r="F248" s="323"/>
      <c r="G248" s="323"/>
      <c r="H248" s="331"/>
      <c r="I248" s="317" t="str">
        <f t="shared" si="1"/>
        <v>#DIV/0!</v>
      </c>
    </row>
    <row r="249">
      <c r="A249" s="56"/>
      <c r="B249" s="56"/>
      <c r="C249" s="333" t="s">
        <v>94</v>
      </c>
      <c r="D249" s="330">
        <v>2.0</v>
      </c>
      <c r="E249" s="323"/>
      <c r="F249" s="323"/>
      <c r="G249" s="323"/>
      <c r="H249" s="331"/>
      <c r="I249" s="317" t="str">
        <f t="shared" si="1"/>
        <v>#DIV/0!</v>
      </c>
    </row>
    <row r="250">
      <c r="A250" s="325">
        <v>40.0</v>
      </c>
      <c r="B250" s="332" t="s">
        <v>579</v>
      </c>
      <c r="C250" s="311" t="s">
        <v>536</v>
      </c>
      <c r="D250" s="327">
        <f>SUM(D251,D255)</f>
        <v>17</v>
      </c>
      <c r="E250" s="323"/>
      <c r="F250" s="323"/>
      <c r="G250" s="323"/>
      <c r="H250" s="331"/>
      <c r="I250" s="317" t="str">
        <f t="shared" si="1"/>
        <v>#DIV/0!</v>
      </c>
    </row>
    <row r="251">
      <c r="A251" s="129"/>
      <c r="B251" s="129"/>
      <c r="C251" s="311" t="s">
        <v>537</v>
      </c>
      <c r="D251" s="327">
        <f>SUM(D252:D254)</f>
        <v>10</v>
      </c>
      <c r="E251" s="323"/>
      <c r="F251" s="323"/>
      <c r="G251" s="323"/>
      <c r="H251" s="331"/>
      <c r="I251" s="317" t="str">
        <f t="shared" si="1"/>
        <v>#DIV/0!</v>
      </c>
    </row>
    <row r="252">
      <c r="A252" s="129"/>
      <c r="B252" s="129"/>
      <c r="C252" s="333" t="s">
        <v>550</v>
      </c>
      <c r="D252" s="330">
        <v>2.0</v>
      </c>
      <c r="E252" s="323"/>
      <c r="F252" s="323"/>
      <c r="G252" s="323"/>
      <c r="H252" s="331"/>
      <c r="I252" s="317" t="str">
        <f t="shared" si="1"/>
        <v>#DIV/0!</v>
      </c>
    </row>
    <row r="253">
      <c r="A253" s="129"/>
      <c r="B253" s="129"/>
      <c r="C253" s="333" t="s">
        <v>113</v>
      </c>
      <c r="D253" s="330">
        <v>4.0</v>
      </c>
      <c r="E253" s="323"/>
      <c r="F253" s="323"/>
      <c r="G253" s="323"/>
      <c r="H253" s="331"/>
      <c r="I253" s="317" t="str">
        <f t="shared" si="1"/>
        <v>#DIV/0!</v>
      </c>
    </row>
    <row r="254">
      <c r="A254" s="129"/>
      <c r="B254" s="129"/>
      <c r="C254" s="333" t="s">
        <v>115</v>
      </c>
      <c r="D254" s="330">
        <v>4.0</v>
      </c>
      <c r="E254" s="323"/>
      <c r="F254" s="323"/>
      <c r="G254" s="323"/>
      <c r="H254" s="331"/>
      <c r="I254" s="317" t="str">
        <f t="shared" si="1"/>
        <v>#DIV/0!</v>
      </c>
    </row>
    <row r="255">
      <c r="A255" s="129"/>
      <c r="B255" s="129"/>
      <c r="C255" s="311" t="s">
        <v>538</v>
      </c>
      <c r="D255" s="327">
        <f>SUM(D256:D258)</f>
        <v>7</v>
      </c>
      <c r="E255" s="323"/>
      <c r="F255" s="323"/>
      <c r="G255" s="323"/>
      <c r="H255" s="331"/>
      <c r="I255" s="317" t="str">
        <f t="shared" si="1"/>
        <v>#DIV/0!</v>
      </c>
    </row>
    <row r="256">
      <c r="A256" s="129"/>
      <c r="B256" s="129"/>
      <c r="C256" s="333" t="s">
        <v>96</v>
      </c>
      <c r="D256" s="330">
        <v>2.0</v>
      </c>
      <c r="E256" s="323"/>
      <c r="F256" s="323"/>
      <c r="G256" s="323"/>
      <c r="H256" s="331"/>
      <c r="I256" s="317" t="str">
        <f t="shared" si="1"/>
        <v>#DIV/0!</v>
      </c>
    </row>
    <row r="257">
      <c r="A257" s="129"/>
      <c r="B257" s="129"/>
      <c r="C257" s="333" t="s">
        <v>170</v>
      </c>
      <c r="D257" s="330">
        <v>2.0</v>
      </c>
      <c r="E257" s="323"/>
      <c r="F257" s="323"/>
      <c r="G257" s="323"/>
      <c r="H257" s="331"/>
      <c r="I257" s="317" t="str">
        <f t="shared" si="1"/>
        <v>#DIV/0!</v>
      </c>
    </row>
    <row r="258">
      <c r="A258" s="56"/>
      <c r="B258" s="56"/>
      <c r="C258" s="333" t="s">
        <v>249</v>
      </c>
      <c r="D258" s="330">
        <v>3.0</v>
      </c>
      <c r="E258" s="323"/>
      <c r="F258" s="323"/>
      <c r="G258" s="323"/>
      <c r="H258" s="331"/>
      <c r="I258" s="317" t="str">
        <f t="shared" si="1"/>
        <v>#DIV/0!</v>
      </c>
    </row>
    <row r="259">
      <c r="A259" s="325">
        <v>41.0</v>
      </c>
      <c r="B259" s="332" t="s">
        <v>580</v>
      </c>
      <c r="C259" s="311" t="s">
        <v>536</v>
      </c>
      <c r="D259" s="327">
        <f t="shared" ref="D259:D260" si="9">SUM(D260)</f>
        <v>4</v>
      </c>
      <c r="E259" s="323"/>
      <c r="F259" s="323"/>
      <c r="G259" s="323"/>
      <c r="H259" s="331"/>
      <c r="I259" s="317" t="str">
        <f t="shared" si="1"/>
        <v>#DIV/0!</v>
      </c>
    </row>
    <row r="260">
      <c r="A260" s="129"/>
      <c r="B260" s="129"/>
      <c r="C260" s="311" t="s">
        <v>538</v>
      </c>
      <c r="D260" s="327">
        <f t="shared" si="9"/>
        <v>4</v>
      </c>
      <c r="E260" s="323"/>
      <c r="F260" s="323"/>
      <c r="G260" s="323"/>
      <c r="H260" s="331"/>
      <c r="I260" s="317" t="str">
        <f t="shared" si="1"/>
        <v>#DIV/0!</v>
      </c>
    </row>
    <row r="261">
      <c r="A261" s="56"/>
      <c r="B261" s="56"/>
      <c r="C261" s="333" t="s">
        <v>124</v>
      </c>
      <c r="D261" s="330">
        <v>4.0</v>
      </c>
      <c r="E261" s="323"/>
      <c r="F261" s="323"/>
      <c r="G261" s="323"/>
      <c r="H261" s="331"/>
      <c r="I261" s="317" t="str">
        <f t="shared" si="1"/>
        <v>#DIV/0!</v>
      </c>
    </row>
    <row r="262">
      <c r="A262" s="325">
        <v>42.0</v>
      </c>
      <c r="B262" s="332" t="s">
        <v>581</v>
      </c>
      <c r="C262" s="311" t="s">
        <v>536</v>
      </c>
      <c r="D262" s="327">
        <f>SUM(D263,D268)</f>
        <v>28</v>
      </c>
      <c r="E262" s="323"/>
      <c r="F262" s="323"/>
      <c r="G262" s="323"/>
      <c r="H262" s="331"/>
      <c r="I262" s="317" t="str">
        <f t="shared" si="1"/>
        <v>#DIV/0!</v>
      </c>
    </row>
    <row r="263">
      <c r="A263" s="129"/>
      <c r="B263" s="129"/>
      <c r="C263" s="311" t="s">
        <v>537</v>
      </c>
      <c r="D263" s="327">
        <f>SUM(D264:D267)</f>
        <v>16</v>
      </c>
      <c r="E263" s="323"/>
      <c r="F263" s="323"/>
      <c r="G263" s="323"/>
      <c r="H263" s="331"/>
      <c r="I263" s="317" t="str">
        <f t="shared" si="1"/>
        <v>#DIV/0!</v>
      </c>
    </row>
    <row r="264">
      <c r="A264" s="129"/>
      <c r="B264" s="129"/>
      <c r="C264" s="333" t="s">
        <v>111</v>
      </c>
      <c r="D264" s="330">
        <v>4.0</v>
      </c>
      <c r="E264" s="323"/>
      <c r="F264" s="323"/>
      <c r="G264" s="323"/>
      <c r="H264" s="331"/>
      <c r="I264" s="317" t="str">
        <f t="shared" si="1"/>
        <v>#DIV/0!</v>
      </c>
    </row>
    <row r="265">
      <c r="A265" s="129"/>
      <c r="B265" s="129"/>
      <c r="C265" s="333" t="s">
        <v>113</v>
      </c>
      <c r="D265" s="330">
        <v>4.0</v>
      </c>
      <c r="E265" s="323"/>
      <c r="F265" s="323"/>
      <c r="G265" s="323"/>
      <c r="H265" s="331"/>
      <c r="I265" s="317" t="str">
        <f t="shared" si="1"/>
        <v>#DIV/0!</v>
      </c>
    </row>
    <row r="266">
      <c r="A266" s="129"/>
      <c r="B266" s="129"/>
      <c r="C266" s="333" t="s">
        <v>149</v>
      </c>
      <c r="D266" s="330">
        <v>4.0</v>
      </c>
      <c r="E266" s="323"/>
      <c r="F266" s="323"/>
      <c r="G266" s="323"/>
      <c r="H266" s="331"/>
      <c r="I266" s="317" t="str">
        <f t="shared" si="1"/>
        <v>#DIV/0!</v>
      </c>
    </row>
    <row r="267">
      <c r="A267" s="129"/>
      <c r="B267" s="129"/>
      <c r="C267" s="333" t="s">
        <v>115</v>
      </c>
      <c r="D267" s="330">
        <v>4.0</v>
      </c>
      <c r="E267" s="323"/>
      <c r="F267" s="323"/>
      <c r="G267" s="323"/>
      <c r="H267" s="331"/>
      <c r="I267" s="317" t="str">
        <f t="shared" si="1"/>
        <v>#DIV/0!</v>
      </c>
    </row>
    <row r="268">
      <c r="A268" s="129"/>
      <c r="B268" s="129"/>
      <c r="C268" s="311" t="s">
        <v>538</v>
      </c>
      <c r="D268" s="327">
        <f>SUM(D269:D271)</f>
        <v>12</v>
      </c>
      <c r="E268" s="323"/>
      <c r="F268" s="323"/>
      <c r="G268" s="323"/>
      <c r="H268" s="331"/>
      <c r="I268" s="317" t="str">
        <f t="shared" si="1"/>
        <v>#DIV/0!</v>
      </c>
    </row>
    <row r="269">
      <c r="A269" s="129"/>
      <c r="B269" s="129"/>
      <c r="C269" s="333" t="s">
        <v>92</v>
      </c>
      <c r="D269" s="330">
        <v>4.0</v>
      </c>
      <c r="E269" s="323"/>
      <c r="F269" s="323"/>
      <c r="G269" s="323"/>
      <c r="H269" s="331"/>
      <c r="I269" s="317" t="str">
        <f t="shared" si="1"/>
        <v>#DIV/0!</v>
      </c>
    </row>
    <row r="270">
      <c r="A270" s="129"/>
      <c r="B270" s="129"/>
      <c r="C270" s="333" t="s">
        <v>172</v>
      </c>
      <c r="D270" s="330">
        <v>4.0</v>
      </c>
      <c r="E270" s="323"/>
      <c r="F270" s="323"/>
      <c r="G270" s="323"/>
      <c r="H270" s="331"/>
      <c r="I270" s="317" t="str">
        <f t="shared" si="1"/>
        <v>#DIV/0!</v>
      </c>
    </row>
    <row r="271">
      <c r="A271" s="56"/>
      <c r="B271" s="56"/>
      <c r="C271" s="333" t="s">
        <v>94</v>
      </c>
      <c r="D271" s="330">
        <v>4.0</v>
      </c>
      <c r="E271" s="323"/>
      <c r="F271" s="323"/>
      <c r="G271" s="323"/>
      <c r="H271" s="331"/>
      <c r="I271" s="317" t="str">
        <f t="shared" si="1"/>
        <v>#DIV/0!</v>
      </c>
    </row>
    <row r="272">
      <c r="A272" s="325">
        <v>43.0</v>
      </c>
      <c r="B272" s="332" t="s">
        <v>582</v>
      </c>
      <c r="C272" s="311" t="s">
        <v>536</v>
      </c>
      <c r="D272" s="327">
        <f>SUM(D273,D276)</f>
        <v>8</v>
      </c>
      <c r="E272" s="323"/>
      <c r="F272" s="323"/>
      <c r="G272" s="323"/>
      <c r="H272" s="331"/>
      <c r="I272" s="317" t="str">
        <f t="shared" si="1"/>
        <v>#DIV/0!</v>
      </c>
    </row>
    <row r="273">
      <c r="A273" s="129"/>
      <c r="B273" s="129"/>
      <c r="C273" s="311" t="s">
        <v>537</v>
      </c>
      <c r="D273" s="327">
        <f>SUM(D274:D275)</f>
        <v>4</v>
      </c>
      <c r="E273" s="323"/>
      <c r="F273" s="323"/>
      <c r="G273" s="323"/>
      <c r="H273" s="331"/>
      <c r="I273" s="317" t="str">
        <f t="shared" si="1"/>
        <v>#DIV/0!</v>
      </c>
    </row>
    <row r="274">
      <c r="A274" s="129"/>
      <c r="B274" s="129"/>
      <c r="C274" s="333" t="s">
        <v>113</v>
      </c>
      <c r="D274" s="330">
        <v>2.0</v>
      </c>
      <c r="E274" s="323"/>
      <c r="F274" s="323"/>
      <c r="G274" s="323"/>
      <c r="H274" s="331"/>
      <c r="I274" s="317" t="str">
        <f t="shared" si="1"/>
        <v>#DIV/0!</v>
      </c>
    </row>
    <row r="275">
      <c r="A275" s="129"/>
      <c r="B275" s="129"/>
      <c r="C275" s="333" t="s">
        <v>115</v>
      </c>
      <c r="D275" s="330">
        <v>2.0</v>
      </c>
      <c r="E275" s="323"/>
      <c r="F275" s="323"/>
      <c r="G275" s="323"/>
      <c r="H275" s="331"/>
      <c r="I275" s="317" t="str">
        <f t="shared" si="1"/>
        <v>#DIV/0!</v>
      </c>
    </row>
    <row r="276">
      <c r="A276" s="129"/>
      <c r="B276" s="129"/>
      <c r="C276" s="311" t="s">
        <v>538</v>
      </c>
      <c r="D276" s="327">
        <f>SUM(D277)</f>
        <v>4</v>
      </c>
      <c r="E276" s="323"/>
      <c r="F276" s="323"/>
      <c r="G276" s="323"/>
      <c r="H276" s="331"/>
      <c r="I276" s="317" t="str">
        <f t="shared" si="1"/>
        <v>#DIV/0!</v>
      </c>
    </row>
    <row r="277">
      <c r="A277" s="56"/>
      <c r="B277" s="56"/>
      <c r="C277" s="333" t="s">
        <v>122</v>
      </c>
      <c r="D277" s="330">
        <v>4.0</v>
      </c>
      <c r="E277" s="323"/>
      <c r="F277" s="323"/>
      <c r="G277" s="323"/>
      <c r="H277" s="331"/>
      <c r="I277" s="317" t="str">
        <f t="shared" si="1"/>
        <v>#DIV/0!</v>
      </c>
    </row>
    <row r="278">
      <c r="A278" s="325">
        <v>44.0</v>
      </c>
      <c r="B278" s="332" t="s">
        <v>583</v>
      </c>
      <c r="C278" s="311" t="s">
        <v>536</v>
      </c>
      <c r="D278" s="327">
        <f>SUM(D279,D283)</f>
        <v>30</v>
      </c>
      <c r="E278" s="323"/>
      <c r="F278" s="323"/>
      <c r="G278" s="323"/>
      <c r="H278" s="331"/>
      <c r="I278" s="317" t="str">
        <f t="shared" si="1"/>
        <v>#DIV/0!</v>
      </c>
    </row>
    <row r="279">
      <c r="A279" s="129"/>
      <c r="B279" s="129"/>
      <c r="C279" s="311" t="s">
        <v>537</v>
      </c>
      <c r="D279" s="327">
        <f>SUM(D280:D282)</f>
        <v>16</v>
      </c>
      <c r="E279" s="323"/>
      <c r="F279" s="323"/>
      <c r="G279" s="323"/>
      <c r="H279" s="331"/>
      <c r="I279" s="317" t="str">
        <f t="shared" si="1"/>
        <v>#DIV/0!</v>
      </c>
    </row>
    <row r="280">
      <c r="A280" s="129"/>
      <c r="B280" s="129"/>
      <c r="C280" s="333" t="s">
        <v>73</v>
      </c>
      <c r="D280" s="330">
        <v>4.0</v>
      </c>
      <c r="E280" s="323"/>
      <c r="F280" s="323"/>
      <c r="G280" s="323"/>
      <c r="H280" s="331"/>
      <c r="I280" s="317" t="str">
        <f t="shared" si="1"/>
        <v>#DIV/0!</v>
      </c>
    </row>
    <row r="281">
      <c r="A281" s="129"/>
      <c r="B281" s="129"/>
      <c r="C281" s="333" t="s">
        <v>151</v>
      </c>
      <c r="D281" s="330">
        <v>6.0</v>
      </c>
      <c r="E281" s="323"/>
      <c r="F281" s="323"/>
      <c r="G281" s="323"/>
      <c r="H281" s="331"/>
      <c r="I281" s="317" t="str">
        <f t="shared" si="1"/>
        <v>#DIV/0!</v>
      </c>
    </row>
    <row r="282">
      <c r="A282" s="129"/>
      <c r="B282" s="129"/>
      <c r="C282" s="333" t="s">
        <v>75</v>
      </c>
      <c r="D282" s="330">
        <v>6.0</v>
      </c>
      <c r="E282" s="323"/>
      <c r="F282" s="323"/>
      <c r="G282" s="323"/>
      <c r="H282" s="331"/>
      <c r="I282" s="317" t="str">
        <f t="shared" si="1"/>
        <v>#DIV/0!</v>
      </c>
    </row>
    <row r="283">
      <c r="A283" s="129"/>
      <c r="B283" s="129"/>
      <c r="C283" s="311" t="s">
        <v>538</v>
      </c>
      <c r="D283" s="327">
        <f>SUM(D284:D287)</f>
        <v>14</v>
      </c>
      <c r="E283" s="323"/>
      <c r="F283" s="323"/>
      <c r="G283" s="323"/>
      <c r="H283" s="331"/>
      <c r="I283" s="317" t="str">
        <f t="shared" si="1"/>
        <v>#DIV/0!</v>
      </c>
    </row>
    <row r="284">
      <c r="A284" s="129"/>
      <c r="B284" s="129"/>
      <c r="C284" s="333" t="s">
        <v>96</v>
      </c>
      <c r="D284" s="330">
        <v>4.0</v>
      </c>
      <c r="E284" s="323"/>
      <c r="F284" s="323"/>
      <c r="G284" s="323"/>
      <c r="H284" s="331"/>
      <c r="I284" s="317" t="str">
        <f t="shared" si="1"/>
        <v>#DIV/0!</v>
      </c>
    </row>
    <row r="285">
      <c r="A285" s="129"/>
      <c r="B285" s="129"/>
      <c r="C285" s="333" t="s">
        <v>249</v>
      </c>
      <c r="D285" s="330">
        <v>6.0</v>
      </c>
      <c r="E285" s="323"/>
      <c r="F285" s="323"/>
      <c r="G285" s="323"/>
      <c r="H285" s="331"/>
      <c r="I285" s="317" t="str">
        <f t="shared" si="1"/>
        <v>#DIV/0!</v>
      </c>
    </row>
    <row r="286">
      <c r="A286" s="129"/>
      <c r="B286" s="129"/>
      <c r="C286" s="333" t="s">
        <v>120</v>
      </c>
      <c r="D286" s="330">
        <v>2.0</v>
      </c>
      <c r="E286" s="323"/>
      <c r="F286" s="323"/>
      <c r="G286" s="323"/>
      <c r="H286" s="331"/>
      <c r="I286" s="317" t="str">
        <f t="shared" si="1"/>
        <v>#DIV/0!</v>
      </c>
    </row>
    <row r="287">
      <c r="A287" s="56"/>
      <c r="B287" s="56"/>
      <c r="C287" s="333" t="s">
        <v>134</v>
      </c>
      <c r="D287" s="330">
        <v>2.0</v>
      </c>
      <c r="E287" s="323"/>
      <c r="F287" s="323"/>
      <c r="G287" s="323"/>
      <c r="H287" s="331"/>
      <c r="I287" s="317" t="str">
        <f t="shared" si="1"/>
        <v>#DIV/0!</v>
      </c>
    </row>
    <row r="288">
      <c r="A288" s="325">
        <v>45.0</v>
      </c>
      <c r="B288" s="332" t="s">
        <v>584</v>
      </c>
      <c r="C288" s="311" t="s">
        <v>536</v>
      </c>
      <c r="D288" s="327">
        <f>SUM(D289)</f>
        <v>8</v>
      </c>
      <c r="E288" s="323"/>
      <c r="F288" s="323"/>
      <c r="G288" s="323"/>
      <c r="H288" s="331"/>
      <c r="I288" s="317" t="str">
        <f t="shared" si="1"/>
        <v>#DIV/0!</v>
      </c>
    </row>
    <row r="289">
      <c r="A289" s="129"/>
      <c r="B289" s="129"/>
      <c r="C289" s="311" t="s">
        <v>538</v>
      </c>
      <c r="D289" s="327">
        <f>SUM(D290:D291)</f>
        <v>8</v>
      </c>
      <c r="E289" s="323"/>
      <c r="F289" s="323"/>
      <c r="G289" s="323"/>
      <c r="H289" s="331"/>
      <c r="I289" s="317" t="str">
        <f t="shared" si="1"/>
        <v>#DIV/0!</v>
      </c>
    </row>
    <row r="290">
      <c r="A290" s="129"/>
      <c r="B290" s="129"/>
      <c r="C290" s="333" t="s">
        <v>128</v>
      </c>
      <c r="D290" s="330">
        <v>4.0</v>
      </c>
      <c r="E290" s="323"/>
      <c r="F290" s="323"/>
      <c r="G290" s="323"/>
      <c r="H290" s="331"/>
      <c r="I290" s="317" t="str">
        <f t="shared" si="1"/>
        <v>#DIV/0!</v>
      </c>
    </row>
    <row r="291">
      <c r="A291" s="56"/>
      <c r="B291" s="56"/>
      <c r="C291" s="333" t="s">
        <v>130</v>
      </c>
      <c r="D291" s="330">
        <v>4.0</v>
      </c>
      <c r="E291" s="323"/>
      <c r="F291" s="323"/>
      <c r="G291" s="323"/>
      <c r="H291" s="331"/>
      <c r="I291" s="317" t="str">
        <f t="shared" si="1"/>
        <v>#DIV/0!</v>
      </c>
    </row>
    <row r="292">
      <c r="A292" s="325">
        <v>46.0</v>
      </c>
      <c r="B292" s="332" t="s">
        <v>585</v>
      </c>
      <c r="C292" s="311" t="s">
        <v>536</v>
      </c>
      <c r="D292" s="327">
        <f>SUM(D293,D295)</f>
        <v>25</v>
      </c>
      <c r="E292" s="323"/>
      <c r="F292" s="323"/>
      <c r="G292" s="323"/>
      <c r="H292" s="331"/>
      <c r="I292" s="317" t="str">
        <f t="shared" si="1"/>
        <v>#DIV/0!</v>
      </c>
    </row>
    <row r="293">
      <c r="A293" s="129"/>
      <c r="B293" s="129"/>
      <c r="C293" s="311" t="s">
        <v>537</v>
      </c>
      <c r="D293" s="327">
        <f>SUM(D294)</f>
        <v>12</v>
      </c>
      <c r="E293" s="323"/>
      <c r="F293" s="323"/>
      <c r="G293" s="323"/>
      <c r="H293" s="331"/>
      <c r="I293" s="317" t="str">
        <f t="shared" si="1"/>
        <v>#DIV/0!</v>
      </c>
    </row>
    <row r="294">
      <c r="A294" s="129"/>
      <c r="B294" s="129"/>
      <c r="C294" s="333" t="s">
        <v>109</v>
      </c>
      <c r="D294" s="330">
        <v>12.0</v>
      </c>
      <c r="E294" s="323"/>
      <c r="F294" s="323"/>
      <c r="G294" s="323"/>
      <c r="H294" s="331"/>
      <c r="I294" s="317" t="str">
        <f t="shared" si="1"/>
        <v>#DIV/0!</v>
      </c>
    </row>
    <row r="295">
      <c r="A295" s="129"/>
      <c r="B295" s="129"/>
      <c r="C295" s="311" t="s">
        <v>538</v>
      </c>
      <c r="D295" s="327">
        <f>SUM(D296:D299)</f>
        <v>13</v>
      </c>
      <c r="E295" s="323"/>
      <c r="F295" s="323"/>
      <c r="G295" s="323"/>
      <c r="H295" s="331"/>
      <c r="I295" s="317" t="str">
        <f t="shared" si="1"/>
        <v>#DIV/0!</v>
      </c>
    </row>
    <row r="296">
      <c r="A296" s="129"/>
      <c r="B296" s="129"/>
      <c r="C296" s="333" t="s">
        <v>79</v>
      </c>
      <c r="D296" s="330">
        <v>2.0</v>
      </c>
      <c r="E296" s="323"/>
      <c r="F296" s="323"/>
      <c r="G296" s="323"/>
      <c r="H296" s="331"/>
      <c r="I296" s="317" t="str">
        <f t="shared" si="1"/>
        <v>#DIV/0!</v>
      </c>
    </row>
    <row r="297">
      <c r="A297" s="129"/>
      <c r="B297" s="129"/>
      <c r="C297" s="333" t="s">
        <v>172</v>
      </c>
      <c r="D297" s="330">
        <v>2.0</v>
      </c>
      <c r="E297" s="323"/>
      <c r="F297" s="323"/>
      <c r="G297" s="323"/>
      <c r="H297" s="331"/>
      <c r="I297" s="317" t="str">
        <f t="shared" si="1"/>
        <v>#DIV/0!</v>
      </c>
    </row>
    <row r="298">
      <c r="A298" s="129"/>
      <c r="B298" s="129"/>
      <c r="C298" s="333" t="s">
        <v>132</v>
      </c>
      <c r="D298" s="330">
        <v>6.0</v>
      </c>
      <c r="E298" s="323"/>
      <c r="F298" s="323"/>
      <c r="G298" s="323"/>
      <c r="H298" s="331"/>
      <c r="I298" s="317" t="str">
        <f t="shared" si="1"/>
        <v>#DIV/0!</v>
      </c>
    </row>
    <row r="299">
      <c r="A299" s="56"/>
      <c r="B299" s="56"/>
      <c r="C299" s="333" t="s">
        <v>136</v>
      </c>
      <c r="D299" s="330">
        <v>3.0</v>
      </c>
      <c r="E299" s="323"/>
      <c r="F299" s="323"/>
      <c r="G299" s="323"/>
      <c r="H299" s="331"/>
      <c r="I299" s="317" t="str">
        <f t="shared" si="1"/>
        <v>#DIV/0!</v>
      </c>
    </row>
    <row r="300">
      <c r="A300" s="325">
        <v>47.0</v>
      </c>
      <c r="B300" s="332" t="s">
        <v>586</v>
      </c>
      <c r="C300" s="311" t="s">
        <v>536</v>
      </c>
      <c r="D300" s="327">
        <f>SUM(D301,D304)</f>
        <v>28</v>
      </c>
      <c r="E300" s="323"/>
      <c r="F300" s="323"/>
      <c r="G300" s="323"/>
      <c r="H300" s="331"/>
      <c r="I300" s="317" t="str">
        <f t="shared" si="1"/>
        <v>#DIV/0!</v>
      </c>
    </row>
    <row r="301">
      <c r="A301" s="129"/>
      <c r="B301" s="129"/>
      <c r="C301" s="311" t="s">
        <v>537</v>
      </c>
      <c r="D301" s="327">
        <f>SUM(D302:D303)</f>
        <v>12</v>
      </c>
      <c r="E301" s="323"/>
      <c r="F301" s="323"/>
      <c r="G301" s="323"/>
      <c r="H301" s="331"/>
      <c r="I301" s="317" t="str">
        <f t="shared" si="1"/>
        <v>#DIV/0!</v>
      </c>
    </row>
    <row r="302">
      <c r="A302" s="129"/>
      <c r="B302" s="129"/>
      <c r="C302" s="333" t="s">
        <v>69</v>
      </c>
      <c r="D302" s="330">
        <v>6.0</v>
      </c>
      <c r="E302" s="323"/>
      <c r="F302" s="323"/>
      <c r="G302" s="323"/>
      <c r="H302" s="331"/>
      <c r="I302" s="317" t="str">
        <f t="shared" si="1"/>
        <v>#DIV/0!</v>
      </c>
    </row>
    <row r="303">
      <c r="A303" s="129"/>
      <c r="B303" s="129"/>
      <c r="C303" s="333" t="s">
        <v>145</v>
      </c>
      <c r="D303" s="330">
        <v>6.0</v>
      </c>
      <c r="E303" s="323"/>
      <c r="F303" s="323"/>
      <c r="G303" s="323"/>
      <c r="H303" s="331"/>
      <c r="I303" s="317" t="str">
        <f t="shared" si="1"/>
        <v>#DIV/0!</v>
      </c>
    </row>
    <row r="304">
      <c r="A304" s="129"/>
      <c r="B304" s="129"/>
      <c r="C304" s="311" t="s">
        <v>538</v>
      </c>
      <c r="D304" s="327">
        <f>SUM(D305:D308)</f>
        <v>16</v>
      </c>
      <c r="E304" s="323"/>
      <c r="F304" s="323"/>
      <c r="G304" s="323"/>
      <c r="H304" s="331"/>
      <c r="I304" s="317" t="str">
        <f t="shared" si="1"/>
        <v>#DIV/0!</v>
      </c>
    </row>
    <row r="305">
      <c r="A305" s="129"/>
      <c r="B305" s="129"/>
      <c r="C305" s="333" t="s">
        <v>84</v>
      </c>
      <c r="D305" s="330">
        <v>2.0</v>
      </c>
      <c r="E305" s="323"/>
      <c r="F305" s="323"/>
      <c r="G305" s="323"/>
      <c r="H305" s="331"/>
      <c r="I305" s="317" t="str">
        <f t="shared" si="1"/>
        <v>#DIV/0!</v>
      </c>
    </row>
    <row r="306">
      <c r="A306" s="129"/>
      <c r="B306" s="129"/>
      <c r="C306" s="333" t="s">
        <v>79</v>
      </c>
      <c r="D306" s="330">
        <v>2.0</v>
      </c>
      <c r="E306" s="323"/>
      <c r="F306" s="323"/>
      <c r="G306" s="323"/>
      <c r="H306" s="331"/>
      <c r="I306" s="317" t="str">
        <f t="shared" si="1"/>
        <v>#DIV/0!</v>
      </c>
    </row>
    <row r="307">
      <c r="A307" s="129"/>
      <c r="B307" s="129"/>
      <c r="C307" s="333" t="s">
        <v>88</v>
      </c>
      <c r="D307" s="330">
        <v>6.0</v>
      </c>
      <c r="E307" s="323"/>
      <c r="F307" s="323"/>
      <c r="G307" s="323"/>
      <c r="H307" s="331"/>
      <c r="I307" s="317" t="str">
        <f t="shared" si="1"/>
        <v>#DIV/0!</v>
      </c>
    </row>
    <row r="308">
      <c r="A308" s="56"/>
      <c r="B308" s="56"/>
      <c r="C308" s="333" t="s">
        <v>134</v>
      </c>
      <c r="D308" s="330">
        <v>6.0</v>
      </c>
      <c r="E308" s="323"/>
      <c r="F308" s="323"/>
      <c r="G308" s="323"/>
      <c r="H308" s="331"/>
      <c r="I308" s="317" t="str">
        <f t="shared" si="1"/>
        <v>#DIV/0!</v>
      </c>
    </row>
    <row r="309">
      <c r="A309" s="325">
        <v>48.0</v>
      </c>
      <c r="B309" s="332" t="s">
        <v>587</v>
      </c>
      <c r="C309" s="311" t="s">
        <v>536</v>
      </c>
      <c r="D309" s="327">
        <f>SUM(D310,D312)</f>
        <v>21</v>
      </c>
      <c r="E309" s="323"/>
      <c r="F309" s="323"/>
      <c r="G309" s="323"/>
      <c r="H309" s="331"/>
      <c r="I309" s="317" t="str">
        <f t="shared" si="1"/>
        <v>#DIV/0!</v>
      </c>
    </row>
    <row r="310">
      <c r="A310" s="129"/>
      <c r="B310" s="129"/>
      <c r="C310" s="311" t="s">
        <v>537</v>
      </c>
      <c r="D310" s="327">
        <f>SUM(D311)</f>
        <v>9</v>
      </c>
      <c r="E310" s="323"/>
      <c r="F310" s="323"/>
      <c r="G310" s="323"/>
      <c r="H310" s="331"/>
      <c r="I310" s="317" t="str">
        <f t="shared" si="1"/>
        <v>#DIV/0!</v>
      </c>
    </row>
    <row r="311">
      <c r="A311" s="129"/>
      <c r="B311" s="129"/>
      <c r="C311" s="333" t="s">
        <v>107</v>
      </c>
      <c r="D311" s="330">
        <v>9.0</v>
      </c>
      <c r="E311" s="323"/>
      <c r="F311" s="323"/>
      <c r="G311" s="323"/>
      <c r="H311" s="331"/>
      <c r="I311" s="317" t="str">
        <f t="shared" si="1"/>
        <v>#DIV/0!</v>
      </c>
    </row>
    <row r="312">
      <c r="A312" s="129"/>
      <c r="B312" s="129"/>
      <c r="C312" s="311" t="s">
        <v>538</v>
      </c>
      <c r="D312" s="327">
        <f>SUM(D313:D316)</f>
        <v>12</v>
      </c>
      <c r="E312" s="323"/>
      <c r="F312" s="323"/>
      <c r="G312" s="323"/>
      <c r="H312" s="331"/>
      <c r="I312" s="317" t="str">
        <f t="shared" si="1"/>
        <v>#DIV/0!</v>
      </c>
    </row>
    <row r="313">
      <c r="A313" s="129"/>
      <c r="B313" s="129"/>
      <c r="C313" s="333" t="s">
        <v>128</v>
      </c>
      <c r="D313" s="330">
        <v>2.0</v>
      </c>
      <c r="E313" s="323"/>
      <c r="F313" s="323"/>
      <c r="G313" s="323"/>
      <c r="H313" s="331"/>
      <c r="I313" s="317" t="str">
        <f t="shared" si="1"/>
        <v>#DIV/0!</v>
      </c>
    </row>
    <row r="314">
      <c r="A314" s="129"/>
      <c r="B314" s="129"/>
      <c r="C314" s="333" t="s">
        <v>160</v>
      </c>
      <c r="D314" s="330">
        <v>2.0</v>
      </c>
      <c r="E314" s="323"/>
      <c r="F314" s="323"/>
      <c r="G314" s="323"/>
      <c r="H314" s="331"/>
      <c r="I314" s="317" t="str">
        <f t="shared" si="1"/>
        <v>#DIV/0!</v>
      </c>
    </row>
    <row r="315">
      <c r="A315" s="129"/>
      <c r="B315" s="129"/>
      <c r="C315" s="333" t="s">
        <v>130</v>
      </c>
      <c r="D315" s="330">
        <v>2.0</v>
      </c>
      <c r="E315" s="323"/>
      <c r="F315" s="323"/>
      <c r="G315" s="323"/>
      <c r="H315" s="331"/>
      <c r="I315" s="317" t="str">
        <f t="shared" si="1"/>
        <v>#DIV/0!</v>
      </c>
    </row>
    <row r="316">
      <c r="A316" s="56"/>
      <c r="B316" s="56"/>
      <c r="C316" s="333" t="s">
        <v>163</v>
      </c>
      <c r="D316" s="330">
        <v>6.0</v>
      </c>
      <c r="E316" s="323"/>
      <c r="F316" s="323"/>
      <c r="G316" s="323"/>
      <c r="H316" s="331"/>
      <c r="I316" s="317" t="str">
        <f t="shared" si="1"/>
        <v>#DIV/0!</v>
      </c>
    </row>
    <row r="317">
      <c r="A317" s="325">
        <v>49.0</v>
      </c>
      <c r="B317" s="332" t="s">
        <v>588</v>
      </c>
      <c r="C317" s="311" t="s">
        <v>536</v>
      </c>
      <c r="D317" s="327">
        <f>SUM(D318,D322)</f>
        <v>21</v>
      </c>
      <c r="E317" s="323"/>
      <c r="F317" s="323"/>
      <c r="G317" s="323"/>
      <c r="H317" s="331"/>
      <c r="I317" s="317" t="str">
        <f t="shared" si="1"/>
        <v>#DIV/0!</v>
      </c>
    </row>
    <row r="318">
      <c r="A318" s="129"/>
      <c r="B318" s="129"/>
      <c r="C318" s="311" t="s">
        <v>537</v>
      </c>
      <c r="D318" s="327">
        <f>SUM(D319:D321)</f>
        <v>12</v>
      </c>
      <c r="E318" s="323"/>
      <c r="F318" s="323"/>
      <c r="G318" s="323"/>
      <c r="H318" s="331"/>
      <c r="I318" s="317" t="str">
        <f t="shared" si="1"/>
        <v>#DIV/0!</v>
      </c>
    </row>
    <row r="319">
      <c r="A319" s="129"/>
      <c r="B319" s="129"/>
      <c r="C319" s="333" t="s">
        <v>550</v>
      </c>
      <c r="D319" s="330">
        <v>2.0</v>
      </c>
      <c r="E319" s="323"/>
      <c r="F319" s="323"/>
      <c r="G319" s="323"/>
      <c r="H319" s="331"/>
      <c r="I319" s="317" t="str">
        <f t="shared" si="1"/>
        <v>#DIV/0!</v>
      </c>
    </row>
    <row r="320">
      <c r="A320" s="129"/>
      <c r="B320" s="129"/>
      <c r="C320" s="333" t="s">
        <v>73</v>
      </c>
      <c r="D320" s="330">
        <v>4.0</v>
      </c>
      <c r="E320" s="323"/>
      <c r="F320" s="323"/>
      <c r="G320" s="323"/>
      <c r="H320" s="331"/>
      <c r="I320" s="317" t="str">
        <f t="shared" si="1"/>
        <v>#DIV/0!</v>
      </c>
    </row>
    <row r="321">
      <c r="A321" s="129"/>
      <c r="B321" s="129"/>
      <c r="C321" s="333" t="s">
        <v>75</v>
      </c>
      <c r="D321" s="330">
        <v>6.0</v>
      </c>
      <c r="E321" s="323"/>
      <c r="F321" s="323"/>
      <c r="G321" s="323"/>
      <c r="H321" s="331"/>
      <c r="I321" s="317" t="str">
        <f t="shared" si="1"/>
        <v>#DIV/0!</v>
      </c>
    </row>
    <row r="322">
      <c r="A322" s="129"/>
      <c r="B322" s="129"/>
      <c r="C322" s="311" t="s">
        <v>538</v>
      </c>
      <c r="D322" s="327">
        <f>SUM(D323:D325)</f>
        <v>9</v>
      </c>
      <c r="E322" s="323"/>
      <c r="F322" s="323"/>
      <c r="G322" s="323"/>
      <c r="H322" s="331"/>
      <c r="I322" s="317" t="str">
        <f t="shared" si="1"/>
        <v>#DIV/0!</v>
      </c>
    </row>
    <row r="323">
      <c r="A323" s="129"/>
      <c r="B323" s="129"/>
      <c r="C323" s="333" t="s">
        <v>96</v>
      </c>
      <c r="D323" s="330">
        <v>2.0</v>
      </c>
      <c r="E323" s="323"/>
      <c r="F323" s="323"/>
      <c r="G323" s="323"/>
      <c r="H323" s="331"/>
      <c r="I323" s="317" t="str">
        <f t="shared" si="1"/>
        <v>#DIV/0!</v>
      </c>
    </row>
    <row r="324">
      <c r="A324" s="129"/>
      <c r="B324" s="129"/>
      <c r="C324" s="333" t="s">
        <v>84</v>
      </c>
      <c r="D324" s="330">
        <v>4.0</v>
      </c>
      <c r="E324" s="323"/>
      <c r="F324" s="323"/>
      <c r="G324" s="323"/>
      <c r="H324" s="331"/>
      <c r="I324" s="317" t="str">
        <f t="shared" si="1"/>
        <v>#DIV/0!</v>
      </c>
    </row>
    <row r="325">
      <c r="A325" s="56"/>
      <c r="B325" s="56"/>
      <c r="C325" s="333" t="s">
        <v>249</v>
      </c>
      <c r="D325" s="330">
        <v>3.0</v>
      </c>
      <c r="E325" s="323"/>
      <c r="F325" s="323"/>
      <c r="G325" s="323"/>
      <c r="H325" s="331"/>
      <c r="I325" s="317" t="str">
        <f t="shared" si="1"/>
        <v>#DIV/0!</v>
      </c>
    </row>
    <row r="326">
      <c r="A326" s="325">
        <v>50.0</v>
      </c>
      <c r="B326" s="332" t="s">
        <v>589</v>
      </c>
      <c r="C326" s="311" t="s">
        <v>536</v>
      </c>
      <c r="D326" s="327">
        <f>SUM(D327,D330)</f>
        <v>14</v>
      </c>
      <c r="E326" s="323"/>
      <c r="F326" s="323"/>
      <c r="G326" s="323"/>
      <c r="H326" s="331"/>
      <c r="I326" s="317" t="str">
        <f t="shared" si="1"/>
        <v>#DIV/0!</v>
      </c>
    </row>
    <row r="327">
      <c r="A327" s="129"/>
      <c r="B327" s="129"/>
      <c r="C327" s="311" t="s">
        <v>537</v>
      </c>
      <c r="D327" s="327">
        <f>SUM(D328:D329)</f>
        <v>5</v>
      </c>
      <c r="E327" s="323"/>
      <c r="F327" s="323"/>
      <c r="G327" s="323"/>
      <c r="H327" s="331"/>
      <c r="I327" s="317" t="str">
        <f t="shared" si="1"/>
        <v>#DIV/0!</v>
      </c>
    </row>
    <row r="328">
      <c r="A328" s="129"/>
      <c r="B328" s="129"/>
      <c r="C328" s="333" t="s">
        <v>73</v>
      </c>
      <c r="D328" s="330">
        <v>2.0</v>
      </c>
      <c r="E328" s="323"/>
      <c r="F328" s="323"/>
      <c r="G328" s="323"/>
      <c r="H328" s="331"/>
      <c r="I328" s="317" t="str">
        <f t="shared" si="1"/>
        <v>#DIV/0!</v>
      </c>
    </row>
    <row r="329">
      <c r="A329" s="129"/>
      <c r="B329" s="129"/>
      <c r="C329" s="333" t="s">
        <v>75</v>
      </c>
      <c r="D329" s="330">
        <v>3.0</v>
      </c>
      <c r="E329" s="323"/>
      <c r="F329" s="323"/>
      <c r="G329" s="323"/>
      <c r="H329" s="331"/>
      <c r="I329" s="317" t="str">
        <f t="shared" si="1"/>
        <v>#DIV/0!</v>
      </c>
    </row>
    <row r="330">
      <c r="A330" s="129"/>
      <c r="B330" s="129"/>
      <c r="C330" s="311" t="s">
        <v>538</v>
      </c>
      <c r="D330" s="327">
        <f>SUM(D331:D333)</f>
        <v>9</v>
      </c>
      <c r="E330" s="323"/>
      <c r="F330" s="323"/>
      <c r="G330" s="323"/>
      <c r="H330" s="331"/>
      <c r="I330" s="317" t="str">
        <f t="shared" si="1"/>
        <v>#DIV/0!</v>
      </c>
    </row>
    <row r="331">
      <c r="A331" s="129"/>
      <c r="B331" s="129"/>
      <c r="C331" s="333" t="s">
        <v>96</v>
      </c>
      <c r="D331" s="330">
        <v>2.0</v>
      </c>
      <c r="E331" s="323"/>
      <c r="F331" s="323"/>
      <c r="G331" s="323"/>
      <c r="H331" s="331"/>
      <c r="I331" s="317" t="str">
        <f t="shared" si="1"/>
        <v>#DIV/0!</v>
      </c>
    </row>
    <row r="332">
      <c r="A332" s="129"/>
      <c r="B332" s="129"/>
      <c r="C332" s="333" t="s">
        <v>249</v>
      </c>
      <c r="D332" s="330">
        <v>3.0</v>
      </c>
      <c r="E332" s="323"/>
      <c r="F332" s="323"/>
      <c r="G332" s="323"/>
      <c r="H332" s="331"/>
      <c r="I332" s="317" t="str">
        <f t="shared" si="1"/>
        <v>#DIV/0!</v>
      </c>
    </row>
    <row r="333">
      <c r="A333" s="56"/>
      <c r="B333" s="56"/>
      <c r="C333" s="333" t="s">
        <v>134</v>
      </c>
      <c r="D333" s="330">
        <v>4.0</v>
      </c>
      <c r="E333" s="323"/>
      <c r="F333" s="323"/>
      <c r="G333" s="323"/>
      <c r="H333" s="331"/>
      <c r="I333" s="317" t="str">
        <f t="shared" si="1"/>
        <v>#DIV/0!</v>
      </c>
    </row>
    <row r="334">
      <c r="A334" s="325">
        <v>51.0</v>
      </c>
      <c r="B334" s="332" t="s">
        <v>590</v>
      </c>
      <c r="C334" s="311" t="s">
        <v>536</v>
      </c>
      <c r="D334" s="327">
        <f t="shared" ref="D334:D335" si="10">SUM(D335)</f>
        <v>6</v>
      </c>
      <c r="E334" s="323"/>
      <c r="F334" s="323"/>
      <c r="G334" s="323"/>
      <c r="H334" s="331"/>
      <c r="I334" s="317" t="str">
        <f t="shared" si="1"/>
        <v>#DIV/0!</v>
      </c>
    </row>
    <row r="335">
      <c r="A335" s="129"/>
      <c r="B335" s="129"/>
      <c r="C335" s="311" t="s">
        <v>537</v>
      </c>
      <c r="D335" s="327">
        <f t="shared" si="10"/>
        <v>6</v>
      </c>
      <c r="E335" s="323"/>
      <c r="F335" s="323"/>
      <c r="G335" s="323"/>
      <c r="H335" s="331"/>
      <c r="I335" s="317" t="str">
        <f t="shared" si="1"/>
        <v>#DIV/0!</v>
      </c>
    </row>
    <row r="336">
      <c r="A336" s="129"/>
      <c r="B336" s="129"/>
      <c r="C336" s="333" t="s">
        <v>101</v>
      </c>
      <c r="D336" s="330">
        <v>6.0</v>
      </c>
      <c r="E336" s="323"/>
      <c r="F336" s="323"/>
      <c r="G336" s="323"/>
      <c r="H336" s="331"/>
      <c r="I336" s="317" t="str">
        <f t="shared" si="1"/>
        <v>#DIV/0!</v>
      </c>
    </row>
    <row r="337">
      <c r="A337" s="129"/>
      <c r="B337" s="129"/>
      <c r="C337" s="311" t="s">
        <v>538</v>
      </c>
      <c r="D337" s="327">
        <f>SUM(D338)</f>
        <v>2</v>
      </c>
      <c r="E337" s="323"/>
      <c r="F337" s="323"/>
      <c r="G337" s="323"/>
      <c r="H337" s="331"/>
      <c r="I337" s="317" t="str">
        <f t="shared" si="1"/>
        <v>#DIV/0!</v>
      </c>
    </row>
    <row r="338">
      <c r="A338" s="56"/>
      <c r="B338" s="56"/>
      <c r="C338" s="333" t="s">
        <v>134</v>
      </c>
      <c r="D338" s="330">
        <v>2.0</v>
      </c>
      <c r="E338" s="323"/>
      <c r="F338" s="323"/>
      <c r="G338" s="323"/>
      <c r="H338" s="331"/>
      <c r="I338" s="317" t="str">
        <f t="shared" si="1"/>
        <v>#DIV/0!</v>
      </c>
    </row>
    <row r="339">
      <c r="A339" s="325">
        <v>52.0</v>
      </c>
      <c r="B339" s="332" t="s">
        <v>591</v>
      </c>
      <c r="C339" s="311" t="s">
        <v>536</v>
      </c>
      <c r="D339" s="327">
        <f t="shared" ref="D339:D340" si="11">SUM(D340)</f>
        <v>6</v>
      </c>
      <c r="E339" s="323"/>
      <c r="F339" s="323"/>
      <c r="G339" s="323"/>
      <c r="H339" s="331"/>
      <c r="I339" s="317" t="str">
        <f t="shared" si="1"/>
        <v>#DIV/0!</v>
      </c>
    </row>
    <row r="340">
      <c r="A340" s="129"/>
      <c r="B340" s="129"/>
      <c r="C340" s="311" t="s">
        <v>537</v>
      </c>
      <c r="D340" s="327">
        <f t="shared" si="11"/>
        <v>6</v>
      </c>
      <c r="E340" s="323"/>
      <c r="F340" s="323"/>
      <c r="G340" s="323"/>
      <c r="H340" s="331"/>
      <c r="I340" s="317" t="str">
        <f t="shared" si="1"/>
        <v>#DIV/0!</v>
      </c>
    </row>
    <row r="341">
      <c r="A341" s="56"/>
      <c r="B341" s="56"/>
      <c r="C341" s="333" t="s">
        <v>107</v>
      </c>
      <c r="D341" s="330">
        <v>6.0</v>
      </c>
      <c r="E341" s="323"/>
      <c r="F341" s="323"/>
      <c r="G341" s="323"/>
      <c r="H341" s="331"/>
      <c r="I341" s="317" t="str">
        <f t="shared" si="1"/>
        <v>#DIV/0!</v>
      </c>
    </row>
    <row r="342">
      <c r="A342" s="325">
        <v>53.0</v>
      </c>
      <c r="B342" s="332" t="s">
        <v>592</v>
      </c>
      <c r="C342" s="311" t="s">
        <v>536</v>
      </c>
      <c r="D342" s="327">
        <f>SUM(D343,D347)</f>
        <v>18</v>
      </c>
      <c r="E342" s="323"/>
      <c r="F342" s="323"/>
      <c r="G342" s="323"/>
      <c r="H342" s="331"/>
      <c r="I342" s="317" t="str">
        <f t="shared" si="1"/>
        <v>#DIV/0!</v>
      </c>
    </row>
    <row r="343">
      <c r="A343" s="129"/>
      <c r="B343" s="129"/>
      <c r="C343" s="311" t="s">
        <v>537</v>
      </c>
      <c r="D343" s="327">
        <f>SUM(D344:D346)</f>
        <v>14</v>
      </c>
      <c r="E343" s="323"/>
      <c r="F343" s="323"/>
      <c r="G343" s="323"/>
      <c r="H343" s="331"/>
      <c r="I343" s="317" t="str">
        <f t="shared" si="1"/>
        <v>#DIV/0!</v>
      </c>
    </row>
    <row r="344">
      <c r="A344" s="129"/>
      <c r="B344" s="129"/>
      <c r="C344" s="333" t="s">
        <v>69</v>
      </c>
      <c r="D344" s="330">
        <v>6.0</v>
      </c>
      <c r="E344" s="323"/>
      <c r="F344" s="323"/>
      <c r="G344" s="323"/>
      <c r="H344" s="331"/>
      <c r="I344" s="317" t="str">
        <f t="shared" si="1"/>
        <v>#DIV/0!</v>
      </c>
    </row>
    <row r="345">
      <c r="A345" s="129"/>
      <c r="B345" s="129"/>
      <c r="C345" s="333" t="s">
        <v>141</v>
      </c>
      <c r="D345" s="330">
        <v>2.0</v>
      </c>
      <c r="E345" s="323"/>
      <c r="F345" s="323"/>
      <c r="G345" s="323"/>
      <c r="H345" s="331"/>
      <c r="I345" s="317" t="str">
        <f t="shared" si="1"/>
        <v>#DIV/0!</v>
      </c>
    </row>
    <row r="346">
      <c r="A346" s="129"/>
      <c r="B346" s="129"/>
      <c r="C346" s="333" t="s">
        <v>151</v>
      </c>
      <c r="D346" s="330">
        <v>6.0</v>
      </c>
      <c r="E346" s="323"/>
      <c r="F346" s="323"/>
      <c r="G346" s="323"/>
      <c r="H346" s="331"/>
      <c r="I346" s="317" t="str">
        <f t="shared" si="1"/>
        <v>#DIV/0!</v>
      </c>
    </row>
    <row r="347">
      <c r="A347" s="129"/>
      <c r="B347" s="129"/>
      <c r="C347" s="311" t="s">
        <v>538</v>
      </c>
      <c r="D347" s="327">
        <f>SUM(D348:D349)</f>
        <v>4</v>
      </c>
      <c r="E347" s="323"/>
      <c r="F347" s="323"/>
      <c r="G347" s="323"/>
      <c r="H347" s="331"/>
      <c r="I347" s="317" t="str">
        <f t="shared" si="1"/>
        <v>#DIV/0!</v>
      </c>
    </row>
    <row r="348">
      <c r="A348" s="129"/>
      <c r="B348" s="129"/>
      <c r="C348" s="333" t="s">
        <v>84</v>
      </c>
      <c r="D348" s="330">
        <v>2.0</v>
      </c>
      <c r="E348" s="323"/>
      <c r="F348" s="323"/>
      <c r="G348" s="323"/>
      <c r="H348" s="331"/>
      <c r="I348" s="317" t="str">
        <f t="shared" si="1"/>
        <v>#DIV/0!</v>
      </c>
    </row>
    <row r="349">
      <c r="A349" s="56"/>
      <c r="B349" s="56"/>
      <c r="C349" s="333" t="s">
        <v>126</v>
      </c>
      <c r="D349" s="330">
        <v>2.0</v>
      </c>
      <c r="E349" s="323"/>
      <c r="F349" s="323"/>
      <c r="G349" s="323"/>
      <c r="H349" s="331"/>
      <c r="I349" s="317" t="str">
        <f t="shared" si="1"/>
        <v>#DIV/0!</v>
      </c>
    </row>
    <row r="350">
      <c r="A350" s="334">
        <v>54.0</v>
      </c>
      <c r="B350" s="332" t="s">
        <v>593</v>
      </c>
      <c r="C350" s="311" t="s">
        <v>536</v>
      </c>
      <c r="D350" s="327">
        <f>SUM(D351)</f>
        <v>9</v>
      </c>
      <c r="E350" s="323"/>
      <c r="F350" s="323"/>
      <c r="G350" s="323"/>
      <c r="H350" s="331"/>
      <c r="I350" s="317" t="str">
        <f t="shared" si="1"/>
        <v>#DIV/0!</v>
      </c>
    </row>
    <row r="351">
      <c r="A351" s="129"/>
      <c r="B351" s="129"/>
      <c r="C351" s="311" t="s">
        <v>537</v>
      </c>
      <c r="D351" s="327">
        <f>SUM(D352:D353)</f>
        <v>9</v>
      </c>
      <c r="E351" s="323"/>
      <c r="F351" s="323"/>
      <c r="G351" s="323"/>
      <c r="H351" s="331"/>
      <c r="I351" s="317" t="str">
        <f t="shared" si="1"/>
        <v>#DIV/0!</v>
      </c>
    </row>
    <row r="352">
      <c r="A352" s="129"/>
      <c r="B352" s="129"/>
      <c r="C352" s="333" t="s">
        <v>145</v>
      </c>
      <c r="D352" s="330">
        <v>3.0</v>
      </c>
      <c r="E352" s="323"/>
      <c r="F352" s="323"/>
      <c r="G352" s="323"/>
      <c r="H352" s="331"/>
      <c r="I352" s="317" t="str">
        <f t="shared" si="1"/>
        <v>#DIV/0!</v>
      </c>
    </row>
    <row r="353">
      <c r="A353" s="56"/>
      <c r="B353" s="56"/>
      <c r="C353" s="333" t="s">
        <v>151</v>
      </c>
      <c r="D353" s="330">
        <v>6.0</v>
      </c>
      <c r="E353" s="323"/>
      <c r="F353" s="323"/>
      <c r="G353" s="323"/>
      <c r="H353" s="331"/>
      <c r="I353" s="317" t="str">
        <f t="shared" si="1"/>
        <v>#DIV/0!</v>
      </c>
    </row>
    <row r="354">
      <c r="A354" s="334">
        <v>55.0</v>
      </c>
      <c r="B354" s="332" t="s">
        <v>594</v>
      </c>
      <c r="C354" s="311" t="s">
        <v>536</v>
      </c>
      <c r="D354" s="323">
        <f>SUM(D355)</f>
        <v>4</v>
      </c>
      <c r="E354" s="323"/>
      <c r="F354" s="323"/>
      <c r="G354" s="323"/>
      <c r="H354" s="331"/>
      <c r="I354" s="317" t="str">
        <f t="shared" si="1"/>
        <v>#DIV/0!</v>
      </c>
    </row>
    <row r="355">
      <c r="A355" s="129"/>
      <c r="B355" s="129"/>
      <c r="C355" s="311" t="s">
        <v>537</v>
      </c>
      <c r="D355" s="323">
        <f>SUM(D356:D357)</f>
        <v>4</v>
      </c>
      <c r="E355" s="323"/>
      <c r="F355" s="323"/>
      <c r="G355" s="323"/>
      <c r="H355" s="331"/>
      <c r="I355" s="317" t="str">
        <f t="shared" si="1"/>
        <v>#DIV/0!</v>
      </c>
    </row>
    <row r="356">
      <c r="A356" s="129"/>
      <c r="B356" s="129"/>
      <c r="C356" s="333" t="s">
        <v>113</v>
      </c>
      <c r="D356" s="330">
        <v>2.0</v>
      </c>
      <c r="E356" s="323"/>
      <c r="F356" s="323"/>
      <c r="G356" s="323"/>
      <c r="H356" s="331"/>
      <c r="I356" s="317" t="str">
        <f t="shared" si="1"/>
        <v>#DIV/0!</v>
      </c>
    </row>
    <row r="357">
      <c r="A357" s="56"/>
      <c r="B357" s="56"/>
      <c r="C357" s="333" t="s">
        <v>115</v>
      </c>
      <c r="D357" s="330">
        <v>2.0</v>
      </c>
      <c r="E357" s="323"/>
      <c r="F357" s="323"/>
      <c r="G357" s="323"/>
      <c r="H357" s="331"/>
      <c r="I357" s="317" t="str">
        <f t="shared" si="1"/>
        <v>#DIV/0!</v>
      </c>
    </row>
    <row r="358">
      <c r="A358" s="334">
        <v>56.0</v>
      </c>
      <c r="B358" s="332" t="s">
        <v>595</v>
      </c>
      <c r="C358" s="311" t="s">
        <v>536</v>
      </c>
      <c r="D358" s="327">
        <f>SUM(D359)</f>
        <v>6</v>
      </c>
      <c r="E358" s="323"/>
      <c r="F358" s="323"/>
      <c r="G358" s="323"/>
      <c r="H358" s="331"/>
      <c r="I358" s="317" t="str">
        <f t="shared" si="1"/>
        <v>#DIV/0!</v>
      </c>
    </row>
    <row r="359">
      <c r="A359" s="129"/>
      <c r="B359" s="129"/>
      <c r="C359" s="311" t="s">
        <v>537</v>
      </c>
      <c r="D359" s="327">
        <f>SUM(D360:D361)</f>
        <v>6</v>
      </c>
      <c r="E359" s="323"/>
      <c r="F359" s="323"/>
      <c r="G359" s="323"/>
      <c r="H359" s="331"/>
      <c r="I359" s="317" t="str">
        <f t="shared" si="1"/>
        <v>#DIV/0!</v>
      </c>
    </row>
    <row r="360">
      <c r="A360" s="129"/>
      <c r="B360" s="129"/>
      <c r="C360" s="333" t="s">
        <v>156</v>
      </c>
      <c r="D360" s="330">
        <v>2.0</v>
      </c>
      <c r="E360" s="323"/>
      <c r="F360" s="323"/>
      <c r="G360" s="323"/>
      <c r="H360" s="331"/>
      <c r="I360" s="317" t="str">
        <f t="shared" si="1"/>
        <v>#DIV/0!</v>
      </c>
    </row>
    <row r="361">
      <c r="A361" s="56"/>
      <c r="B361" s="56"/>
      <c r="C361" s="333" t="s">
        <v>103</v>
      </c>
      <c r="D361" s="330">
        <v>4.0</v>
      </c>
      <c r="E361" s="323"/>
      <c r="F361" s="323"/>
      <c r="G361" s="323"/>
      <c r="H361" s="331"/>
      <c r="I361" s="317" t="str">
        <f t="shared" si="1"/>
        <v>#DIV/0!</v>
      </c>
    </row>
    <row r="362">
      <c r="A362" s="334">
        <v>57.0</v>
      </c>
      <c r="B362" s="332" t="s">
        <v>596</v>
      </c>
      <c r="C362" s="311" t="s">
        <v>536</v>
      </c>
      <c r="D362" s="327">
        <f>SUM(D363,D367)</f>
        <v>26</v>
      </c>
      <c r="E362" s="323"/>
      <c r="F362" s="323"/>
      <c r="G362" s="323"/>
      <c r="H362" s="331"/>
      <c r="I362" s="317" t="str">
        <f t="shared" si="1"/>
        <v>#DIV/0!</v>
      </c>
    </row>
    <row r="363">
      <c r="A363" s="129"/>
      <c r="B363" s="129"/>
      <c r="C363" s="311" t="s">
        <v>537</v>
      </c>
      <c r="D363" s="327">
        <f>SUM(D364:D366)</f>
        <v>14</v>
      </c>
      <c r="E363" s="323"/>
      <c r="F363" s="323"/>
      <c r="G363" s="323"/>
      <c r="H363" s="331"/>
      <c r="I363" s="317" t="str">
        <f t="shared" si="1"/>
        <v>#DIV/0!</v>
      </c>
    </row>
    <row r="364">
      <c r="A364" s="129"/>
      <c r="B364" s="129"/>
      <c r="C364" s="333" t="s">
        <v>141</v>
      </c>
      <c r="D364" s="330">
        <v>6.0</v>
      </c>
      <c r="E364" s="323"/>
      <c r="F364" s="323"/>
      <c r="G364" s="323"/>
      <c r="H364" s="331"/>
      <c r="I364" s="317" t="str">
        <f t="shared" si="1"/>
        <v>#DIV/0!</v>
      </c>
    </row>
    <row r="365">
      <c r="A365" s="129"/>
      <c r="B365" s="129"/>
      <c r="C365" s="333" t="s">
        <v>113</v>
      </c>
      <c r="D365" s="330">
        <v>4.0</v>
      </c>
      <c r="E365" s="323"/>
      <c r="F365" s="323"/>
      <c r="G365" s="323"/>
      <c r="H365" s="331"/>
      <c r="I365" s="317" t="str">
        <f t="shared" si="1"/>
        <v>#DIV/0!</v>
      </c>
    </row>
    <row r="366">
      <c r="A366" s="129"/>
      <c r="B366" s="129"/>
      <c r="C366" s="333" t="s">
        <v>115</v>
      </c>
      <c r="D366" s="330">
        <v>4.0</v>
      </c>
      <c r="E366" s="323"/>
      <c r="F366" s="323"/>
      <c r="G366" s="323"/>
      <c r="H366" s="331"/>
      <c r="I366" s="317" t="str">
        <f t="shared" si="1"/>
        <v>#DIV/0!</v>
      </c>
    </row>
    <row r="367">
      <c r="A367" s="129"/>
      <c r="B367" s="129"/>
      <c r="C367" s="311" t="s">
        <v>538</v>
      </c>
      <c r="D367" s="327">
        <f>SUM(D368:D370)</f>
        <v>12</v>
      </c>
      <c r="E367" s="323"/>
      <c r="F367" s="323"/>
      <c r="G367" s="323"/>
      <c r="H367" s="331"/>
      <c r="I367" s="317" t="str">
        <f t="shared" si="1"/>
        <v>#DIV/0!</v>
      </c>
    </row>
    <row r="368">
      <c r="A368" s="129"/>
      <c r="B368" s="129"/>
      <c r="C368" s="333" t="s">
        <v>92</v>
      </c>
      <c r="D368" s="330">
        <v>4.0</v>
      </c>
      <c r="E368" s="323"/>
      <c r="F368" s="323"/>
      <c r="G368" s="323"/>
      <c r="H368" s="331"/>
      <c r="I368" s="317" t="str">
        <f t="shared" si="1"/>
        <v>#DIV/0!</v>
      </c>
    </row>
    <row r="369">
      <c r="A369" s="129"/>
      <c r="B369" s="129"/>
      <c r="C369" s="333" t="s">
        <v>172</v>
      </c>
      <c r="D369" s="330">
        <v>4.0</v>
      </c>
      <c r="E369" s="323"/>
      <c r="F369" s="323"/>
      <c r="G369" s="323"/>
      <c r="H369" s="331"/>
      <c r="I369" s="317" t="str">
        <f t="shared" si="1"/>
        <v>#DIV/0!</v>
      </c>
    </row>
    <row r="370">
      <c r="A370" s="56"/>
      <c r="B370" s="56"/>
      <c r="C370" s="333" t="s">
        <v>94</v>
      </c>
      <c r="D370" s="330">
        <v>4.0</v>
      </c>
      <c r="E370" s="323"/>
      <c r="F370" s="323"/>
      <c r="G370" s="323"/>
      <c r="H370" s="331"/>
      <c r="I370" s="317" t="str">
        <f t="shared" si="1"/>
        <v>#DIV/0!</v>
      </c>
    </row>
    <row r="371">
      <c r="A371" s="334">
        <v>58.0</v>
      </c>
      <c r="B371" s="332" t="s">
        <v>597</v>
      </c>
      <c r="C371" s="311" t="s">
        <v>536</v>
      </c>
      <c r="D371" s="327">
        <f t="shared" ref="D371:D372" si="12">SUM(D372)</f>
        <v>10</v>
      </c>
      <c r="E371" s="323"/>
      <c r="F371" s="323"/>
      <c r="G371" s="323"/>
      <c r="H371" s="331"/>
      <c r="I371" s="317" t="str">
        <f t="shared" si="1"/>
        <v>#DIV/0!</v>
      </c>
    </row>
    <row r="372">
      <c r="A372" s="129"/>
      <c r="B372" s="129"/>
      <c r="C372" s="311" t="s">
        <v>538</v>
      </c>
      <c r="D372" s="327">
        <f t="shared" si="12"/>
        <v>10</v>
      </c>
      <c r="E372" s="323"/>
      <c r="F372" s="323"/>
      <c r="G372" s="323"/>
      <c r="H372" s="331"/>
      <c r="I372" s="317" t="str">
        <f t="shared" si="1"/>
        <v>#DIV/0!</v>
      </c>
    </row>
    <row r="373">
      <c r="A373" s="56"/>
      <c r="B373" s="56"/>
      <c r="C373" s="333" t="s">
        <v>124</v>
      </c>
      <c r="D373" s="330">
        <v>10.0</v>
      </c>
      <c r="E373" s="323"/>
      <c r="F373" s="323"/>
      <c r="G373" s="323"/>
      <c r="H373" s="331"/>
      <c r="I373" s="317" t="str">
        <f t="shared" si="1"/>
        <v>#DIV/0!</v>
      </c>
    </row>
    <row r="374">
      <c r="A374" s="334">
        <v>59.0</v>
      </c>
      <c r="B374" s="332" t="s">
        <v>598</v>
      </c>
      <c r="C374" s="311" t="s">
        <v>536</v>
      </c>
      <c r="D374" s="327">
        <f>SUM(D375,D377)</f>
        <v>9</v>
      </c>
      <c r="E374" s="323"/>
      <c r="F374" s="323"/>
      <c r="G374" s="323"/>
      <c r="H374" s="331"/>
      <c r="I374" s="317" t="str">
        <f t="shared" si="1"/>
        <v>#DIV/0!</v>
      </c>
    </row>
    <row r="375">
      <c r="A375" s="129"/>
      <c r="B375" s="129"/>
      <c r="C375" s="311" t="s">
        <v>537</v>
      </c>
      <c r="D375" s="327">
        <f>SUM(D376)</f>
        <v>2</v>
      </c>
      <c r="E375" s="323"/>
      <c r="F375" s="323"/>
      <c r="G375" s="323"/>
      <c r="H375" s="331"/>
      <c r="I375" s="317" t="str">
        <f t="shared" si="1"/>
        <v>#DIV/0!</v>
      </c>
    </row>
    <row r="376">
      <c r="A376" s="129"/>
      <c r="B376" s="129"/>
      <c r="C376" s="333" t="s">
        <v>550</v>
      </c>
      <c r="D376" s="330">
        <v>2.0</v>
      </c>
      <c r="E376" s="323"/>
      <c r="F376" s="323"/>
      <c r="G376" s="323"/>
      <c r="H376" s="331"/>
      <c r="I376" s="317" t="str">
        <f t="shared" si="1"/>
        <v>#DIV/0!</v>
      </c>
    </row>
    <row r="377">
      <c r="A377" s="129"/>
      <c r="B377" s="129"/>
      <c r="C377" s="311" t="s">
        <v>538</v>
      </c>
      <c r="D377" s="335">
        <f>SUM(D378:D380)</f>
        <v>7</v>
      </c>
      <c r="E377" s="323"/>
      <c r="F377" s="323"/>
      <c r="G377" s="323"/>
      <c r="H377" s="331"/>
      <c r="I377" s="317" t="str">
        <f t="shared" si="1"/>
        <v>#DIV/0!</v>
      </c>
    </row>
    <row r="378">
      <c r="A378" s="129"/>
      <c r="B378" s="129"/>
      <c r="C378" s="333" t="s">
        <v>96</v>
      </c>
      <c r="D378" s="330">
        <v>2.0</v>
      </c>
      <c r="E378" s="323"/>
      <c r="F378" s="323"/>
      <c r="G378" s="323"/>
      <c r="H378" s="331"/>
      <c r="I378" s="317" t="str">
        <f t="shared" si="1"/>
        <v>#DIV/0!</v>
      </c>
    </row>
    <row r="379">
      <c r="A379" s="129"/>
      <c r="B379" s="129"/>
      <c r="C379" s="333" t="s">
        <v>249</v>
      </c>
      <c r="D379" s="330">
        <v>3.0</v>
      </c>
      <c r="E379" s="323"/>
      <c r="F379" s="323"/>
      <c r="G379" s="323"/>
      <c r="H379" s="331"/>
      <c r="I379" s="317" t="str">
        <f t="shared" si="1"/>
        <v>#DIV/0!</v>
      </c>
    </row>
    <row r="380">
      <c r="A380" s="56"/>
      <c r="B380" s="56"/>
      <c r="C380" s="333" t="s">
        <v>90</v>
      </c>
      <c r="D380" s="330">
        <v>2.0</v>
      </c>
      <c r="E380" s="323"/>
      <c r="F380" s="323"/>
      <c r="G380" s="323"/>
      <c r="H380" s="331"/>
      <c r="I380" s="317" t="str">
        <f t="shared" si="1"/>
        <v>#DIV/0!</v>
      </c>
    </row>
    <row r="381">
      <c r="A381" s="334">
        <v>60.0</v>
      </c>
      <c r="B381" s="332" t="s">
        <v>599</v>
      </c>
      <c r="C381" s="311" t="s">
        <v>536</v>
      </c>
      <c r="D381" s="327">
        <f t="shared" ref="D381:D382" si="13">SUM(D382)</f>
        <v>14</v>
      </c>
      <c r="E381" s="323"/>
      <c r="F381" s="323"/>
      <c r="G381" s="323"/>
      <c r="H381" s="331"/>
      <c r="I381" s="317" t="str">
        <f t="shared" si="1"/>
        <v>#DIV/0!</v>
      </c>
    </row>
    <row r="382">
      <c r="A382" s="129"/>
      <c r="B382" s="129"/>
      <c r="C382" s="311" t="s">
        <v>537</v>
      </c>
      <c r="D382" s="327">
        <f t="shared" si="13"/>
        <v>14</v>
      </c>
      <c r="E382" s="323"/>
      <c r="F382" s="323"/>
      <c r="G382" s="323"/>
      <c r="H382" s="331"/>
      <c r="I382" s="317" t="str">
        <f t="shared" si="1"/>
        <v>#DIV/0!</v>
      </c>
    </row>
    <row r="383">
      <c r="A383" s="56"/>
      <c r="B383" s="56"/>
      <c r="C383" s="333" t="s">
        <v>71</v>
      </c>
      <c r="D383" s="330">
        <v>14.0</v>
      </c>
      <c r="E383" s="323"/>
      <c r="F383" s="323"/>
      <c r="G383" s="323"/>
      <c r="H383" s="331"/>
      <c r="I383" s="317" t="str">
        <f t="shared" si="1"/>
        <v>#DIV/0!</v>
      </c>
    </row>
    <row r="384">
      <c r="A384" s="334">
        <v>61.0</v>
      </c>
      <c r="B384" s="332" t="s">
        <v>600</v>
      </c>
      <c r="C384" s="311" t="s">
        <v>536</v>
      </c>
      <c r="D384" s="327">
        <f>SUM(D385,D388)</f>
        <v>22</v>
      </c>
      <c r="E384" s="323"/>
      <c r="F384" s="323"/>
      <c r="G384" s="323"/>
      <c r="H384" s="331"/>
      <c r="I384" s="317" t="str">
        <f t="shared" si="1"/>
        <v>#DIV/0!</v>
      </c>
    </row>
    <row r="385">
      <c r="A385" s="129"/>
      <c r="B385" s="129"/>
      <c r="C385" s="311" t="s">
        <v>537</v>
      </c>
      <c r="D385" s="327">
        <f>SUM(D386:D387)</f>
        <v>10</v>
      </c>
      <c r="E385" s="323"/>
      <c r="F385" s="323"/>
      <c r="G385" s="323"/>
      <c r="H385" s="331"/>
      <c r="I385" s="317" t="str">
        <f t="shared" si="1"/>
        <v>#DIV/0!</v>
      </c>
    </row>
    <row r="386">
      <c r="A386" s="129"/>
      <c r="B386" s="129"/>
      <c r="C386" s="333" t="s">
        <v>153</v>
      </c>
      <c r="D386" s="330">
        <v>4.0</v>
      </c>
      <c r="E386" s="323"/>
      <c r="F386" s="323"/>
      <c r="G386" s="323"/>
      <c r="H386" s="331"/>
      <c r="I386" s="317" t="str">
        <f t="shared" si="1"/>
        <v>#DIV/0!</v>
      </c>
    </row>
    <row r="387">
      <c r="A387" s="129"/>
      <c r="B387" s="129"/>
      <c r="C387" s="333" t="s">
        <v>79</v>
      </c>
      <c r="D387" s="330">
        <v>6.0</v>
      </c>
      <c r="E387" s="323"/>
      <c r="F387" s="323"/>
      <c r="G387" s="323"/>
      <c r="H387" s="331"/>
      <c r="I387" s="317" t="str">
        <f t="shared" si="1"/>
        <v>#DIV/0!</v>
      </c>
    </row>
    <row r="388">
      <c r="A388" s="129"/>
      <c r="B388" s="129"/>
      <c r="C388" s="311" t="s">
        <v>538</v>
      </c>
      <c r="D388" s="327">
        <f>SUM(D389:D390)</f>
        <v>12</v>
      </c>
      <c r="E388" s="323"/>
      <c r="F388" s="323"/>
      <c r="G388" s="323"/>
      <c r="H388" s="331"/>
      <c r="I388" s="317" t="str">
        <f t="shared" si="1"/>
        <v>#DIV/0!</v>
      </c>
    </row>
    <row r="389">
      <c r="A389" s="129"/>
      <c r="B389" s="129"/>
      <c r="C389" s="333" t="s">
        <v>128</v>
      </c>
      <c r="D389" s="330">
        <v>6.0</v>
      </c>
      <c r="E389" s="323"/>
      <c r="F389" s="323"/>
      <c r="G389" s="323"/>
      <c r="H389" s="331"/>
      <c r="I389" s="317" t="str">
        <f t="shared" si="1"/>
        <v>#DIV/0!</v>
      </c>
    </row>
    <row r="390">
      <c r="A390" s="56"/>
      <c r="B390" s="56"/>
      <c r="C390" s="333" t="s">
        <v>130</v>
      </c>
      <c r="D390" s="330">
        <v>6.0</v>
      </c>
      <c r="E390" s="323"/>
      <c r="F390" s="323"/>
      <c r="G390" s="323"/>
      <c r="H390" s="331"/>
      <c r="I390" s="317" t="str">
        <f t="shared" si="1"/>
        <v>#DIV/0!</v>
      </c>
    </row>
    <row r="391">
      <c r="A391" s="334">
        <v>62.0</v>
      </c>
      <c r="B391" s="332" t="s">
        <v>601</v>
      </c>
      <c r="C391" s="311" t="s">
        <v>536</v>
      </c>
      <c r="D391" s="327">
        <f>SUM(D392,D394)</f>
        <v>8</v>
      </c>
      <c r="E391" s="323"/>
      <c r="F391" s="323"/>
      <c r="G391" s="323"/>
      <c r="H391" s="331"/>
      <c r="I391" s="317" t="str">
        <f t="shared" si="1"/>
        <v>#DIV/0!</v>
      </c>
    </row>
    <row r="392">
      <c r="A392" s="129"/>
      <c r="B392" s="129"/>
      <c r="C392" s="311" t="s">
        <v>537</v>
      </c>
      <c r="D392" s="327">
        <f>SUM(D393)</f>
        <v>4</v>
      </c>
      <c r="E392" s="323"/>
      <c r="F392" s="323"/>
      <c r="G392" s="323"/>
      <c r="H392" s="331"/>
      <c r="I392" s="317" t="str">
        <f t="shared" si="1"/>
        <v>#DIV/0!</v>
      </c>
    </row>
    <row r="393">
      <c r="A393" s="129"/>
      <c r="B393" s="129"/>
      <c r="C393" s="333" t="s">
        <v>111</v>
      </c>
      <c r="D393" s="330">
        <v>4.0</v>
      </c>
      <c r="E393" s="323"/>
      <c r="F393" s="323"/>
      <c r="G393" s="323"/>
      <c r="H393" s="331"/>
      <c r="I393" s="317" t="str">
        <f t="shared" si="1"/>
        <v>#DIV/0!</v>
      </c>
    </row>
    <row r="394">
      <c r="A394" s="129"/>
      <c r="B394" s="129"/>
      <c r="C394" s="311" t="s">
        <v>538</v>
      </c>
      <c r="D394" s="327">
        <f>SUM(D395)</f>
        <v>4</v>
      </c>
      <c r="E394" s="323"/>
      <c r="F394" s="323"/>
      <c r="G394" s="323"/>
      <c r="H394" s="331"/>
      <c r="I394" s="317" t="str">
        <f t="shared" si="1"/>
        <v>#DIV/0!</v>
      </c>
    </row>
    <row r="395">
      <c r="A395" s="56"/>
      <c r="B395" s="56"/>
      <c r="C395" s="333" t="s">
        <v>84</v>
      </c>
      <c r="D395" s="330">
        <v>4.0</v>
      </c>
      <c r="E395" s="323"/>
      <c r="F395" s="323"/>
      <c r="G395" s="323"/>
      <c r="H395" s="331"/>
      <c r="I395" s="317" t="str">
        <f t="shared" si="1"/>
        <v>#DIV/0!</v>
      </c>
    </row>
    <row r="396">
      <c r="A396" s="334">
        <v>63.0</v>
      </c>
      <c r="B396" s="332" t="s">
        <v>602</v>
      </c>
      <c r="C396" s="311" t="s">
        <v>536</v>
      </c>
      <c r="D396" s="327">
        <f>SUM(D397,D399)</f>
        <v>11</v>
      </c>
      <c r="E396" s="323"/>
      <c r="F396" s="323"/>
      <c r="G396" s="323"/>
      <c r="H396" s="331"/>
      <c r="I396" s="317" t="str">
        <f t="shared" si="1"/>
        <v>#DIV/0!</v>
      </c>
    </row>
    <row r="397">
      <c r="A397" s="129"/>
      <c r="B397" s="129"/>
      <c r="C397" s="311" t="s">
        <v>537</v>
      </c>
      <c r="D397" s="327">
        <f>SUM(D398)</f>
        <v>6</v>
      </c>
      <c r="E397" s="323"/>
      <c r="F397" s="323"/>
      <c r="G397" s="323"/>
      <c r="H397" s="331"/>
      <c r="I397" s="317" t="str">
        <f t="shared" si="1"/>
        <v>#DIV/0!</v>
      </c>
    </row>
    <row r="398">
      <c r="A398" s="129"/>
      <c r="B398" s="129"/>
      <c r="C398" s="333" t="s">
        <v>145</v>
      </c>
      <c r="D398" s="330">
        <v>6.0</v>
      </c>
      <c r="E398" s="323"/>
      <c r="F398" s="323"/>
      <c r="G398" s="323"/>
      <c r="H398" s="331"/>
      <c r="I398" s="317" t="str">
        <f t="shared" si="1"/>
        <v>#DIV/0!</v>
      </c>
    </row>
    <row r="399">
      <c r="A399" s="129"/>
      <c r="B399" s="129"/>
      <c r="C399" s="311" t="s">
        <v>538</v>
      </c>
      <c r="D399" s="327">
        <f>SUM(D400:D401)</f>
        <v>5</v>
      </c>
      <c r="E399" s="323"/>
      <c r="F399" s="323"/>
      <c r="G399" s="323"/>
      <c r="H399" s="331"/>
      <c r="I399" s="317" t="str">
        <f t="shared" si="1"/>
        <v>#DIV/0!</v>
      </c>
    </row>
    <row r="400">
      <c r="A400" s="129"/>
      <c r="B400" s="129"/>
      <c r="C400" s="333" t="s">
        <v>541</v>
      </c>
      <c r="D400" s="330">
        <v>3.0</v>
      </c>
      <c r="E400" s="323"/>
      <c r="F400" s="323"/>
      <c r="G400" s="323"/>
      <c r="H400" s="331"/>
      <c r="I400" s="317" t="str">
        <f t="shared" si="1"/>
        <v>#DIV/0!</v>
      </c>
    </row>
    <row r="401">
      <c r="A401" s="56"/>
      <c r="B401" s="56"/>
      <c r="C401" s="333" t="s">
        <v>126</v>
      </c>
      <c r="D401" s="330">
        <v>2.0</v>
      </c>
      <c r="E401" s="323"/>
      <c r="F401" s="323"/>
      <c r="G401" s="323"/>
      <c r="H401" s="331"/>
      <c r="I401" s="317" t="str">
        <f t="shared" si="1"/>
        <v>#DIV/0!</v>
      </c>
    </row>
    <row r="402">
      <c r="A402" s="334">
        <v>64.0</v>
      </c>
      <c r="B402" s="332" t="s">
        <v>603</v>
      </c>
      <c r="C402" s="311" t="s">
        <v>536</v>
      </c>
      <c r="D402" s="327">
        <f>SUM(D403,D407)</f>
        <v>40</v>
      </c>
      <c r="E402" s="323"/>
      <c r="F402" s="323"/>
      <c r="G402" s="323"/>
      <c r="H402" s="331"/>
      <c r="I402" s="317" t="str">
        <f t="shared" si="1"/>
        <v>#DIV/0!</v>
      </c>
    </row>
    <row r="403">
      <c r="A403" s="129"/>
      <c r="B403" s="129"/>
      <c r="C403" s="311" t="s">
        <v>537</v>
      </c>
      <c r="D403" s="327">
        <f>SUM(D404:D406)</f>
        <v>23</v>
      </c>
      <c r="E403" s="323"/>
      <c r="F403" s="323"/>
      <c r="G403" s="323"/>
      <c r="H403" s="331"/>
      <c r="I403" s="317" t="str">
        <f t="shared" si="1"/>
        <v>#DIV/0!</v>
      </c>
    </row>
    <row r="404">
      <c r="A404" s="129"/>
      <c r="B404" s="129"/>
      <c r="C404" s="333" t="s">
        <v>79</v>
      </c>
      <c r="D404" s="330">
        <v>8.0</v>
      </c>
      <c r="E404" s="323"/>
      <c r="F404" s="323"/>
      <c r="G404" s="323"/>
      <c r="H404" s="331"/>
      <c r="I404" s="317" t="str">
        <f t="shared" si="1"/>
        <v>#DIV/0!</v>
      </c>
    </row>
    <row r="405">
      <c r="A405" s="129"/>
      <c r="B405" s="129"/>
      <c r="C405" s="333" t="s">
        <v>69</v>
      </c>
      <c r="D405" s="330">
        <v>6.0</v>
      </c>
      <c r="E405" s="323"/>
      <c r="F405" s="323"/>
      <c r="G405" s="323"/>
      <c r="H405" s="331"/>
      <c r="I405" s="317" t="str">
        <f t="shared" si="1"/>
        <v>#DIV/0!</v>
      </c>
    </row>
    <row r="406">
      <c r="A406" s="129"/>
      <c r="B406" s="129"/>
      <c r="C406" s="333" t="s">
        <v>145</v>
      </c>
      <c r="D406" s="330">
        <v>9.0</v>
      </c>
      <c r="E406" s="323"/>
      <c r="F406" s="323"/>
      <c r="G406" s="323"/>
      <c r="H406" s="331"/>
      <c r="I406" s="317" t="str">
        <f t="shared" si="1"/>
        <v>#DIV/0!</v>
      </c>
    </row>
    <row r="407">
      <c r="A407" s="129"/>
      <c r="B407" s="129"/>
      <c r="C407" s="311" t="s">
        <v>538</v>
      </c>
      <c r="D407" s="327">
        <f>SUM(D408:D410)</f>
        <v>17</v>
      </c>
      <c r="E407" s="323"/>
      <c r="F407" s="323"/>
      <c r="G407" s="323"/>
      <c r="H407" s="331"/>
      <c r="I407" s="317" t="str">
        <f t="shared" si="1"/>
        <v>#DIV/0!</v>
      </c>
    </row>
    <row r="408">
      <c r="A408" s="129"/>
      <c r="B408" s="129"/>
      <c r="C408" s="333" t="s">
        <v>541</v>
      </c>
      <c r="D408" s="330">
        <v>9.0</v>
      </c>
      <c r="E408" s="323"/>
      <c r="F408" s="323"/>
      <c r="G408" s="323"/>
      <c r="H408" s="331"/>
      <c r="I408" s="317" t="str">
        <f t="shared" si="1"/>
        <v>#DIV/0!</v>
      </c>
    </row>
    <row r="409">
      <c r="A409" s="129"/>
      <c r="B409" s="129"/>
      <c r="C409" s="333" t="s">
        <v>126</v>
      </c>
      <c r="D409" s="330">
        <v>2.0</v>
      </c>
      <c r="E409" s="323"/>
      <c r="F409" s="323"/>
      <c r="G409" s="323"/>
      <c r="H409" s="331"/>
      <c r="I409" s="317" t="str">
        <f t="shared" si="1"/>
        <v>#DIV/0!</v>
      </c>
    </row>
    <row r="410">
      <c r="A410" s="56"/>
      <c r="B410" s="56"/>
      <c r="C410" s="333" t="s">
        <v>163</v>
      </c>
      <c r="D410" s="330">
        <v>6.0</v>
      </c>
      <c r="E410" s="323"/>
      <c r="F410" s="323"/>
      <c r="G410" s="323"/>
      <c r="H410" s="331"/>
      <c r="I410" s="317" t="str">
        <f t="shared" si="1"/>
        <v>#DIV/0!</v>
      </c>
    </row>
    <row r="411">
      <c r="A411" s="334">
        <v>65.0</v>
      </c>
      <c r="B411" s="332" t="s">
        <v>604</v>
      </c>
      <c r="C411" s="311" t="s">
        <v>536</v>
      </c>
      <c r="D411" s="327">
        <f>SUM(D412,D414)</f>
        <v>8</v>
      </c>
      <c r="E411" s="323"/>
      <c r="F411" s="323"/>
      <c r="G411" s="323"/>
      <c r="H411" s="331"/>
      <c r="I411" s="317"/>
    </row>
    <row r="412">
      <c r="A412" s="129"/>
      <c r="B412" s="129"/>
      <c r="C412" s="311" t="s">
        <v>537</v>
      </c>
      <c r="D412" s="327">
        <f>SUM(D413)</f>
        <v>4</v>
      </c>
      <c r="E412" s="323"/>
      <c r="F412" s="323"/>
      <c r="G412" s="323"/>
      <c r="H412" s="331"/>
      <c r="I412" s="317" t="str">
        <f t="shared" ref="I412:I454" si="14">H412/(G412+H412)*100</f>
        <v>#DIV/0!</v>
      </c>
    </row>
    <row r="413">
      <c r="A413" s="129"/>
      <c r="B413" s="129"/>
      <c r="C413" s="333" t="s">
        <v>147</v>
      </c>
      <c r="D413" s="330">
        <v>4.0</v>
      </c>
      <c r="E413" s="323"/>
      <c r="F413" s="323"/>
      <c r="G413" s="323"/>
      <c r="H413" s="331"/>
      <c r="I413" s="317" t="str">
        <f t="shared" si="14"/>
        <v>#DIV/0!</v>
      </c>
    </row>
    <row r="414">
      <c r="A414" s="129"/>
      <c r="B414" s="129"/>
      <c r="C414" s="311" t="s">
        <v>538</v>
      </c>
      <c r="D414" s="327">
        <f>SUM(D415:D416)</f>
        <v>4</v>
      </c>
      <c r="E414" s="323"/>
      <c r="F414" s="323"/>
      <c r="G414" s="323"/>
      <c r="H414" s="331"/>
      <c r="I414" s="317" t="str">
        <f t="shared" si="14"/>
        <v>#DIV/0!</v>
      </c>
    </row>
    <row r="415">
      <c r="A415" s="129"/>
      <c r="B415" s="129"/>
      <c r="C415" s="333" t="s">
        <v>92</v>
      </c>
      <c r="D415" s="330">
        <v>2.0</v>
      </c>
      <c r="E415" s="323"/>
      <c r="F415" s="323"/>
      <c r="G415" s="323"/>
      <c r="H415" s="331"/>
      <c r="I415" s="317" t="str">
        <f t="shared" si="14"/>
        <v>#DIV/0!</v>
      </c>
    </row>
    <row r="416">
      <c r="A416" s="56"/>
      <c r="B416" s="56"/>
      <c r="C416" s="333" t="s">
        <v>94</v>
      </c>
      <c r="D416" s="330">
        <v>2.0</v>
      </c>
      <c r="E416" s="323"/>
      <c r="F416" s="323"/>
      <c r="G416" s="323"/>
      <c r="H416" s="331"/>
      <c r="I416" s="317" t="str">
        <f t="shared" si="14"/>
        <v>#DIV/0!</v>
      </c>
    </row>
    <row r="417">
      <c r="A417" s="334">
        <v>66.0</v>
      </c>
      <c r="B417" s="332" t="s">
        <v>605</v>
      </c>
      <c r="C417" s="311" t="s">
        <v>536</v>
      </c>
      <c r="D417" s="327">
        <f>SUM(D418,D422)</f>
        <v>27</v>
      </c>
      <c r="E417" s="323"/>
      <c r="F417" s="323"/>
      <c r="G417" s="323"/>
      <c r="H417" s="331"/>
      <c r="I417" s="317" t="str">
        <f t="shared" si="14"/>
        <v>#DIV/0!</v>
      </c>
    </row>
    <row r="418">
      <c r="A418" s="129"/>
      <c r="B418" s="129"/>
      <c r="C418" s="311" t="s">
        <v>537</v>
      </c>
      <c r="D418" s="327">
        <f>SUM(D419:D421)</f>
        <v>16</v>
      </c>
      <c r="E418" s="323"/>
      <c r="F418" s="323"/>
      <c r="G418" s="323"/>
      <c r="H418" s="331"/>
      <c r="I418" s="317" t="str">
        <f t="shared" si="14"/>
        <v>#DIV/0!</v>
      </c>
    </row>
    <row r="419">
      <c r="A419" s="129"/>
      <c r="B419" s="129"/>
      <c r="C419" s="333" t="s">
        <v>550</v>
      </c>
      <c r="D419" s="330">
        <v>6.0</v>
      </c>
      <c r="E419" s="323"/>
      <c r="F419" s="323"/>
      <c r="G419" s="323"/>
      <c r="H419" s="331"/>
      <c r="I419" s="317" t="str">
        <f t="shared" si="14"/>
        <v>#DIV/0!</v>
      </c>
    </row>
    <row r="420">
      <c r="A420" s="129"/>
      <c r="B420" s="129"/>
      <c r="C420" s="333" t="s">
        <v>73</v>
      </c>
      <c r="D420" s="330">
        <v>4.0</v>
      </c>
      <c r="E420" s="323"/>
      <c r="F420" s="323"/>
      <c r="G420" s="323"/>
      <c r="H420" s="331"/>
      <c r="I420" s="317" t="str">
        <f t="shared" si="14"/>
        <v>#DIV/0!</v>
      </c>
    </row>
    <row r="421">
      <c r="A421" s="129"/>
      <c r="B421" s="129"/>
      <c r="C421" s="333" t="s">
        <v>75</v>
      </c>
      <c r="D421" s="330">
        <v>6.0</v>
      </c>
      <c r="E421" s="323"/>
      <c r="F421" s="323"/>
      <c r="G421" s="323"/>
      <c r="H421" s="331"/>
      <c r="I421" s="317" t="str">
        <f t="shared" si="14"/>
        <v>#DIV/0!</v>
      </c>
    </row>
    <row r="422">
      <c r="A422" s="129"/>
      <c r="B422" s="129"/>
      <c r="C422" s="311" t="s">
        <v>538</v>
      </c>
      <c r="D422" s="327">
        <f>SUM(D423:D426)</f>
        <v>11</v>
      </c>
      <c r="E422" s="323"/>
      <c r="F422" s="323"/>
      <c r="G422" s="323"/>
      <c r="H422" s="331"/>
      <c r="I422" s="317" t="str">
        <f t="shared" si="14"/>
        <v>#DIV/0!</v>
      </c>
    </row>
    <row r="423">
      <c r="A423" s="129"/>
      <c r="B423" s="129"/>
      <c r="C423" s="333" t="s">
        <v>96</v>
      </c>
      <c r="D423" s="330">
        <v>2.0</v>
      </c>
      <c r="E423" s="323"/>
      <c r="F423" s="323"/>
      <c r="G423" s="323"/>
      <c r="H423" s="331"/>
      <c r="I423" s="317" t="str">
        <f t="shared" si="14"/>
        <v>#DIV/0!</v>
      </c>
    </row>
    <row r="424">
      <c r="A424" s="129"/>
      <c r="B424" s="129"/>
      <c r="C424" s="333" t="s">
        <v>126</v>
      </c>
      <c r="D424" s="330">
        <v>2.0</v>
      </c>
      <c r="E424" s="323"/>
      <c r="F424" s="323"/>
      <c r="G424" s="323"/>
      <c r="H424" s="331"/>
      <c r="I424" s="317" t="str">
        <f t="shared" si="14"/>
        <v>#DIV/0!</v>
      </c>
    </row>
    <row r="425">
      <c r="A425" s="129"/>
      <c r="B425" s="129"/>
      <c r="C425" s="333" t="s">
        <v>249</v>
      </c>
      <c r="D425" s="330">
        <v>3.0</v>
      </c>
      <c r="E425" s="323"/>
      <c r="F425" s="323"/>
      <c r="G425" s="323"/>
      <c r="H425" s="331"/>
      <c r="I425" s="317" t="str">
        <f t="shared" si="14"/>
        <v>#DIV/0!</v>
      </c>
    </row>
    <row r="426">
      <c r="A426" s="56"/>
      <c r="B426" s="56"/>
      <c r="C426" s="333" t="s">
        <v>90</v>
      </c>
      <c r="D426" s="330">
        <v>4.0</v>
      </c>
      <c r="E426" s="323"/>
      <c r="F426" s="323"/>
      <c r="G426" s="323"/>
      <c r="H426" s="331"/>
      <c r="I426" s="317" t="str">
        <f t="shared" si="14"/>
        <v>#DIV/0!</v>
      </c>
    </row>
    <row r="427">
      <c r="A427" s="334">
        <v>67.0</v>
      </c>
      <c r="B427" s="332" t="s">
        <v>606</v>
      </c>
      <c r="C427" s="311" t="s">
        <v>536</v>
      </c>
      <c r="D427" s="327">
        <f t="shared" ref="D427:D428" si="15">SUM(D428)</f>
        <v>6</v>
      </c>
      <c r="E427" s="323"/>
      <c r="F427" s="323"/>
      <c r="G427" s="323"/>
      <c r="H427" s="331"/>
      <c r="I427" s="317" t="str">
        <f t="shared" si="14"/>
        <v>#DIV/0!</v>
      </c>
    </row>
    <row r="428">
      <c r="A428" s="129"/>
      <c r="B428" s="129"/>
      <c r="C428" s="311" t="s">
        <v>537</v>
      </c>
      <c r="D428" s="327">
        <f t="shared" si="15"/>
        <v>6</v>
      </c>
      <c r="E428" s="323"/>
      <c r="F428" s="323"/>
      <c r="G428" s="323"/>
      <c r="H428" s="331"/>
      <c r="I428" s="317" t="str">
        <f t="shared" si="14"/>
        <v>#DIV/0!</v>
      </c>
    </row>
    <row r="429">
      <c r="A429" s="56"/>
      <c r="B429" s="56"/>
      <c r="C429" s="333" t="s">
        <v>151</v>
      </c>
      <c r="D429" s="330">
        <v>6.0</v>
      </c>
      <c r="E429" s="323"/>
      <c r="F429" s="323"/>
      <c r="G429" s="323"/>
      <c r="H429" s="331"/>
      <c r="I429" s="317" t="str">
        <f t="shared" si="14"/>
        <v>#DIV/0!</v>
      </c>
    </row>
    <row r="430">
      <c r="A430" s="334">
        <v>68.0</v>
      </c>
      <c r="B430" s="332" t="s">
        <v>607</v>
      </c>
      <c r="C430" s="311" t="s">
        <v>536</v>
      </c>
      <c r="D430" s="327">
        <f>SUM(D431,D435)</f>
        <v>40</v>
      </c>
      <c r="E430" s="323"/>
      <c r="F430" s="323"/>
      <c r="G430" s="323"/>
      <c r="H430" s="331"/>
      <c r="I430" s="317" t="str">
        <f t="shared" si="14"/>
        <v>#DIV/0!</v>
      </c>
    </row>
    <row r="431">
      <c r="A431" s="129"/>
      <c r="B431" s="129"/>
      <c r="C431" s="311" t="s">
        <v>537</v>
      </c>
      <c r="D431" s="327">
        <f>SUM(D432:D434)</f>
        <v>17</v>
      </c>
      <c r="E431" s="323"/>
      <c r="F431" s="323"/>
      <c r="G431" s="323"/>
      <c r="H431" s="331"/>
      <c r="I431" s="317" t="str">
        <f t="shared" si="14"/>
        <v>#DIV/0!</v>
      </c>
    </row>
    <row r="432">
      <c r="A432" s="129"/>
      <c r="B432" s="129"/>
      <c r="C432" s="333" t="s">
        <v>109</v>
      </c>
      <c r="D432" s="330">
        <v>6.0</v>
      </c>
      <c r="E432" s="323"/>
      <c r="F432" s="323"/>
      <c r="G432" s="323"/>
      <c r="H432" s="331"/>
      <c r="I432" s="317" t="str">
        <f t="shared" si="14"/>
        <v>#DIV/0!</v>
      </c>
    </row>
    <row r="433">
      <c r="A433" s="129"/>
      <c r="B433" s="129"/>
      <c r="C433" s="333" t="s">
        <v>172</v>
      </c>
      <c r="D433" s="330">
        <v>2.0</v>
      </c>
      <c r="E433" s="323"/>
      <c r="F433" s="323"/>
      <c r="G433" s="323"/>
      <c r="H433" s="331"/>
      <c r="I433" s="317" t="str">
        <f t="shared" si="14"/>
        <v>#DIV/0!</v>
      </c>
    </row>
    <row r="434">
      <c r="A434" s="129"/>
      <c r="B434" s="129"/>
      <c r="C434" s="333" t="s">
        <v>143</v>
      </c>
      <c r="D434" s="330">
        <v>9.0</v>
      </c>
      <c r="E434" s="323"/>
      <c r="F434" s="323"/>
      <c r="G434" s="323"/>
      <c r="H434" s="331"/>
      <c r="I434" s="317" t="str">
        <f t="shared" si="14"/>
        <v>#DIV/0!</v>
      </c>
    </row>
    <row r="435">
      <c r="A435" s="129"/>
      <c r="B435" s="129"/>
      <c r="C435" s="311" t="s">
        <v>538</v>
      </c>
      <c r="D435" s="327">
        <f>SUM(D436:D440)</f>
        <v>23</v>
      </c>
      <c r="E435" s="323"/>
      <c r="F435" s="323"/>
      <c r="G435" s="323"/>
      <c r="H435" s="331"/>
      <c r="I435" s="317" t="str">
        <f t="shared" si="14"/>
        <v>#DIV/0!</v>
      </c>
    </row>
    <row r="436">
      <c r="A436" s="129"/>
      <c r="B436" s="129"/>
      <c r="C436" s="333" t="s">
        <v>122</v>
      </c>
      <c r="D436" s="330">
        <v>4.0</v>
      </c>
      <c r="E436" s="323"/>
      <c r="F436" s="323"/>
      <c r="G436" s="323"/>
      <c r="H436" s="331"/>
      <c r="I436" s="317" t="str">
        <f t="shared" si="14"/>
        <v>#DIV/0!</v>
      </c>
    </row>
    <row r="437">
      <c r="A437" s="129"/>
      <c r="B437" s="129"/>
      <c r="C437" s="333" t="s">
        <v>168</v>
      </c>
      <c r="D437" s="330">
        <v>8.0</v>
      </c>
      <c r="E437" s="323"/>
      <c r="F437" s="323"/>
      <c r="G437" s="323"/>
      <c r="H437" s="331"/>
      <c r="I437" s="317" t="str">
        <f t="shared" si="14"/>
        <v>#DIV/0!</v>
      </c>
    </row>
    <row r="438">
      <c r="A438" s="129"/>
      <c r="B438" s="129"/>
      <c r="C438" s="333" t="s">
        <v>172</v>
      </c>
      <c r="D438" s="330">
        <v>2.0</v>
      </c>
      <c r="E438" s="323"/>
      <c r="F438" s="323"/>
      <c r="G438" s="323"/>
      <c r="H438" s="331"/>
      <c r="I438" s="317" t="str">
        <f t="shared" si="14"/>
        <v>#DIV/0!</v>
      </c>
    </row>
    <row r="439">
      <c r="A439" s="129"/>
      <c r="B439" s="129"/>
      <c r="C439" s="333" t="s">
        <v>136</v>
      </c>
      <c r="D439" s="330">
        <v>3.0</v>
      </c>
      <c r="E439" s="323"/>
      <c r="F439" s="323"/>
      <c r="G439" s="323"/>
      <c r="H439" s="331"/>
      <c r="I439" s="317" t="str">
        <f t="shared" si="14"/>
        <v>#DIV/0!</v>
      </c>
    </row>
    <row r="440">
      <c r="A440" s="56"/>
      <c r="B440" s="56"/>
      <c r="C440" s="333" t="s">
        <v>163</v>
      </c>
      <c r="D440" s="330">
        <v>6.0</v>
      </c>
      <c r="E440" s="323"/>
      <c r="F440" s="323"/>
      <c r="G440" s="323"/>
      <c r="H440" s="331"/>
      <c r="I440" s="317" t="str">
        <f t="shared" si="14"/>
        <v>#DIV/0!</v>
      </c>
    </row>
    <row r="441">
      <c r="A441" s="334">
        <v>69.0</v>
      </c>
      <c r="B441" s="332" t="s">
        <v>608</v>
      </c>
      <c r="C441" s="311" t="s">
        <v>536</v>
      </c>
      <c r="D441" s="327">
        <f>SUM(D442,D444)</f>
        <v>18</v>
      </c>
      <c r="E441" s="323"/>
      <c r="F441" s="323"/>
      <c r="G441" s="323"/>
      <c r="H441" s="331"/>
      <c r="I441" s="317" t="str">
        <f t="shared" si="14"/>
        <v>#DIV/0!</v>
      </c>
    </row>
    <row r="442">
      <c r="A442" s="129"/>
      <c r="B442" s="129"/>
      <c r="C442" s="311" t="s">
        <v>537</v>
      </c>
      <c r="D442" s="327">
        <f>SUM(D443)</f>
        <v>6</v>
      </c>
      <c r="E442" s="323"/>
      <c r="F442" s="323"/>
      <c r="G442" s="323"/>
      <c r="H442" s="331"/>
      <c r="I442" s="317" t="str">
        <f t="shared" si="14"/>
        <v>#DIV/0!</v>
      </c>
    </row>
    <row r="443">
      <c r="A443" s="129"/>
      <c r="B443" s="129"/>
      <c r="C443" s="333" t="s">
        <v>153</v>
      </c>
      <c r="D443" s="330">
        <v>6.0</v>
      </c>
      <c r="E443" s="323"/>
      <c r="F443" s="323"/>
      <c r="G443" s="323"/>
      <c r="H443" s="331"/>
      <c r="I443" s="317" t="str">
        <f t="shared" si="14"/>
        <v>#DIV/0!</v>
      </c>
    </row>
    <row r="444">
      <c r="A444" s="129"/>
      <c r="B444" s="129"/>
      <c r="C444" s="311" t="s">
        <v>538</v>
      </c>
      <c r="D444" s="327">
        <f>SUM(D445:D447)</f>
        <v>12</v>
      </c>
      <c r="E444" s="323"/>
      <c r="F444" s="323"/>
      <c r="G444" s="323"/>
      <c r="H444" s="331"/>
      <c r="I444" s="317" t="str">
        <f t="shared" si="14"/>
        <v>#DIV/0!</v>
      </c>
    </row>
    <row r="445">
      <c r="A445" s="129"/>
      <c r="B445" s="129"/>
      <c r="C445" s="333" t="s">
        <v>128</v>
      </c>
      <c r="D445" s="330">
        <v>4.0</v>
      </c>
      <c r="E445" s="323"/>
      <c r="F445" s="323"/>
      <c r="G445" s="323"/>
      <c r="H445" s="331"/>
      <c r="I445" s="317" t="str">
        <f t="shared" si="14"/>
        <v>#DIV/0!</v>
      </c>
    </row>
    <row r="446">
      <c r="A446" s="129"/>
      <c r="B446" s="129"/>
      <c r="C446" s="333" t="s">
        <v>130</v>
      </c>
      <c r="D446" s="330">
        <v>4.0</v>
      </c>
      <c r="E446" s="323"/>
      <c r="F446" s="323"/>
      <c r="G446" s="323"/>
      <c r="H446" s="331"/>
      <c r="I446" s="317" t="str">
        <f t="shared" si="14"/>
        <v>#DIV/0!</v>
      </c>
    </row>
    <row r="447">
      <c r="A447" s="56"/>
      <c r="B447" s="56"/>
      <c r="C447" s="333" t="s">
        <v>88</v>
      </c>
      <c r="D447" s="330">
        <v>4.0</v>
      </c>
      <c r="E447" s="323"/>
      <c r="F447" s="323"/>
      <c r="G447" s="323"/>
      <c r="H447" s="331"/>
      <c r="I447" s="317" t="str">
        <f t="shared" si="14"/>
        <v>#DIV/0!</v>
      </c>
    </row>
    <row r="448">
      <c r="A448" s="334">
        <v>70.0</v>
      </c>
      <c r="B448" s="332" t="s">
        <v>609</v>
      </c>
      <c r="C448" s="311" t="s">
        <v>536</v>
      </c>
      <c r="D448" s="327">
        <f>SUM(D449,D451)</f>
        <v>10</v>
      </c>
      <c r="E448" s="323"/>
      <c r="F448" s="323"/>
      <c r="G448" s="323"/>
      <c r="H448" s="331"/>
      <c r="I448" s="317" t="str">
        <f t="shared" si="14"/>
        <v>#DIV/0!</v>
      </c>
    </row>
    <row r="449">
      <c r="A449" s="129"/>
      <c r="B449" s="129"/>
      <c r="C449" s="311" t="s">
        <v>537</v>
      </c>
      <c r="D449" s="327">
        <f>SUM(D450)</f>
        <v>2</v>
      </c>
      <c r="E449" s="327"/>
      <c r="F449" s="327"/>
      <c r="G449" s="327"/>
      <c r="H449" s="328"/>
      <c r="I449" s="317" t="str">
        <f t="shared" si="14"/>
        <v>#DIV/0!</v>
      </c>
    </row>
    <row r="450">
      <c r="A450" s="129"/>
      <c r="B450" s="129"/>
      <c r="C450" s="333" t="s">
        <v>153</v>
      </c>
      <c r="D450" s="330">
        <v>2.0</v>
      </c>
      <c r="E450" s="323"/>
      <c r="F450" s="323"/>
      <c r="G450" s="323"/>
      <c r="H450" s="331"/>
      <c r="I450" s="317" t="str">
        <f t="shared" si="14"/>
        <v>#DIV/0!</v>
      </c>
    </row>
    <row r="451">
      <c r="A451" s="129"/>
      <c r="B451" s="129"/>
      <c r="C451" s="311" t="s">
        <v>538</v>
      </c>
      <c r="D451" s="327">
        <f>SUM(D452:D454)</f>
        <v>8</v>
      </c>
      <c r="E451" s="327"/>
      <c r="F451" s="327"/>
      <c r="G451" s="327"/>
      <c r="H451" s="328"/>
      <c r="I451" s="317" t="str">
        <f t="shared" si="14"/>
        <v>#DIV/0!</v>
      </c>
    </row>
    <row r="452">
      <c r="A452" s="129"/>
      <c r="B452" s="129"/>
      <c r="C452" s="333" t="s">
        <v>170</v>
      </c>
      <c r="D452" s="330">
        <v>4.0</v>
      </c>
      <c r="E452" s="323"/>
      <c r="F452" s="323"/>
      <c r="G452" s="323"/>
      <c r="H452" s="331"/>
      <c r="I452" s="317" t="str">
        <f t="shared" si="14"/>
        <v>#DIV/0!</v>
      </c>
    </row>
    <row r="453">
      <c r="A453" s="129"/>
      <c r="B453" s="129"/>
      <c r="C453" s="333" t="s">
        <v>128</v>
      </c>
      <c r="D453" s="330">
        <v>2.0</v>
      </c>
      <c r="E453" s="323"/>
      <c r="F453" s="323"/>
      <c r="G453" s="323"/>
      <c r="H453" s="331"/>
      <c r="I453" s="317" t="str">
        <f t="shared" si="14"/>
        <v>#DIV/0!</v>
      </c>
    </row>
    <row r="454">
      <c r="A454" s="56"/>
      <c r="B454" s="56"/>
      <c r="C454" s="333" t="s">
        <v>130</v>
      </c>
      <c r="D454" s="330">
        <v>2.0</v>
      </c>
      <c r="E454" s="323"/>
      <c r="F454" s="323"/>
      <c r="G454" s="323"/>
      <c r="H454" s="331"/>
      <c r="I454" s="317" t="str">
        <f t="shared" si="14"/>
        <v>#DIV/0!</v>
      </c>
    </row>
    <row r="455">
      <c r="A455" s="336"/>
      <c r="B455" s="337"/>
      <c r="C455" s="257"/>
      <c r="D455" s="16"/>
      <c r="E455" s="16"/>
      <c r="F455" s="16"/>
      <c r="G455" s="16"/>
      <c r="H455" s="257"/>
      <c r="I455" s="257"/>
    </row>
    <row r="456">
      <c r="A456" s="336"/>
      <c r="B456" s="337" t="s">
        <v>610</v>
      </c>
      <c r="C456" s="257"/>
      <c r="D456" s="16"/>
      <c r="E456" s="16"/>
      <c r="F456" s="16"/>
      <c r="G456" s="16"/>
      <c r="H456" s="257"/>
      <c r="I456" s="257"/>
    </row>
    <row r="457">
      <c r="A457" s="336"/>
      <c r="B457" s="337" t="s">
        <v>611</v>
      </c>
      <c r="C457" s="257"/>
      <c r="D457" s="16"/>
      <c r="E457" s="16"/>
      <c r="F457" s="16"/>
      <c r="G457" s="16"/>
      <c r="H457" s="257"/>
      <c r="I457" s="257"/>
    </row>
    <row r="458">
      <c r="A458" s="336"/>
      <c r="B458" s="337" t="s">
        <v>612</v>
      </c>
      <c r="C458" s="257"/>
      <c r="D458" s="16"/>
      <c r="E458" s="16"/>
      <c r="F458" s="16"/>
      <c r="G458" s="16"/>
      <c r="H458" s="257"/>
      <c r="I458" s="257"/>
    </row>
    <row r="459">
      <c r="A459" s="336"/>
      <c r="B459" s="337" t="s">
        <v>613</v>
      </c>
      <c r="C459" s="257"/>
      <c r="D459" s="16"/>
      <c r="E459" s="16"/>
      <c r="F459" s="16"/>
      <c r="G459" s="16"/>
      <c r="H459" s="257"/>
      <c r="I459" s="257"/>
    </row>
    <row r="460">
      <c r="A460" s="338"/>
      <c r="B460" s="339" t="s">
        <v>614</v>
      </c>
      <c r="C460" s="257"/>
      <c r="D460" s="16"/>
      <c r="E460" s="16"/>
      <c r="F460" s="16"/>
      <c r="G460" s="16"/>
      <c r="H460" s="257"/>
      <c r="I460" s="257"/>
    </row>
    <row r="461">
      <c r="A461" s="340"/>
      <c r="D461" s="17"/>
      <c r="E461" s="17"/>
      <c r="F461" s="17"/>
      <c r="G461" s="17"/>
    </row>
    <row r="462">
      <c r="A462" s="340"/>
      <c r="D462" s="17"/>
      <c r="E462" s="17"/>
      <c r="F462" s="17"/>
      <c r="G462" s="17"/>
    </row>
    <row r="463">
      <c r="A463" s="340"/>
      <c r="D463" s="17"/>
      <c r="E463" s="17"/>
      <c r="F463" s="17"/>
      <c r="G463" s="17"/>
    </row>
    <row r="464">
      <c r="A464" s="340"/>
      <c r="D464" s="17"/>
      <c r="E464" s="17"/>
      <c r="F464" s="17"/>
      <c r="G464" s="17"/>
    </row>
    <row r="465">
      <c r="A465" s="340"/>
      <c r="D465" s="17"/>
      <c r="E465" s="17"/>
      <c r="F465" s="17"/>
      <c r="G465" s="17"/>
    </row>
    <row r="466">
      <c r="A466" s="340"/>
      <c r="D466" s="17"/>
      <c r="E466" s="17"/>
      <c r="F466" s="17"/>
      <c r="G466" s="17"/>
    </row>
    <row r="467">
      <c r="A467" s="340"/>
      <c r="D467" s="17"/>
      <c r="E467" s="17"/>
      <c r="F467" s="17"/>
      <c r="G467" s="17"/>
    </row>
    <row r="468">
      <c r="A468" s="340"/>
      <c r="D468" s="17"/>
      <c r="E468" s="17"/>
      <c r="F468" s="17"/>
      <c r="G468" s="17"/>
    </row>
    <row r="469">
      <c r="A469" s="340"/>
      <c r="D469" s="17"/>
      <c r="E469" s="17"/>
      <c r="F469" s="17"/>
      <c r="G469" s="17"/>
    </row>
    <row r="470">
      <c r="A470" s="340"/>
      <c r="D470" s="17"/>
      <c r="E470" s="17"/>
      <c r="F470" s="17"/>
      <c r="G470" s="17"/>
    </row>
    <row r="471">
      <c r="A471" s="340"/>
      <c r="D471" s="17"/>
      <c r="E471" s="17"/>
      <c r="F471" s="17"/>
      <c r="G471" s="17"/>
    </row>
    <row r="472">
      <c r="A472" s="340"/>
      <c r="D472" s="17"/>
      <c r="E472" s="17"/>
      <c r="F472" s="17"/>
      <c r="G472" s="17"/>
    </row>
    <row r="473">
      <c r="A473" s="340"/>
      <c r="D473" s="17"/>
      <c r="E473" s="17"/>
      <c r="F473" s="17"/>
      <c r="G473" s="17"/>
    </row>
    <row r="474">
      <c r="A474" s="340"/>
      <c r="D474" s="17"/>
      <c r="E474" s="17"/>
      <c r="F474" s="17"/>
      <c r="G474" s="17"/>
    </row>
    <row r="475">
      <c r="A475" s="340"/>
      <c r="D475" s="17"/>
      <c r="E475" s="17"/>
      <c r="F475" s="17"/>
      <c r="G475" s="17"/>
    </row>
    <row r="476">
      <c r="A476" s="340"/>
      <c r="D476" s="17"/>
      <c r="E476" s="17"/>
      <c r="F476" s="17"/>
      <c r="G476" s="17"/>
    </row>
    <row r="477">
      <c r="A477" s="340"/>
      <c r="D477" s="17"/>
      <c r="E477" s="17"/>
      <c r="F477" s="17"/>
      <c r="G477" s="17"/>
    </row>
    <row r="478">
      <c r="A478" s="340"/>
      <c r="D478" s="17"/>
      <c r="E478" s="17"/>
      <c r="F478" s="17"/>
      <c r="G478" s="17"/>
    </row>
    <row r="479">
      <c r="A479" s="340"/>
      <c r="D479" s="17"/>
      <c r="E479" s="17"/>
      <c r="F479" s="17"/>
      <c r="G479" s="17"/>
    </row>
    <row r="480">
      <c r="A480" s="340"/>
      <c r="D480" s="17"/>
      <c r="E480" s="17"/>
      <c r="F480" s="17"/>
      <c r="G480" s="17"/>
    </row>
    <row r="481">
      <c r="A481" s="340"/>
      <c r="D481" s="17"/>
      <c r="E481" s="17"/>
      <c r="F481" s="17"/>
      <c r="G481" s="17"/>
    </row>
    <row r="482">
      <c r="A482" s="340"/>
      <c r="D482" s="17"/>
      <c r="E482" s="17"/>
      <c r="F482" s="17"/>
      <c r="G482" s="17"/>
    </row>
    <row r="483">
      <c r="A483" s="340"/>
      <c r="D483" s="17"/>
      <c r="E483" s="17"/>
      <c r="F483" s="17"/>
      <c r="G483" s="17"/>
    </row>
    <row r="484">
      <c r="A484" s="340"/>
      <c r="D484" s="17"/>
      <c r="E484" s="17"/>
      <c r="F484" s="17"/>
      <c r="G484" s="17"/>
    </row>
    <row r="485">
      <c r="A485" s="340"/>
      <c r="D485" s="17"/>
      <c r="E485" s="17"/>
      <c r="F485" s="17"/>
      <c r="G485" s="17"/>
    </row>
    <row r="486">
      <c r="A486" s="340"/>
      <c r="D486" s="17"/>
      <c r="E486" s="17"/>
      <c r="F486" s="17"/>
      <c r="G486" s="17"/>
    </row>
    <row r="487">
      <c r="A487" s="340"/>
      <c r="D487" s="17"/>
      <c r="E487" s="17"/>
      <c r="F487" s="17"/>
      <c r="G487" s="17"/>
    </row>
    <row r="488">
      <c r="A488" s="340"/>
      <c r="D488" s="17"/>
      <c r="E488" s="17"/>
      <c r="F488" s="17"/>
      <c r="G488" s="17"/>
    </row>
    <row r="489">
      <c r="A489" s="340"/>
      <c r="D489" s="17"/>
      <c r="E489" s="17"/>
      <c r="F489" s="17"/>
      <c r="G489" s="17"/>
    </row>
    <row r="490">
      <c r="A490" s="340"/>
      <c r="D490" s="17"/>
      <c r="E490" s="17"/>
      <c r="F490" s="17"/>
      <c r="G490" s="17"/>
    </row>
    <row r="491">
      <c r="A491" s="340"/>
      <c r="D491" s="17"/>
      <c r="E491" s="17"/>
      <c r="F491" s="17"/>
      <c r="G491" s="17"/>
    </row>
    <row r="492">
      <c r="A492" s="340"/>
      <c r="D492" s="17"/>
      <c r="E492" s="17"/>
      <c r="F492" s="17"/>
      <c r="G492" s="17"/>
    </row>
    <row r="493">
      <c r="A493" s="340"/>
      <c r="D493" s="17"/>
      <c r="E493" s="17"/>
      <c r="F493" s="17"/>
      <c r="G493" s="17"/>
    </row>
    <row r="494">
      <c r="A494" s="340"/>
      <c r="D494" s="17"/>
      <c r="E494" s="17"/>
      <c r="F494" s="17"/>
      <c r="G494" s="17"/>
    </row>
    <row r="495">
      <c r="A495" s="340"/>
      <c r="D495" s="17"/>
      <c r="E495" s="17"/>
      <c r="F495" s="17"/>
      <c r="G495" s="17"/>
    </row>
    <row r="496">
      <c r="A496" s="340"/>
      <c r="D496" s="17"/>
      <c r="E496" s="17"/>
      <c r="F496" s="17"/>
      <c r="G496" s="17"/>
    </row>
    <row r="497">
      <c r="A497" s="340"/>
      <c r="D497" s="17"/>
      <c r="E497" s="17"/>
      <c r="F497" s="17"/>
      <c r="G497" s="17"/>
    </row>
    <row r="498">
      <c r="A498" s="340"/>
      <c r="D498" s="17"/>
      <c r="E498" s="17"/>
      <c r="F498" s="17"/>
      <c r="G498" s="17"/>
    </row>
    <row r="499">
      <c r="A499" s="340"/>
      <c r="D499" s="17"/>
      <c r="E499" s="17"/>
      <c r="F499" s="17"/>
      <c r="G499" s="17"/>
    </row>
    <row r="500">
      <c r="A500" s="340"/>
      <c r="D500" s="17"/>
      <c r="E500" s="17"/>
      <c r="F500" s="17"/>
      <c r="G500" s="17"/>
    </row>
    <row r="501">
      <c r="A501" s="340"/>
      <c r="D501" s="17"/>
      <c r="E501" s="17"/>
      <c r="F501" s="17"/>
      <c r="G501" s="17"/>
    </row>
    <row r="502">
      <c r="A502" s="340"/>
      <c r="D502" s="17"/>
      <c r="E502" s="17"/>
      <c r="F502" s="17"/>
      <c r="G502" s="17"/>
    </row>
    <row r="503">
      <c r="A503" s="340"/>
      <c r="D503" s="17"/>
      <c r="E503" s="17"/>
      <c r="F503" s="17"/>
      <c r="G503" s="17"/>
    </row>
    <row r="504">
      <c r="A504" s="340"/>
      <c r="D504" s="17"/>
      <c r="E504" s="17"/>
      <c r="F504" s="17"/>
      <c r="G504" s="17"/>
    </row>
    <row r="505">
      <c r="A505" s="340"/>
      <c r="D505" s="17"/>
      <c r="E505" s="17"/>
      <c r="F505" s="17"/>
      <c r="G505" s="17"/>
    </row>
    <row r="506">
      <c r="A506" s="340"/>
      <c r="D506" s="17"/>
      <c r="E506" s="17"/>
      <c r="F506" s="17"/>
      <c r="G506" s="17"/>
    </row>
    <row r="507">
      <c r="A507" s="340"/>
      <c r="D507" s="17"/>
      <c r="E507" s="17"/>
      <c r="F507" s="17"/>
      <c r="G507" s="17"/>
    </row>
    <row r="508">
      <c r="A508" s="340"/>
      <c r="D508" s="17"/>
      <c r="E508" s="17"/>
      <c r="F508" s="17"/>
      <c r="G508" s="17"/>
    </row>
    <row r="509">
      <c r="A509" s="340"/>
      <c r="D509" s="17"/>
      <c r="E509" s="17"/>
      <c r="F509" s="17"/>
      <c r="G509" s="17"/>
    </row>
    <row r="510">
      <c r="A510" s="340"/>
      <c r="D510" s="17"/>
      <c r="E510" s="17"/>
      <c r="F510" s="17"/>
      <c r="G510" s="17"/>
    </row>
    <row r="511">
      <c r="A511" s="340"/>
      <c r="D511" s="17"/>
      <c r="E511" s="17"/>
      <c r="F511" s="17"/>
      <c r="G511" s="17"/>
    </row>
    <row r="512">
      <c r="A512" s="340"/>
      <c r="D512" s="17"/>
      <c r="E512" s="17"/>
      <c r="F512" s="17"/>
      <c r="G512" s="17"/>
    </row>
    <row r="513">
      <c r="A513" s="340"/>
      <c r="D513" s="17"/>
      <c r="E513" s="17"/>
      <c r="F513" s="17"/>
      <c r="G513" s="17"/>
    </row>
    <row r="514">
      <c r="A514" s="340"/>
      <c r="D514" s="17"/>
      <c r="E514" s="17"/>
      <c r="F514" s="17"/>
      <c r="G514" s="17"/>
    </row>
    <row r="515">
      <c r="A515" s="340"/>
      <c r="D515" s="17"/>
      <c r="E515" s="17"/>
      <c r="F515" s="17"/>
      <c r="G515" s="17"/>
    </row>
    <row r="516">
      <c r="A516" s="340"/>
      <c r="D516" s="17"/>
      <c r="E516" s="17"/>
      <c r="F516" s="17"/>
      <c r="G516" s="17"/>
    </row>
    <row r="517">
      <c r="A517" s="340"/>
      <c r="D517" s="17"/>
      <c r="E517" s="17"/>
      <c r="F517" s="17"/>
      <c r="G517" s="17"/>
    </row>
    <row r="518">
      <c r="A518" s="340"/>
      <c r="D518" s="17"/>
      <c r="E518" s="17"/>
      <c r="F518" s="17"/>
      <c r="G518" s="17"/>
    </row>
    <row r="519">
      <c r="A519" s="340"/>
      <c r="D519" s="17"/>
      <c r="E519" s="17"/>
      <c r="F519" s="17"/>
      <c r="G519" s="17"/>
    </row>
    <row r="520">
      <c r="A520" s="340"/>
      <c r="D520" s="17"/>
      <c r="E520" s="17"/>
      <c r="F520" s="17"/>
      <c r="G520" s="17"/>
    </row>
    <row r="521">
      <c r="A521" s="340"/>
      <c r="D521" s="17"/>
      <c r="E521" s="17"/>
      <c r="F521" s="17"/>
      <c r="G521" s="17"/>
    </row>
    <row r="522">
      <c r="A522" s="340"/>
      <c r="D522" s="17"/>
      <c r="E522" s="17"/>
      <c r="F522" s="17"/>
      <c r="G522" s="17"/>
    </row>
    <row r="523">
      <c r="A523" s="340"/>
      <c r="D523" s="17"/>
      <c r="E523" s="17"/>
      <c r="F523" s="17"/>
      <c r="G523" s="17"/>
    </row>
    <row r="524">
      <c r="A524" s="340"/>
      <c r="D524" s="17"/>
      <c r="E524" s="17"/>
      <c r="F524" s="17"/>
      <c r="G524" s="17"/>
    </row>
    <row r="525">
      <c r="A525" s="340"/>
      <c r="D525" s="17"/>
      <c r="E525" s="17"/>
      <c r="F525" s="17"/>
      <c r="G525" s="17"/>
    </row>
    <row r="526">
      <c r="A526" s="340"/>
      <c r="D526" s="17"/>
      <c r="E526" s="17"/>
      <c r="F526" s="17"/>
      <c r="G526" s="17"/>
    </row>
    <row r="527">
      <c r="A527" s="340"/>
      <c r="D527" s="17"/>
      <c r="E527" s="17"/>
      <c r="F527" s="17"/>
      <c r="G527" s="17"/>
    </row>
    <row r="528">
      <c r="A528" s="340"/>
      <c r="D528" s="17"/>
      <c r="E528" s="17"/>
      <c r="F528" s="17"/>
      <c r="G528" s="17"/>
    </row>
    <row r="529">
      <c r="A529" s="340"/>
      <c r="D529" s="17"/>
      <c r="E529" s="17"/>
      <c r="F529" s="17"/>
      <c r="G529" s="17"/>
    </row>
    <row r="530">
      <c r="A530" s="340"/>
      <c r="D530" s="17"/>
      <c r="E530" s="17"/>
      <c r="F530" s="17"/>
      <c r="G530" s="17"/>
    </row>
    <row r="531">
      <c r="A531" s="340"/>
      <c r="D531" s="17"/>
      <c r="E531" s="17"/>
      <c r="F531" s="17"/>
      <c r="G531" s="17"/>
    </row>
    <row r="532">
      <c r="A532" s="340"/>
      <c r="D532" s="17"/>
      <c r="E532" s="17"/>
      <c r="F532" s="17"/>
      <c r="G532" s="17"/>
    </row>
    <row r="533">
      <c r="A533" s="340"/>
      <c r="D533" s="17"/>
      <c r="E533" s="17"/>
      <c r="F533" s="17"/>
      <c r="G533" s="17"/>
    </row>
    <row r="534">
      <c r="A534" s="340"/>
      <c r="D534" s="17"/>
      <c r="E534" s="17"/>
      <c r="F534" s="17"/>
      <c r="G534" s="17"/>
    </row>
    <row r="535">
      <c r="A535" s="340"/>
      <c r="D535" s="17"/>
      <c r="E535" s="17"/>
      <c r="F535" s="17"/>
      <c r="G535" s="17"/>
    </row>
    <row r="536">
      <c r="A536" s="340"/>
      <c r="D536" s="17"/>
      <c r="E536" s="17"/>
      <c r="F536" s="17"/>
      <c r="G536" s="17"/>
    </row>
    <row r="537">
      <c r="A537" s="340"/>
      <c r="D537" s="17"/>
      <c r="E537" s="17"/>
      <c r="F537" s="17"/>
      <c r="G537" s="17"/>
    </row>
    <row r="538">
      <c r="A538" s="340"/>
      <c r="D538" s="17"/>
      <c r="E538" s="17"/>
      <c r="F538" s="17"/>
      <c r="G538" s="17"/>
    </row>
    <row r="539">
      <c r="A539" s="340"/>
      <c r="D539" s="17"/>
      <c r="E539" s="17"/>
      <c r="F539" s="17"/>
      <c r="G539" s="17"/>
    </row>
    <row r="540">
      <c r="A540" s="340"/>
      <c r="D540" s="17"/>
      <c r="E540" s="17"/>
      <c r="F540" s="17"/>
      <c r="G540" s="17"/>
    </row>
    <row r="541">
      <c r="A541" s="340"/>
      <c r="D541" s="17"/>
      <c r="E541" s="17"/>
      <c r="F541" s="17"/>
      <c r="G541" s="17"/>
    </row>
    <row r="542">
      <c r="A542" s="340"/>
      <c r="D542" s="17"/>
      <c r="E542" s="17"/>
      <c r="F542" s="17"/>
      <c r="G542" s="17"/>
    </row>
    <row r="543">
      <c r="A543" s="340"/>
      <c r="D543" s="17"/>
      <c r="E543" s="17"/>
      <c r="F543" s="17"/>
      <c r="G543" s="17"/>
    </row>
    <row r="544">
      <c r="A544" s="340"/>
      <c r="D544" s="17"/>
      <c r="E544" s="17"/>
      <c r="F544" s="17"/>
      <c r="G544" s="17"/>
    </row>
    <row r="545">
      <c r="A545" s="340"/>
      <c r="D545" s="17"/>
      <c r="E545" s="17"/>
      <c r="F545" s="17"/>
      <c r="G545" s="17"/>
    </row>
    <row r="546">
      <c r="A546" s="340"/>
      <c r="D546" s="17"/>
      <c r="E546" s="17"/>
      <c r="F546" s="17"/>
      <c r="G546" s="17"/>
    </row>
    <row r="547">
      <c r="A547" s="340"/>
      <c r="D547" s="17"/>
      <c r="E547" s="17"/>
      <c r="F547" s="17"/>
      <c r="G547" s="17"/>
    </row>
    <row r="548">
      <c r="A548" s="340"/>
      <c r="D548" s="17"/>
      <c r="E548" s="17"/>
      <c r="F548" s="17"/>
      <c r="G548" s="17"/>
    </row>
    <row r="549">
      <c r="A549" s="340"/>
      <c r="D549" s="17"/>
      <c r="E549" s="17"/>
      <c r="F549" s="17"/>
      <c r="G549" s="17"/>
    </row>
    <row r="550">
      <c r="A550" s="340"/>
      <c r="D550" s="17"/>
      <c r="E550" s="17"/>
      <c r="F550" s="17"/>
      <c r="G550" s="17"/>
    </row>
    <row r="551">
      <c r="A551" s="340"/>
      <c r="D551" s="17"/>
      <c r="E551" s="17"/>
      <c r="F551" s="17"/>
      <c r="G551" s="17"/>
    </row>
    <row r="552">
      <c r="A552" s="340"/>
      <c r="D552" s="17"/>
      <c r="E552" s="17"/>
      <c r="F552" s="17"/>
      <c r="G552" s="17"/>
    </row>
    <row r="553">
      <c r="A553" s="340"/>
      <c r="D553" s="17"/>
      <c r="E553" s="17"/>
      <c r="F553" s="17"/>
      <c r="G553" s="17"/>
    </row>
    <row r="554">
      <c r="A554" s="340"/>
      <c r="D554" s="17"/>
      <c r="E554" s="17"/>
      <c r="F554" s="17"/>
      <c r="G554" s="17"/>
    </row>
    <row r="555">
      <c r="A555" s="340"/>
      <c r="D555" s="17"/>
      <c r="E555" s="17"/>
      <c r="F555" s="17"/>
      <c r="G555" s="17"/>
    </row>
    <row r="556">
      <c r="A556" s="340"/>
      <c r="D556" s="17"/>
      <c r="E556" s="17"/>
      <c r="F556" s="17"/>
      <c r="G556" s="17"/>
    </row>
    <row r="557">
      <c r="A557" s="340"/>
      <c r="D557" s="17"/>
      <c r="E557" s="17"/>
      <c r="F557" s="17"/>
      <c r="G557" s="17"/>
    </row>
    <row r="558">
      <c r="A558" s="340"/>
      <c r="D558" s="17"/>
      <c r="E558" s="17"/>
      <c r="F558" s="17"/>
      <c r="G558" s="17"/>
    </row>
    <row r="559">
      <c r="A559" s="340"/>
      <c r="D559" s="17"/>
      <c r="E559" s="17"/>
      <c r="F559" s="17"/>
      <c r="G559" s="17"/>
    </row>
    <row r="560">
      <c r="A560" s="340"/>
      <c r="D560" s="17"/>
      <c r="E560" s="17"/>
      <c r="F560" s="17"/>
      <c r="G560" s="17"/>
    </row>
    <row r="561">
      <c r="A561" s="340"/>
      <c r="D561" s="17"/>
      <c r="E561" s="17"/>
      <c r="F561" s="17"/>
      <c r="G561" s="17"/>
    </row>
    <row r="562">
      <c r="A562" s="340"/>
      <c r="D562" s="17"/>
      <c r="E562" s="17"/>
      <c r="F562" s="17"/>
      <c r="G562" s="17"/>
    </row>
    <row r="563">
      <c r="A563" s="340"/>
      <c r="D563" s="17"/>
      <c r="E563" s="17"/>
      <c r="F563" s="17"/>
      <c r="G563" s="17"/>
    </row>
    <row r="564">
      <c r="A564" s="340"/>
      <c r="D564" s="17"/>
      <c r="E564" s="17"/>
      <c r="F564" s="17"/>
      <c r="G564" s="17"/>
    </row>
    <row r="565">
      <c r="A565" s="340"/>
      <c r="D565" s="17"/>
      <c r="E565" s="17"/>
      <c r="F565" s="17"/>
      <c r="G565" s="17"/>
    </row>
    <row r="566">
      <c r="A566" s="340"/>
      <c r="D566" s="17"/>
      <c r="E566" s="17"/>
      <c r="F566" s="17"/>
      <c r="G566" s="17"/>
    </row>
    <row r="567">
      <c r="A567" s="340"/>
      <c r="D567" s="17"/>
      <c r="E567" s="17"/>
      <c r="F567" s="17"/>
      <c r="G567" s="17"/>
    </row>
    <row r="568">
      <c r="A568" s="340"/>
      <c r="D568" s="17"/>
      <c r="E568" s="17"/>
      <c r="F568" s="17"/>
      <c r="G568" s="17"/>
    </row>
    <row r="569">
      <c r="A569" s="340"/>
      <c r="D569" s="17"/>
      <c r="E569" s="17"/>
      <c r="F569" s="17"/>
      <c r="G569" s="17"/>
    </row>
    <row r="570">
      <c r="A570" s="340"/>
      <c r="D570" s="17"/>
      <c r="E570" s="17"/>
      <c r="F570" s="17"/>
      <c r="G570" s="17"/>
    </row>
    <row r="571">
      <c r="A571" s="340"/>
      <c r="D571" s="17"/>
      <c r="E571" s="17"/>
      <c r="F571" s="17"/>
      <c r="G571" s="17"/>
    </row>
    <row r="572">
      <c r="A572" s="340"/>
      <c r="D572" s="17"/>
      <c r="E572" s="17"/>
      <c r="F572" s="17"/>
      <c r="G572" s="17"/>
    </row>
    <row r="573">
      <c r="A573" s="340"/>
      <c r="D573" s="17"/>
      <c r="E573" s="17"/>
      <c r="F573" s="17"/>
      <c r="G573" s="17"/>
    </row>
    <row r="574">
      <c r="A574" s="340"/>
      <c r="D574" s="17"/>
      <c r="E574" s="17"/>
      <c r="F574" s="17"/>
      <c r="G574" s="17"/>
    </row>
    <row r="575">
      <c r="A575" s="340"/>
      <c r="D575" s="17"/>
      <c r="E575" s="17"/>
      <c r="F575" s="17"/>
      <c r="G575" s="17"/>
    </row>
    <row r="576">
      <c r="A576" s="340"/>
      <c r="D576" s="17"/>
      <c r="E576" s="17"/>
      <c r="F576" s="17"/>
      <c r="G576" s="17"/>
    </row>
    <row r="577">
      <c r="A577" s="340"/>
      <c r="D577" s="17"/>
      <c r="E577" s="17"/>
      <c r="F577" s="17"/>
      <c r="G577" s="17"/>
    </row>
    <row r="578">
      <c r="A578" s="340"/>
      <c r="D578" s="17"/>
      <c r="E578" s="17"/>
      <c r="F578" s="17"/>
      <c r="G578" s="17"/>
    </row>
    <row r="579">
      <c r="A579" s="340"/>
      <c r="D579" s="17"/>
      <c r="E579" s="17"/>
      <c r="F579" s="17"/>
      <c r="G579" s="17"/>
    </row>
    <row r="580">
      <c r="A580" s="340"/>
      <c r="D580" s="17"/>
      <c r="E580" s="17"/>
      <c r="F580" s="17"/>
      <c r="G580" s="17"/>
    </row>
    <row r="581">
      <c r="A581" s="340"/>
      <c r="D581" s="17"/>
      <c r="E581" s="17"/>
      <c r="F581" s="17"/>
      <c r="G581" s="17"/>
    </row>
    <row r="582">
      <c r="A582" s="340"/>
      <c r="D582" s="17"/>
      <c r="E582" s="17"/>
      <c r="F582" s="17"/>
      <c r="G582" s="17"/>
    </row>
    <row r="583">
      <c r="A583" s="340"/>
      <c r="D583" s="17"/>
      <c r="E583" s="17"/>
      <c r="F583" s="17"/>
      <c r="G583" s="17"/>
    </row>
    <row r="584">
      <c r="A584" s="340"/>
      <c r="D584" s="17"/>
      <c r="E584" s="17"/>
      <c r="F584" s="17"/>
      <c r="G584" s="17"/>
    </row>
    <row r="585">
      <c r="A585" s="340"/>
      <c r="D585" s="17"/>
      <c r="E585" s="17"/>
      <c r="F585" s="17"/>
      <c r="G585" s="17"/>
    </row>
    <row r="586">
      <c r="A586" s="340"/>
      <c r="D586" s="17"/>
      <c r="E586" s="17"/>
      <c r="F586" s="17"/>
      <c r="G586" s="17"/>
    </row>
    <row r="587">
      <c r="A587" s="340"/>
      <c r="D587" s="17"/>
      <c r="E587" s="17"/>
      <c r="F587" s="17"/>
      <c r="G587" s="17"/>
    </row>
    <row r="588">
      <c r="A588" s="340"/>
      <c r="D588" s="17"/>
      <c r="E588" s="17"/>
      <c r="F588" s="17"/>
      <c r="G588" s="17"/>
    </row>
    <row r="589">
      <c r="A589" s="340"/>
      <c r="D589" s="17"/>
      <c r="E589" s="17"/>
      <c r="F589" s="17"/>
      <c r="G589" s="17"/>
    </row>
    <row r="590">
      <c r="A590" s="340"/>
      <c r="D590" s="17"/>
      <c r="E590" s="17"/>
      <c r="F590" s="17"/>
      <c r="G590" s="17"/>
    </row>
    <row r="591">
      <c r="A591" s="340"/>
      <c r="D591" s="17"/>
      <c r="E591" s="17"/>
      <c r="F591" s="17"/>
      <c r="G591" s="17"/>
    </row>
    <row r="592">
      <c r="A592" s="340"/>
      <c r="D592" s="17"/>
      <c r="E592" s="17"/>
      <c r="F592" s="17"/>
      <c r="G592" s="17"/>
    </row>
    <row r="593">
      <c r="A593" s="340"/>
      <c r="D593" s="17"/>
      <c r="E593" s="17"/>
      <c r="F593" s="17"/>
      <c r="G593" s="17"/>
    </row>
    <row r="594">
      <c r="A594" s="340"/>
      <c r="D594" s="17"/>
      <c r="E594" s="17"/>
      <c r="F594" s="17"/>
      <c r="G594" s="17"/>
    </row>
    <row r="595">
      <c r="A595" s="340"/>
      <c r="D595" s="17"/>
      <c r="E595" s="17"/>
      <c r="F595" s="17"/>
      <c r="G595" s="17"/>
    </row>
    <row r="596">
      <c r="A596" s="340"/>
      <c r="D596" s="17"/>
      <c r="E596" s="17"/>
      <c r="F596" s="17"/>
      <c r="G596" s="17"/>
    </row>
    <row r="597">
      <c r="A597" s="340"/>
      <c r="D597" s="17"/>
      <c r="E597" s="17"/>
      <c r="F597" s="17"/>
      <c r="G597" s="17"/>
    </row>
    <row r="598">
      <c r="A598" s="340"/>
      <c r="D598" s="17"/>
      <c r="E598" s="17"/>
      <c r="F598" s="17"/>
      <c r="G598" s="17"/>
    </row>
    <row r="599">
      <c r="A599" s="340"/>
      <c r="D599" s="17"/>
      <c r="E599" s="17"/>
      <c r="F599" s="17"/>
      <c r="G599" s="17"/>
    </row>
    <row r="600">
      <c r="A600" s="340"/>
      <c r="D600" s="17"/>
      <c r="E600" s="17"/>
      <c r="F600" s="17"/>
      <c r="G600" s="17"/>
    </row>
    <row r="601">
      <c r="A601" s="340"/>
      <c r="D601" s="17"/>
      <c r="E601" s="17"/>
      <c r="F601" s="17"/>
      <c r="G601" s="17"/>
    </row>
    <row r="602">
      <c r="A602" s="340"/>
      <c r="D602" s="17"/>
      <c r="E602" s="17"/>
      <c r="F602" s="17"/>
      <c r="G602" s="17"/>
    </row>
    <row r="603">
      <c r="A603" s="340"/>
      <c r="D603" s="17"/>
      <c r="E603" s="17"/>
      <c r="F603" s="17"/>
      <c r="G603" s="17"/>
    </row>
    <row r="604">
      <c r="A604" s="340"/>
      <c r="D604" s="17"/>
      <c r="E604" s="17"/>
      <c r="F604" s="17"/>
      <c r="G604" s="17"/>
    </row>
    <row r="605">
      <c r="A605" s="340"/>
      <c r="D605" s="17"/>
      <c r="E605" s="17"/>
      <c r="F605" s="17"/>
      <c r="G605" s="17"/>
    </row>
    <row r="606">
      <c r="A606" s="340"/>
      <c r="D606" s="17"/>
      <c r="E606" s="17"/>
      <c r="F606" s="17"/>
      <c r="G606" s="17"/>
    </row>
    <row r="607">
      <c r="A607" s="340"/>
      <c r="D607" s="17"/>
      <c r="E607" s="17"/>
      <c r="F607" s="17"/>
      <c r="G607" s="17"/>
    </row>
    <row r="608">
      <c r="A608" s="340"/>
      <c r="D608" s="17"/>
      <c r="E608" s="17"/>
      <c r="F608" s="17"/>
      <c r="G608" s="17"/>
    </row>
    <row r="609">
      <c r="A609" s="340"/>
      <c r="D609" s="17"/>
      <c r="E609" s="17"/>
      <c r="F609" s="17"/>
      <c r="G609" s="17"/>
    </row>
    <row r="610">
      <c r="A610" s="340"/>
      <c r="D610" s="17"/>
      <c r="E610" s="17"/>
      <c r="F610" s="17"/>
      <c r="G610" s="17"/>
    </row>
    <row r="611">
      <c r="A611" s="340"/>
      <c r="D611" s="17"/>
      <c r="E611" s="17"/>
      <c r="F611" s="17"/>
      <c r="G611" s="17"/>
    </row>
    <row r="612">
      <c r="A612" s="340"/>
      <c r="D612" s="17"/>
      <c r="E612" s="17"/>
      <c r="F612" s="17"/>
      <c r="G612" s="17"/>
    </row>
    <row r="613">
      <c r="A613" s="340"/>
      <c r="D613" s="17"/>
      <c r="E613" s="17"/>
      <c r="F613" s="17"/>
      <c r="G613" s="17"/>
    </row>
    <row r="614">
      <c r="A614" s="340"/>
      <c r="D614" s="17"/>
      <c r="E614" s="17"/>
      <c r="F614" s="17"/>
      <c r="G614" s="17"/>
    </row>
    <row r="615">
      <c r="A615" s="340"/>
      <c r="D615" s="17"/>
      <c r="E615" s="17"/>
      <c r="F615" s="17"/>
      <c r="G615" s="17"/>
    </row>
    <row r="616">
      <c r="A616" s="340"/>
      <c r="D616" s="17"/>
      <c r="E616" s="17"/>
      <c r="F616" s="17"/>
      <c r="G616" s="17"/>
    </row>
    <row r="617">
      <c r="A617" s="340"/>
      <c r="D617" s="17"/>
      <c r="E617" s="17"/>
      <c r="F617" s="17"/>
      <c r="G617" s="17"/>
    </row>
    <row r="618">
      <c r="A618" s="340"/>
      <c r="D618" s="17"/>
      <c r="E618" s="17"/>
      <c r="F618" s="17"/>
      <c r="G618" s="17"/>
    </row>
    <row r="619">
      <c r="A619" s="340"/>
      <c r="D619" s="17"/>
      <c r="E619" s="17"/>
      <c r="F619" s="17"/>
      <c r="G619" s="17"/>
    </row>
    <row r="620">
      <c r="A620" s="340"/>
      <c r="D620" s="17"/>
      <c r="E620" s="17"/>
      <c r="F620" s="17"/>
      <c r="G620" s="17"/>
    </row>
    <row r="621">
      <c r="A621" s="340"/>
      <c r="D621" s="17"/>
      <c r="E621" s="17"/>
      <c r="F621" s="17"/>
      <c r="G621" s="17"/>
    </row>
    <row r="622">
      <c r="A622" s="340"/>
      <c r="D622" s="17"/>
      <c r="E622" s="17"/>
      <c r="F622" s="17"/>
      <c r="G622" s="17"/>
    </row>
    <row r="623">
      <c r="A623" s="340"/>
      <c r="D623" s="17"/>
      <c r="E623" s="17"/>
      <c r="F623" s="17"/>
      <c r="G623" s="17"/>
    </row>
    <row r="624">
      <c r="A624" s="340"/>
      <c r="D624" s="17"/>
      <c r="E624" s="17"/>
      <c r="F624" s="17"/>
      <c r="G624" s="17"/>
    </row>
    <row r="625">
      <c r="A625" s="340"/>
      <c r="D625" s="17"/>
      <c r="E625" s="17"/>
      <c r="F625" s="17"/>
      <c r="G625" s="17"/>
    </row>
    <row r="626">
      <c r="A626" s="340"/>
      <c r="D626" s="17"/>
      <c r="E626" s="17"/>
      <c r="F626" s="17"/>
      <c r="G626" s="17"/>
    </row>
    <row r="627">
      <c r="A627" s="340"/>
      <c r="D627" s="17"/>
      <c r="E627" s="17"/>
      <c r="F627" s="17"/>
      <c r="G627" s="17"/>
    </row>
    <row r="628">
      <c r="A628" s="340"/>
      <c r="D628" s="17"/>
      <c r="E628" s="17"/>
      <c r="F628" s="17"/>
      <c r="G628" s="17"/>
    </row>
    <row r="629">
      <c r="A629" s="340"/>
      <c r="D629" s="17"/>
      <c r="E629" s="17"/>
      <c r="F629" s="17"/>
      <c r="G629" s="17"/>
    </row>
    <row r="630">
      <c r="A630" s="340"/>
      <c r="D630" s="17"/>
      <c r="E630" s="17"/>
      <c r="F630" s="17"/>
      <c r="G630" s="17"/>
    </row>
    <row r="631">
      <c r="A631" s="340"/>
      <c r="D631" s="17"/>
      <c r="E631" s="17"/>
      <c r="F631" s="17"/>
      <c r="G631" s="17"/>
    </row>
    <row r="632">
      <c r="A632" s="340"/>
      <c r="D632" s="17"/>
      <c r="E632" s="17"/>
      <c r="F632" s="17"/>
      <c r="G632" s="17"/>
    </row>
    <row r="633">
      <c r="A633" s="340"/>
      <c r="D633" s="17"/>
      <c r="E633" s="17"/>
      <c r="F633" s="17"/>
      <c r="G633" s="17"/>
    </row>
    <row r="634">
      <c r="A634" s="340"/>
      <c r="D634" s="17"/>
      <c r="E634" s="17"/>
      <c r="F634" s="17"/>
      <c r="G634" s="17"/>
    </row>
    <row r="635">
      <c r="A635" s="340"/>
      <c r="D635" s="17"/>
      <c r="E635" s="17"/>
      <c r="F635" s="17"/>
      <c r="G635" s="17"/>
    </row>
    <row r="636">
      <c r="A636" s="340"/>
      <c r="D636" s="17"/>
      <c r="E636" s="17"/>
      <c r="F636" s="17"/>
      <c r="G636" s="17"/>
    </row>
    <row r="637">
      <c r="A637" s="340"/>
      <c r="D637" s="17"/>
      <c r="E637" s="17"/>
      <c r="F637" s="17"/>
      <c r="G637" s="17"/>
    </row>
    <row r="638">
      <c r="A638" s="340"/>
      <c r="D638" s="17"/>
      <c r="E638" s="17"/>
      <c r="F638" s="17"/>
      <c r="G638" s="17"/>
    </row>
    <row r="639">
      <c r="A639" s="340"/>
      <c r="D639" s="17"/>
      <c r="E639" s="17"/>
      <c r="F639" s="17"/>
      <c r="G639" s="17"/>
    </row>
    <row r="640">
      <c r="A640" s="340"/>
      <c r="D640" s="17"/>
      <c r="E640" s="17"/>
      <c r="F640" s="17"/>
      <c r="G640" s="17"/>
    </row>
    <row r="641">
      <c r="A641" s="340"/>
      <c r="D641" s="17"/>
      <c r="E641" s="17"/>
      <c r="F641" s="17"/>
      <c r="G641" s="17"/>
    </row>
    <row r="642">
      <c r="A642" s="340"/>
      <c r="D642" s="17"/>
      <c r="E642" s="17"/>
      <c r="F642" s="17"/>
      <c r="G642" s="17"/>
    </row>
    <row r="643">
      <c r="A643" s="340"/>
      <c r="D643" s="17"/>
      <c r="E643" s="17"/>
      <c r="F643" s="17"/>
      <c r="G643" s="17"/>
    </row>
    <row r="644">
      <c r="A644" s="340"/>
      <c r="D644" s="17"/>
      <c r="E644" s="17"/>
      <c r="F644" s="17"/>
      <c r="G644" s="17"/>
    </row>
    <row r="645">
      <c r="A645" s="340"/>
      <c r="D645" s="17"/>
      <c r="E645" s="17"/>
      <c r="F645" s="17"/>
      <c r="G645" s="17"/>
    </row>
    <row r="646">
      <c r="A646" s="340"/>
      <c r="D646" s="17"/>
      <c r="E646" s="17"/>
      <c r="F646" s="17"/>
      <c r="G646" s="17"/>
    </row>
    <row r="647">
      <c r="A647" s="340"/>
      <c r="D647" s="17"/>
      <c r="E647" s="17"/>
      <c r="F647" s="17"/>
      <c r="G647" s="17"/>
    </row>
    <row r="648">
      <c r="A648" s="340"/>
      <c r="D648" s="17"/>
      <c r="E648" s="17"/>
      <c r="F648" s="17"/>
      <c r="G648" s="17"/>
    </row>
    <row r="649">
      <c r="A649" s="340"/>
      <c r="D649" s="17"/>
      <c r="E649" s="17"/>
      <c r="F649" s="17"/>
      <c r="G649" s="17"/>
    </row>
    <row r="650">
      <c r="A650" s="340"/>
      <c r="D650" s="17"/>
      <c r="E650" s="17"/>
      <c r="F650" s="17"/>
      <c r="G650" s="17"/>
    </row>
    <row r="651">
      <c r="A651" s="340"/>
      <c r="D651" s="17"/>
      <c r="E651" s="17"/>
      <c r="F651" s="17"/>
      <c r="G651" s="17"/>
    </row>
    <row r="652">
      <c r="A652" s="340"/>
      <c r="D652" s="17"/>
      <c r="E652" s="17"/>
      <c r="F652" s="17"/>
      <c r="G652" s="17"/>
    </row>
    <row r="653">
      <c r="A653" s="340"/>
      <c r="D653" s="17"/>
      <c r="E653" s="17"/>
      <c r="F653" s="17"/>
      <c r="G653" s="17"/>
    </row>
    <row r="654">
      <c r="A654" s="340"/>
      <c r="D654" s="17"/>
      <c r="E654" s="17"/>
      <c r="F654" s="17"/>
      <c r="G654" s="17"/>
    </row>
    <row r="655">
      <c r="A655" s="340"/>
      <c r="D655" s="17"/>
      <c r="E655" s="17"/>
      <c r="F655" s="17"/>
      <c r="G655" s="17"/>
    </row>
    <row r="656">
      <c r="A656" s="340"/>
      <c r="D656" s="17"/>
      <c r="E656" s="17"/>
      <c r="F656" s="17"/>
      <c r="G656" s="17"/>
    </row>
    <row r="657">
      <c r="A657" s="340"/>
      <c r="D657" s="17"/>
      <c r="E657" s="17"/>
      <c r="F657" s="17"/>
      <c r="G657" s="17"/>
    </row>
    <row r="658">
      <c r="A658" s="340"/>
      <c r="D658" s="17"/>
      <c r="E658" s="17"/>
      <c r="F658" s="17"/>
      <c r="G658" s="17"/>
    </row>
    <row r="659">
      <c r="A659" s="340"/>
      <c r="D659" s="17"/>
      <c r="E659" s="17"/>
      <c r="F659" s="17"/>
      <c r="G659" s="17"/>
    </row>
    <row r="660">
      <c r="A660" s="340"/>
      <c r="D660" s="17"/>
      <c r="E660" s="17"/>
      <c r="F660" s="17"/>
      <c r="G660" s="17"/>
    </row>
    <row r="661">
      <c r="A661" s="340"/>
      <c r="D661" s="17"/>
      <c r="E661" s="17"/>
      <c r="F661" s="17"/>
      <c r="G661" s="17"/>
    </row>
    <row r="662">
      <c r="A662" s="340"/>
      <c r="D662" s="17"/>
      <c r="E662" s="17"/>
      <c r="F662" s="17"/>
      <c r="G662" s="17"/>
    </row>
    <row r="663">
      <c r="A663" s="340"/>
      <c r="D663" s="17"/>
      <c r="E663" s="17"/>
      <c r="F663" s="17"/>
      <c r="G663" s="17"/>
    </row>
    <row r="664">
      <c r="A664" s="340"/>
      <c r="D664" s="17"/>
      <c r="E664" s="17"/>
      <c r="F664" s="17"/>
      <c r="G664" s="17"/>
    </row>
    <row r="665">
      <c r="A665" s="340"/>
      <c r="D665" s="17"/>
      <c r="E665" s="17"/>
      <c r="F665" s="17"/>
      <c r="G665" s="17"/>
    </row>
    <row r="666">
      <c r="A666" s="340"/>
      <c r="D666" s="17"/>
      <c r="E666" s="17"/>
      <c r="F666" s="17"/>
      <c r="G666" s="17"/>
    </row>
    <row r="667">
      <c r="A667" s="340"/>
      <c r="D667" s="17"/>
      <c r="E667" s="17"/>
      <c r="F667" s="17"/>
      <c r="G667" s="17"/>
    </row>
    <row r="668">
      <c r="A668" s="340"/>
      <c r="D668" s="17"/>
      <c r="E668" s="17"/>
      <c r="F668" s="17"/>
      <c r="G668" s="17"/>
    </row>
    <row r="669">
      <c r="A669" s="340"/>
      <c r="D669" s="17"/>
      <c r="E669" s="17"/>
      <c r="F669" s="17"/>
      <c r="G669" s="17"/>
    </row>
    <row r="670">
      <c r="A670" s="340"/>
      <c r="D670" s="17"/>
      <c r="E670" s="17"/>
      <c r="F670" s="17"/>
      <c r="G670" s="17"/>
    </row>
    <row r="671">
      <c r="A671" s="340"/>
      <c r="D671" s="17"/>
      <c r="E671" s="17"/>
      <c r="F671" s="17"/>
      <c r="G671" s="17"/>
    </row>
    <row r="672">
      <c r="A672" s="340"/>
      <c r="D672" s="17"/>
      <c r="E672" s="17"/>
      <c r="F672" s="17"/>
      <c r="G672" s="17"/>
    </row>
    <row r="673">
      <c r="A673" s="340"/>
      <c r="D673" s="17"/>
      <c r="E673" s="17"/>
      <c r="F673" s="17"/>
      <c r="G673" s="17"/>
    </row>
    <row r="674">
      <c r="A674" s="340"/>
      <c r="D674" s="17"/>
      <c r="E674" s="17"/>
      <c r="F674" s="17"/>
      <c r="G674" s="17"/>
    </row>
    <row r="675">
      <c r="A675" s="340"/>
      <c r="D675" s="17"/>
      <c r="E675" s="17"/>
      <c r="F675" s="17"/>
      <c r="G675" s="17"/>
    </row>
    <row r="676">
      <c r="A676" s="340"/>
      <c r="D676" s="17"/>
      <c r="E676" s="17"/>
      <c r="F676" s="17"/>
      <c r="G676" s="17"/>
    </row>
    <row r="677">
      <c r="A677" s="340"/>
      <c r="D677" s="17"/>
      <c r="E677" s="17"/>
      <c r="F677" s="17"/>
      <c r="G677" s="17"/>
    </row>
    <row r="678">
      <c r="A678" s="340"/>
      <c r="D678" s="17"/>
      <c r="E678" s="17"/>
      <c r="F678" s="17"/>
      <c r="G678" s="17"/>
    </row>
    <row r="679">
      <c r="A679" s="340"/>
      <c r="D679" s="17"/>
      <c r="E679" s="17"/>
      <c r="F679" s="17"/>
      <c r="G679" s="17"/>
    </row>
    <row r="680">
      <c r="A680" s="340"/>
      <c r="D680" s="17"/>
      <c r="E680" s="17"/>
      <c r="F680" s="17"/>
      <c r="G680" s="17"/>
    </row>
    <row r="681">
      <c r="A681" s="340"/>
      <c r="D681" s="17"/>
      <c r="E681" s="17"/>
      <c r="F681" s="17"/>
      <c r="G681" s="17"/>
    </row>
    <row r="682">
      <c r="A682" s="340"/>
      <c r="D682" s="17"/>
      <c r="E682" s="17"/>
      <c r="F682" s="17"/>
      <c r="G682" s="17"/>
    </row>
    <row r="683">
      <c r="A683" s="340"/>
      <c r="D683" s="17"/>
      <c r="E683" s="17"/>
      <c r="F683" s="17"/>
      <c r="G683" s="17"/>
    </row>
    <row r="684">
      <c r="A684" s="340"/>
      <c r="D684" s="17"/>
      <c r="E684" s="17"/>
      <c r="F684" s="17"/>
      <c r="G684" s="17"/>
    </row>
    <row r="685">
      <c r="A685" s="340"/>
      <c r="D685" s="17"/>
      <c r="E685" s="17"/>
      <c r="F685" s="17"/>
      <c r="G685" s="17"/>
    </row>
    <row r="686">
      <c r="A686" s="340"/>
      <c r="D686" s="17"/>
      <c r="E686" s="17"/>
      <c r="F686" s="17"/>
      <c r="G686" s="17"/>
    </row>
    <row r="687">
      <c r="A687" s="340"/>
      <c r="D687" s="17"/>
      <c r="E687" s="17"/>
      <c r="F687" s="17"/>
      <c r="G687" s="17"/>
    </row>
    <row r="688">
      <c r="A688" s="340"/>
      <c r="D688" s="17"/>
      <c r="E688" s="17"/>
      <c r="F688" s="17"/>
      <c r="G688" s="17"/>
    </row>
    <row r="689">
      <c r="A689" s="340"/>
      <c r="D689" s="17"/>
      <c r="E689" s="17"/>
      <c r="F689" s="17"/>
      <c r="G689" s="17"/>
    </row>
    <row r="690">
      <c r="A690" s="340"/>
      <c r="D690" s="17"/>
      <c r="E690" s="17"/>
      <c r="F690" s="17"/>
      <c r="G690" s="17"/>
    </row>
    <row r="691">
      <c r="A691" s="340"/>
      <c r="D691" s="17"/>
      <c r="E691" s="17"/>
      <c r="F691" s="17"/>
      <c r="G691" s="17"/>
    </row>
    <row r="692">
      <c r="A692" s="340"/>
      <c r="D692" s="17"/>
      <c r="E692" s="17"/>
      <c r="F692" s="17"/>
      <c r="G692" s="17"/>
    </row>
    <row r="693">
      <c r="A693" s="340"/>
      <c r="D693" s="17"/>
      <c r="E693" s="17"/>
      <c r="F693" s="17"/>
      <c r="G693" s="17"/>
    </row>
    <row r="694">
      <c r="A694" s="340"/>
      <c r="D694" s="17"/>
      <c r="E694" s="17"/>
      <c r="F694" s="17"/>
      <c r="G694" s="17"/>
    </row>
    <row r="695">
      <c r="A695" s="340"/>
      <c r="D695" s="17"/>
      <c r="E695" s="17"/>
      <c r="F695" s="17"/>
      <c r="G695" s="17"/>
    </row>
    <row r="696">
      <c r="A696" s="340"/>
      <c r="D696" s="17"/>
      <c r="E696" s="17"/>
      <c r="F696" s="17"/>
      <c r="G696" s="17"/>
    </row>
    <row r="697">
      <c r="A697" s="340"/>
      <c r="D697" s="17"/>
      <c r="E697" s="17"/>
      <c r="F697" s="17"/>
      <c r="G697" s="17"/>
    </row>
    <row r="698">
      <c r="A698" s="340"/>
      <c r="D698" s="17"/>
      <c r="E698" s="17"/>
      <c r="F698" s="17"/>
      <c r="G698" s="17"/>
    </row>
    <row r="699">
      <c r="A699" s="340"/>
      <c r="D699" s="17"/>
      <c r="E699" s="17"/>
      <c r="F699" s="17"/>
      <c r="G699" s="17"/>
    </row>
    <row r="700">
      <c r="A700" s="340"/>
      <c r="D700" s="17"/>
      <c r="E700" s="17"/>
      <c r="F700" s="17"/>
      <c r="G700" s="17"/>
    </row>
    <row r="701">
      <c r="A701" s="340"/>
      <c r="D701" s="17"/>
      <c r="E701" s="17"/>
      <c r="F701" s="17"/>
      <c r="G701" s="17"/>
    </row>
    <row r="702">
      <c r="A702" s="340"/>
      <c r="D702" s="17"/>
      <c r="E702" s="17"/>
      <c r="F702" s="17"/>
      <c r="G702" s="17"/>
    </row>
    <row r="703">
      <c r="A703" s="340"/>
      <c r="D703" s="17"/>
      <c r="E703" s="17"/>
      <c r="F703" s="17"/>
      <c r="G703" s="17"/>
    </row>
    <row r="704">
      <c r="A704" s="340"/>
      <c r="D704" s="17"/>
      <c r="E704" s="17"/>
      <c r="F704" s="17"/>
      <c r="G704" s="17"/>
    </row>
    <row r="705">
      <c r="A705" s="340"/>
      <c r="D705" s="17"/>
      <c r="E705" s="17"/>
      <c r="F705" s="17"/>
      <c r="G705" s="17"/>
    </row>
    <row r="706">
      <c r="A706" s="340"/>
      <c r="D706" s="17"/>
      <c r="E706" s="17"/>
      <c r="F706" s="17"/>
      <c r="G706" s="17"/>
    </row>
    <row r="707">
      <c r="A707" s="340"/>
      <c r="D707" s="17"/>
      <c r="E707" s="17"/>
      <c r="F707" s="17"/>
      <c r="G707" s="17"/>
    </row>
    <row r="708">
      <c r="A708" s="340"/>
      <c r="D708" s="17"/>
      <c r="E708" s="17"/>
      <c r="F708" s="17"/>
      <c r="G708" s="17"/>
    </row>
    <row r="709">
      <c r="A709" s="340"/>
      <c r="D709" s="17"/>
      <c r="E709" s="17"/>
      <c r="F709" s="17"/>
      <c r="G709" s="17"/>
    </row>
    <row r="710">
      <c r="A710" s="340"/>
      <c r="D710" s="17"/>
      <c r="E710" s="17"/>
      <c r="F710" s="17"/>
      <c r="G710" s="17"/>
    </row>
    <row r="711">
      <c r="A711" s="340"/>
      <c r="D711" s="17"/>
      <c r="E711" s="17"/>
      <c r="F711" s="17"/>
      <c r="G711" s="17"/>
    </row>
    <row r="712">
      <c r="A712" s="340"/>
      <c r="D712" s="17"/>
      <c r="E712" s="17"/>
      <c r="F712" s="17"/>
      <c r="G712" s="17"/>
    </row>
    <row r="713">
      <c r="A713" s="340"/>
      <c r="D713" s="17"/>
      <c r="E713" s="17"/>
      <c r="F713" s="17"/>
      <c r="G713" s="17"/>
    </row>
    <row r="714">
      <c r="A714" s="340"/>
      <c r="D714" s="17"/>
      <c r="E714" s="17"/>
      <c r="F714" s="17"/>
      <c r="G714" s="17"/>
    </row>
    <row r="715">
      <c r="A715" s="340"/>
      <c r="D715" s="17"/>
      <c r="E715" s="17"/>
      <c r="F715" s="17"/>
      <c r="G715" s="17"/>
    </row>
    <row r="716">
      <c r="A716" s="340"/>
      <c r="D716" s="17"/>
      <c r="E716" s="17"/>
      <c r="F716" s="17"/>
      <c r="G716" s="17"/>
    </row>
    <row r="717">
      <c r="A717" s="340"/>
      <c r="D717" s="17"/>
      <c r="E717" s="17"/>
      <c r="F717" s="17"/>
      <c r="G717" s="17"/>
    </row>
    <row r="718">
      <c r="A718" s="340"/>
      <c r="D718" s="17"/>
      <c r="E718" s="17"/>
      <c r="F718" s="17"/>
      <c r="G718" s="17"/>
    </row>
    <row r="719">
      <c r="A719" s="340"/>
      <c r="D719" s="17"/>
      <c r="E719" s="17"/>
      <c r="F719" s="17"/>
      <c r="G719" s="17"/>
    </row>
    <row r="720">
      <c r="A720" s="340"/>
      <c r="D720" s="17"/>
      <c r="E720" s="17"/>
      <c r="F720" s="17"/>
      <c r="G720" s="17"/>
    </row>
    <row r="721">
      <c r="A721" s="340"/>
      <c r="D721" s="17"/>
      <c r="E721" s="17"/>
      <c r="F721" s="17"/>
      <c r="G721" s="17"/>
    </row>
    <row r="722">
      <c r="A722" s="340"/>
      <c r="D722" s="17"/>
      <c r="E722" s="17"/>
      <c r="F722" s="17"/>
      <c r="G722" s="17"/>
    </row>
    <row r="723">
      <c r="A723" s="340"/>
      <c r="D723" s="17"/>
      <c r="E723" s="17"/>
      <c r="F723" s="17"/>
      <c r="G723" s="17"/>
    </row>
    <row r="724">
      <c r="A724" s="340"/>
      <c r="D724" s="17"/>
      <c r="E724" s="17"/>
      <c r="F724" s="17"/>
      <c r="G724" s="17"/>
    </row>
    <row r="725">
      <c r="A725" s="340"/>
      <c r="D725" s="17"/>
      <c r="E725" s="17"/>
      <c r="F725" s="17"/>
      <c r="G725" s="17"/>
    </row>
    <row r="726">
      <c r="A726" s="340"/>
      <c r="D726" s="17"/>
      <c r="E726" s="17"/>
      <c r="F726" s="17"/>
      <c r="G726" s="17"/>
    </row>
    <row r="727">
      <c r="A727" s="340"/>
      <c r="D727" s="17"/>
      <c r="E727" s="17"/>
      <c r="F727" s="17"/>
      <c r="G727" s="17"/>
    </row>
    <row r="728">
      <c r="A728" s="340"/>
      <c r="D728" s="17"/>
      <c r="E728" s="17"/>
      <c r="F728" s="17"/>
      <c r="G728" s="17"/>
    </row>
    <row r="729">
      <c r="A729" s="340"/>
      <c r="D729" s="17"/>
      <c r="E729" s="17"/>
      <c r="F729" s="17"/>
      <c r="G729" s="17"/>
    </row>
    <row r="730">
      <c r="A730" s="340"/>
      <c r="D730" s="17"/>
      <c r="E730" s="17"/>
      <c r="F730" s="17"/>
      <c r="G730" s="17"/>
    </row>
    <row r="731">
      <c r="A731" s="340"/>
      <c r="D731" s="17"/>
      <c r="E731" s="17"/>
      <c r="F731" s="17"/>
      <c r="G731" s="17"/>
    </row>
    <row r="732">
      <c r="A732" s="340"/>
      <c r="D732" s="17"/>
      <c r="E732" s="17"/>
      <c r="F732" s="17"/>
      <c r="G732" s="17"/>
    </row>
    <row r="733">
      <c r="A733" s="340"/>
      <c r="D733" s="17"/>
      <c r="E733" s="17"/>
      <c r="F733" s="17"/>
      <c r="G733" s="17"/>
    </row>
    <row r="734">
      <c r="A734" s="340"/>
      <c r="D734" s="17"/>
      <c r="E734" s="17"/>
      <c r="F734" s="17"/>
      <c r="G734" s="17"/>
    </row>
    <row r="735">
      <c r="A735" s="340"/>
      <c r="D735" s="17"/>
      <c r="E735" s="17"/>
      <c r="F735" s="17"/>
      <c r="G735" s="17"/>
    </row>
    <row r="736">
      <c r="A736" s="340"/>
      <c r="D736" s="17"/>
      <c r="E736" s="17"/>
      <c r="F736" s="17"/>
      <c r="G736" s="17"/>
    </row>
    <row r="737">
      <c r="A737" s="340"/>
      <c r="D737" s="17"/>
      <c r="E737" s="17"/>
      <c r="F737" s="17"/>
      <c r="G737" s="17"/>
    </row>
    <row r="738">
      <c r="A738" s="340"/>
      <c r="D738" s="17"/>
      <c r="E738" s="17"/>
      <c r="F738" s="17"/>
      <c r="G738" s="17"/>
    </row>
    <row r="739">
      <c r="A739" s="340"/>
      <c r="D739" s="17"/>
      <c r="E739" s="17"/>
      <c r="F739" s="17"/>
      <c r="G739" s="17"/>
    </row>
    <row r="740">
      <c r="A740" s="340"/>
      <c r="D740" s="17"/>
      <c r="E740" s="17"/>
      <c r="F740" s="17"/>
      <c r="G740" s="17"/>
    </row>
    <row r="741">
      <c r="A741" s="340"/>
      <c r="D741" s="17"/>
      <c r="E741" s="17"/>
      <c r="F741" s="17"/>
      <c r="G741" s="17"/>
    </row>
    <row r="742">
      <c r="A742" s="340"/>
      <c r="D742" s="17"/>
      <c r="E742" s="17"/>
      <c r="F742" s="17"/>
      <c r="G742" s="17"/>
    </row>
    <row r="743">
      <c r="A743" s="340"/>
      <c r="D743" s="17"/>
      <c r="E743" s="17"/>
      <c r="F743" s="17"/>
      <c r="G743" s="17"/>
    </row>
    <row r="744">
      <c r="A744" s="340"/>
      <c r="D744" s="17"/>
      <c r="E744" s="17"/>
      <c r="F744" s="17"/>
      <c r="G744" s="17"/>
    </row>
    <row r="745">
      <c r="A745" s="340"/>
      <c r="D745" s="17"/>
      <c r="E745" s="17"/>
      <c r="F745" s="17"/>
      <c r="G745" s="17"/>
    </row>
    <row r="746">
      <c r="A746" s="340"/>
      <c r="D746" s="17"/>
      <c r="E746" s="17"/>
      <c r="F746" s="17"/>
      <c r="G746" s="17"/>
    </row>
    <row r="747">
      <c r="A747" s="340"/>
      <c r="D747" s="17"/>
      <c r="E747" s="17"/>
      <c r="F747" s="17"/>
      <c r="G747" s="17"/>
    </row>
    <row r="748">
      <c r="A748" s="340"/>
      <c r="D748" s="17"/>
      <c r="E748" s="17"/>
      <c r="F748" s="17"/>
      <c r="G748" s="17"/>
    </row>
    <row r="749">
      <c r="A749" s="340"/>
      <c r="D749" s="17"/>
      <c r="E749" s="17"/>
      <c r="F749" s="17"/>
      <c r="G749" s="17"/>
    </row>
    <row r="750">
      <c r="A750" s="340"/>
      <c r="D750" s="17"/>
      <c r="E750" s="17"/>
      <c r="F750" s="17"/>
      <c r="G750" s="17"/>
    </row>
    <row r="751">
      <c r="A751" s="340"/>
      <c r="D751" s="17"/>
      <c r="E751" s="17"/>
      <c r="F751" s="17"/>
      <c r="G751" s="17"/>
    </row>
    <row r="752">
      <c r="A752" s="340"/>
      <c r="D752" s="17"/>
      <c r="E752" s="17"/>
      <c r="F752" s="17"/>
      <c r="G752" s="17"/>
    </row>
    <row r="753">
      <c r="A753" s="340"/>
      <c r="D753" s="17"/>
      <c r="E753" s="17"/>
      <c r="F753" s="17"/>
      <c r="G753" s="17"/>
    </row>
    <row r="754">
      <c r="A754" s="340"/>
      <c r="D754" s="17"/>
      <c r="E754" s="17"/>
      <c r="F754" s="17"/>
      <c r="G754" s="17"/>
    </row>
    <row r="755">
      <c r="A755" s="340"/>
      <c r="D755" s="17"/>
      <c r="E755" s="17"/>
      <c r="F755" s="17"/>
      <c r="G755" s="17"/>
    </row>
    <row r="756">
      <c r="A756" s="340"/>
      <c r="D756" s="17"/>
      <c r="E756" s="17"/>
      <c r="F756" s="17"/>
      <c r="G756" s="17"/>
    </row>
    <row r="757">
      <c r="A757" s="340"/>
      <c r="D757" s="17"/>
      <c r="E757" s="17"/>
      <c r="F757" s="17"/>
      <c r="G757" s="17"/>
    </row>
    <row r="758">
      <c r="A758" s="340"/>
      <c r="D758" s="17"/>
      <c r="E758" s="17"/>
      <c r="F758" s="17"/>
      <c r="G758" s="17"/>
    </row>
    <row r="759">
      <c r="A759" s="340"/>
      <c r="D759" s="17"/>
      <c r="E759" s="17"/>
      <c r="F759" s="17"/>
      <c r="G759" s="17"/>
    </row>
    <row r="760">
      <c r="A760" s="340"/>
      <c r="D760" s="17"/>
      <c r="E760" s="17"/>
      <c r="F760" s="17"/>
      <c r="G760" s="17"/>
    </row>
    <row r="761">
      <c r="A761" s="340"/>
      <c r="D761" s="17"/>
      <c r="E761" s="17"/>
      <c r="F761" s="17"/>
      <c r="G761" s="17"/>
    </row>
    <row r="762">
      <c r="A762" s="340"/>
      <c r="D762" s="17"/>
      <c r="E762" s="17"/>
      <c r="F762" s="17"/>
      <c r="G762" s="17"/>
    </row>
    <row r="763">
      <c r="A763" s="340"/>
      <c r="D763" s="17"/>
      <c r="E763" s="17"/>
      <c r="F763" s="17"/>
      <c r="G763" s="17"/>
    </row>
    <row r="764">
      <c r="A764" s="340"/>
      <c r="D764" s="17"/>
      <c r="E764" s="17"/>
      <c r="F764" s="17"/>
      <c r="G764" s="17"/>
    </row>
    <row r="765">
      <c r="A765" s="340"/>
      <c r="D765" s="17"/>
      <c r="E765" s="17"/>
      <c r="F765" s="17"/>
      <c r="G765" s="17"/>
    </row>
    <row r="766">
      <c r="A766" s="340"/>
      <c r="D766" s="17"/>
      <c r="E766" s="17"/>
      <c r="F766" s="17"/>
      <c r="G766" s="17"/>
    </row>
    <row r="767">
      <c r="A767" s="340"/>
      <c r="D767" s="17"/>
      <c r="E767" s="17"/>
      <c r="F767" s="17"/>
      <c r="G767" s="17"/>
    </row>
    <row r="768">
      <c r="A768" s="340"/>
      <c r="D768" s="17"/>
      <c r="E768" s="17"/>
      <c r="F768" s="17"/>
      <c r="G768" s="17"/>
    </row>
    <row r="769">
      <c r="A769" s="340"/>
      <c r="D769" s="17"/>
      <c r="E769" s="17"/>
      <c r="F769" s="17"/>
      <c r="G769" s="17"/>
    </row>
    <row r="770">
      <c r="A770" s="340"/>
      <c r="D770" s="17"/>
      <c r="E770" s="17"/>
      <c r="F770" s="17"/>
      <c r="G770" s="17"/>
    </row>
    <row r="771">
      <c r="A771" s="340"/>
      <c r="D771" s="17"/>
      <c r="E771" s="17"/>
      <c r="F771" s="17"/>
      <c r="G771" s="17"/>
    </row>
    <row r="772">
      <c r="A772" s="340"/>
      <c r="D772" s="17"/>
      <c r="E772" s="17"/>
      <c r="F772" s="17"/>
      <c r="G772" s="17"/>
    </row>
    <row r="773">
      <c r="A773" s="340"/>
      <c r="D773" s="17"/>
      <c r="E773" s="17"/>
      <c r="F773" s="17"/>
      <c r="G773" s="17"/>
    </row>
    <row r="774">
      <c r="A774" s="340"/>
      <c r="D774" s="17"/>
      <c r="E774" s="17"/>
      <c r="F774" s="17"/>
      <c r="G774" s="17"/>
    </row>
    <row r="775">
      <c r="A775" s="340"/>
      <c r="D775" s="17"/>
      <c r="E775" s="17"/>
      <c r="F775" s="17"/>
      <c r="G775" s="17"/>
    </row>
    <row r="776">
      <c r="A776" s="340"/>
      <c r="D776" s="17"/>
      <c r="E776" s="17"/>
      <c r="F776" s="17"/>
      <c r="G776" s="17"/>
    </row>
    <row r="777">
      <c r="A777" s="340"/>
      <c r="D777" s="17"/>
      <c r="E777" s="17"/>
      <c r="F777" s="17"/>
      <c r="G777" s="17"/>
    </row>
    <row r="778">
      <c r="A778" s="340"/>
      <c r="D778" s="17"/>
      <c r="E778" s="17"/>
      <c r="F778" s="17"/>
      <c r="G778" s="17"/>
    </row>
    <row r="779">
      <c r="A779" s="340"/>
      <c r="D779" s="17"/>
      <c r="E779" s="17"/>
      <c r="F779" s="17"/>
      <c r="G779" s="17"/>
    </row>
    <row r="780">
      <c r="A780" s="340"/>
      <c r="D780" s="17"/>
      <c r="E780" s="17"/>
      <c r="F780" s="17"/>
      <c r="G780" s="17"/>
    </row>
    <row r="781">
      <c r="A781" s="340"/>
      <c r="D781" s="17"/>
      <c r="E781" s="17"/>
      <c r="F781" s="17"/>
      <c r="G781" s="17"/>
    </row>
    <row r="782">
      <c r="A782" s="340"/>
      <c r="D782" s="17"/>
      <c r="E782" s="17"/>
      <c r="F782" s="17"/>
      <c r="G782" s="17"/>
    </row>
    <row r="783">
      <c r="A783" s="340"/>
      <c r="D783" s="17"/>
      <c r="E783" s="17"/>
      <c r="F783" s="17"/>
      <c r="G783" s="17"/>
    </row>
    <row r="784">
      <c r="A784" s="340"/>
      <c r="D784" s="17"/>
      <c r="E784" s="17"/>
      <c r="F784" s="17"/>
      <c r="G784" s="17"/>
    </row>
    <row r="785">
      <c r="A785" s="340"/>
      <c r="D785" s="17"/>
      <c r="E785" s="17"/>
      <c r="F785" s="17"/>
      <c r="G785" s="17"/>
    </row>
    <row r="786">
      <c r="A786" s="340"/>
      <c r="D786" s="17"/>
      <c r="E786" s="17"/>
      <c r="F786" s="17"/>
      <c r="G786" s="17"/>
    </row>
    <row r="787">
      <c r="A787" s="340"/>
      <c r="D787" s="17"/>
      <c r="E787" s="17"/>
      <c r="F787" s="17"/>
      <c r="G787" s="17"/>
    </row>
    <row r="788">
      <c r="A788" s="340"/>
      <c r="D788" s="17"/>
      <c r="E788" s="17"/>
      <c r="F788" s="17"/>
      <c r="G788" s="17"/>
    </row>
    <row r="789">
      <c r="A789" s="340"/>
      <c r="D789" s="17"/>
      <c r="E789" s="17"/>
      <c r="F789" s="17"/>
      <c r="G789" s="17"/>
    </row>
    <row r="790">
      <c r="A790" s="340"/>
      <c r="D790" s="17"/>
      <c r="E790" s="17"/>
      <c r="F790" s="17"/>
      <c r="G790" s="17"/>
    </row>
    <row r="791">
      <c r="A791" s="340"/>
      <c r="D791" s="17"/>
      <c r="E791" s="17"/>
      <c r="F791" s="17"/>
      <c r="G791" s="17"/>
    </row>
    <row r="792">
      <c r="A792" s="340"/>
      <c r="D792" s="17"/>
      <c r="E792" s="17"/>
      <c r="F792" s="17"/>
      <c r="G792" s="17"/>
    </row>
    <row r="793">
      <c r="A793" s="340"/>
      <c r="D793" s="17"/>
      <c r="E793" s="17"/>
      <c r="F793" s="17"/>
      <c r="G793" s="17"/>
    </row>
    <row r="794">
      <c r="A794" s="340"/>
      <c r="D794" s="17"/>
      <c r="E794" s="17"/>
      <c r="F794" s="17"/>
      <c r="G794" s="17"/>
    </row>
    <row r="795">
      <c r="A795" s="340"/>
      <c r="D795" s="17"/>
      <c r="E795" s="17"/>
      <c r="F795" s="17"/>
      <c r="G795" s="17"/>
    </row>
    <row r="796">
      <c r="A796" s="340"/>
      <c r="D796" s="17"/>
      <c r="E796" s="17"/>
      <c r="F796" s="17"/>
      <c r="G796" s="17"/>
    </row>
    <row r="797">
      <c r="A797" s="340"/>
      <c r="D797" s="17"/>
      <c r="E797" s="17"/>
      <c r="F797" s="17"/>
      <c r="G797" s="17"/>
    </row>
    <row r="798">
      <c r="A798" s="340"/>
      <c r="D798" s="17"/>
      <c r="E798" s="17"/>
      <c r="F798" s="17"/>
      <c r="G798" s="17"/>
    </row>
    <row r="799">
      <c r="A799" s="340"/>
      <c r="D799" s="17"/>
      <c r="E799" s="17"/>
      <c r="F799" s="17"/>
      <c r="G799" s="17"/>
    </row>
    <row r="800">
      <c r="A800" s="340"/>
      <c r="D800" s="17"/>
      <c r="E800" s="17"/>
      <c r="F800" s="17"/>
      <c r="G800" s="17"/>
    </row>
    <row r="801">
      <c r="A801" s="340"/>
      <c r="D801" s="17"/>
      <c r="E801" s="17"/>
      <c r="F801" s="17"/>
      <c r="G801" s="17"/>
    </row>
    <row r="802">
      <c r="A802" s="340"/>
      <c r="D802" s="17"/>
      <c r="E802" s="17"/>
      <c r="F802" s="17"/>
      <c r="G802" s="17"/>
    </row>
    <row r="803">
      <c r="A803" s="340"/>
      <c r="D803" s="17"/>
      <c r="E803" s="17"/>
      <c r="F803" s="17"/>
      <c r="G803" s="17"/>
    </row>
    <row r="804">
      <c r="A804" s="340"/>
      <c r="D804" s="17"/>
      <c r="E804" s="17"/>
      <c r="F804" s="17"/>
      <c r="G804" s="17"/>
    </row>
    <row r="805">
      <c r="A805" s="340"/>
      <c r="D805" s="17"/>
      <c r="E805" s="17"/>
      <c r="F805" s="17"/>
      <c r="G805" s="17"/>
    </row>
    <row r="806">
      <c r="A806" s="340"/>
      <c r="D806" s="17"/>
      <c r="E806" s="17"/>
      <c r="F806" s="17"/>
      <c r="G806" s="17"/>
    </row>
    <row r="807">
      <c r="A807" s="340"/>
      <c r="D807" s="17"/>
      <c r="E807" s="17"/>
      <c r="F807" s="17"/>
      <c r="G807" s="17"/>
    </row>
    <row r="808">
      <c r="A808" s="340"/>
      <c r="D808" s="17"/>
      <c r="E808" s="17"/>
      <c r="F808" s="17"/>
      <c r="G808" s="17"/>
    </row>
    <row r="809">
      <c r="A809" s="340"/>
      <c r="D809" s="17"/>
      <c r="E809" s="17"/>
      <c r="F809" s="17"/>
      <c r="G809" s="17"/>
    </row>
    <row r="810">
      <c r="A810" s="340"/>
      <c r="D810" s="17"/>
      <c r="E810" s="17"/>
      <c r="F810" s="17"/>
      <c r="G810" s="17"/>
    </row>
    <row r="811">
      <c r="A811" s="340"/>
      <c r="D811" s="17"/>
      <c r="E811" s="17"/>
      <c r="F811" s="17"/>
      <c r="G811" s="17"/>
    </row>
    <row r="812">
      <c r="A812" s="340"/>
      <c r="D812" s="17"/>
      <c r="E812" s="17"/>
      <c r="F812" s="17"/>
      <c r="G812" s="17"/>
    </row>
    <row r="813">
      <c r="A813" s="340"/>
      <c r="D813" s="17"/>
      <c r="E813" s="17"/>
      <c r="F813" s="17"/>
      <c r="G813" s="17"/>
    </row>
    <row r="814">
      <c r="A814" s="340"/>
      <c r="D814" s="17"/>
      <c r="E814" s="17"/>
      <c r="F814" s="17"/>
      <c r="G814" s="17"/>
    </row>
    <row r="815">
      <c r="A815" s="340"/>
      <c r="D815" s="17"/>
      <c r="E815" s="17"/>
      <c r="F815" s="17"/>
      <c r="G815" s="17"/>
    </row>
    <row r="816">
      <c r="A816" s="340"/>
      <c r="D816" s="17"/>
      <c r="E816" s="17"/>
      <c r="F816" s="17"/>
      <c r="G816" s="17"/>
    </row>
    <row r="817">
      <c r="A817" s="340"/>
      <c r="D817" s="17"/>
      <c r="E817" s="17"/>
      <c r="F817" s="17"/>
      <c r="G817" s="17"/>
    </row>
    <row r="818">
      <c r="A818" s="340"/>
      <c r="D818" s="17"/>
      <c r="E818" s="17"/>
      <c r="F818" s="17"/>
      <c r="G818" s="17"/>
    </row>
    <row r="819">
      <c r="A819" s="340"/>
      <c r="D819" s="17"/>
      <c r="E819" s="17"/>
      <c r="F819" s="17"/>
      <c r="G819" s="17"/>
    </row>
    <row r="820">
      <c r="A820" s="340"/>
      <c r="D820" s="17"/>
      <c r="E820" s="17"/>
      <c r="F820" s="17"/>
      <c r="G820" s="17"/>
    </row>
    <row r="821">
      <c r="A821" s="340"/>
      <c r="D821" s="17"/>
      <c r="E821" s="17"/>
      <c r="F821" s="17"/>
      <c r="G821" s="17"/>
    </row>
    <row r="822">
      <c r="A822" s="340"/>
      <c r="D822" s="17"/>
      <c r="E822" s="17"/>
      <c r="F822" s="17"/>
      <c r="G822" s="17"/>
    </row>
    <row r="823">
      <c r="A823" s="340"/>
      <c r="D823" s="17"/>
      <c r="E823" s="17"/>
      <c r="F823" s="17"/>
      <c r="G823" s="17"/>
    </row>
    <row r="824">
      <c r="A824" s="340"/>
      <c r="D824" s="17"/>
      <c r="E824" s="17"/>
      <c r="F824" s="17"/>
      <c r="G824" s="17"/>
    </row>
    <row r="825">
      <c r="A825" s="340"/>
      <c r="D825" s="17"/>
      <c r="E825" s="17"/>
      <c r="F825" s="17"/>
      <c r="G825" s="17"/>
    </row>
    <row r="826">
      <c r="A826" s="340"/>
      <c r="D826" s="17"/>
      <c r="E826" s="17"/>
      <c r="F826" s="17"/>
      <c r="G826" s="17"/>
    </row>
    <row r="827">
      <c r="A827" s="340"/>
      <c r="D827" s="17"/>
      <c r="E827" s="17"/>
      <c r="F827" s="17"/>
      <c r="G827" s="17"/>
    </row>
    <row r="828">
      <c r="A828" s="340"/>
      <c r="D828" s="17"/>
      <c r="E828" s="17"/>
      <c r="F828" s="17"/>
      <c r="G828" s="17"/>
    </row>
    <row r="829">
      <c r="A829" s="340"/>
      <c r="D829" s="17"/>
      <c r="E829" s="17"/>
      <c r="F829" s="17"/>
      <c r="G829" s="17"/>
    </row>
    <row r="830">
      <c r="A830" s="340"/>
      <c r="D830" s="17"/>
      <c r="E830" s="17"/>
      <c r="F830" s="17"/>
      <c r="G830" s="17"/>
    </row>
    <row r="831">
      <c r="A831" s="340"/>
      <c r="D831" s="17"/>
      <c r="E831" s="17"/>
      <c r="F831" s="17"/>
      <c r="G831" s="17"/>
    </row>
    <row r="832">
      <c r="A832" s="340"/>
      <c r="D832" s="17"/>
      <c r="E832" s="17"/>
      <c r="F832" s="17"/>
      <c r="G832" s="17"/>
    </row>
    <row r="833">
      <c r="A833" s="340"/>
      <c r="D833" s="17"/>
      <c r="E833" s="17"/>
      <c r="F833" s="17"/>
      <c r="G833" s="17"/>
    </row>
    <row r="834">
      <c r="A834" s="340"/>
      <c r="D834" s="17"/>
      <c r="E834" s="17"/>
      <c r="F834" s="17"/>
      <c r="G834" s="17"/>
    </row>
    <row r="835">
      <c r="A835" s="340"/>
      <c r="D835" s="17"/>
      <c r="E835" s="17"/>
      <c r="F835" s="17"/>
      <c r="G835" s="17"/>
    </row>
    <row r="836">
      <c r="A836" s="340"/>
      <c r="D836" s="17"/>
      <c r="E836" s="17"/>
      <c r="F836" s="17"/>
      <c r="G836" s="17"/>
    </row>
    <row r="837">
      <c r="A837" s="340"/>
      <c r="D837" s="17"/>
      <c r="E837" s="17"/>
      <c r="F837" s="17"/>
      <c r="G837" s="17"/>
    </row>
    <row r="838">
      <c r="A838" s="340"/>
      <c r="D838" s="17"/>
      <c r="E838" s="17"/>
      <c r="F838" s="17"/>
      <c r="G838" s="17"/>
    </row>
    <row r="839">
      <c r="A839" s="340"/>
      <c r="D839" s="17"/>
      <c r="E839" s="17"/>
      <c r="F839" s="17"/>
      <c r="G839" s="17"/>
    </row>
    <row r="840">
      <c r="A840" s="340"/>
      <c r="D840" s="17"/>
      <c r="E840" s="17"/>
      <c r="F840" s="17"/>
      <c r="G840" s="17"/>
    </row>
    <row r="841">
      <c r="A841" s="340"/>
      <c r="D841" s="17"/>
      <c r="E841" s="17"/>
      <c r="F841" s="17"/>
      <c r="G841" s="17"/>
    </row>
    <row r="842">
      <c r="A842" s="340"/>
      <c r="D842" s="17"/>
      <c r="E842" s="17"/>
      <c r="F842" s="17"/>
      <c r="G842" s="17"/>
    </row>
    <row r="843">
      <c r="A843" s="340"/>
      <c r="D843" s="17"/>
      <c r="E843" s="17"/>
      <c r="F843" s="17"/>
      <c r="G843" s="17"/>
    </row>
    <row r="844">
      <c r="A844" s="340"/>
      <c r="D844" s="17"/>
      <c r="E844" s="17"/>
      <c r="F844" s="17"/>
      <c r="G844" s="17"/>
    </row>
    <row r="845">
      <c r="A845" s="340"/>
      <c r="D845" s="17"/>
      <c r="E845" s="17"/>
      <c r="F845" s="17"/>
      <c r="G845" s="17"/>
    </row>
    <row r="846">
      <c r="A846" s="340"/>
      <c r="D846" s="17"/>
      <c r="E846" s="17"/>
      <c r="F846" s="17"/>
      <c r="G846" s="17"/>
    </row>
    <row r="847">
      <c r="A847" s="340"/>
      <c r="D847" s="17"/>
      <c r="E847" s="17"/>
      <c r="F847" s="17"/>
      <c r="G847" s="17"/>
    </row>
    <row r="848">
      <c r="A848" s="340"/>
      <c r="D848" s="17"/>
      <c r="E848" s="17"/>
      <c r="F848" s="17"/>
      <c r="G848" s="17"/>
    </row>
    <row r="849">
      <c r="A849" s="340"/>
      <c r="D849" s="17"/>
      <c r="E849" s="17"/>
      <c r="F849" s="17"/>
      <c r="G849" s="17"/>
    </row>
    <row r="850">
      <c r="A850" s="340"/>
      <c r="D850" s="17"/>
      <c r="E850" s="17"/>
      <c r="F850" s="17"/>
      <c r="G850" s="17"/>
    </row>
    <row r="851">
      <c r="A851" s="340"/>
      <c r="D851" s="17"/>
      <c r="E851" s="17"/>
      <c r="F851" s="17"/>
      <c r="G851" s="17"/>
    </row>
    <row r="852">
      <c r="A852" s="340"/>
      <c r="D852" s="17"/>
      <c r="E852" s="17"/>
      <c r="F852" s="17"/>
      <c r="G852" s="17"/>
    </row>
    <row r="853">
      <c r="A853" s="340"/>
      <c r="D853" s="17"/>
      <c r="E853" s="17"/>
      <c r="F853" s="17"/>
      <c r="G853" s="17"/>
    </row>
    <row r="854">
      <c r="A854" s="340"/>
      <c r="D854" s="17"/>
      <c r="E854" s="17"/>
      <c r="F854" s="17"/>
      <c r="G854" s="17"/>
    </row>
    <row r="855">
      <c r="A855" s="340"/>
      <c r="D855" s="17"/>
      <c r="E855" s="17"/>
      <c r="F855" s="17"/>
      <c r="G855" s="17"/>
    </row>
    <row r="856">
      <c r="A856" s="340"/>
      <c r="D856" s="17"/>
      <c r="E856" s="17"/>
      <c r="F856" s="17"/>
      <c r="G856" s="17"/>
    </row>
    <row r="857">
      <c r="A857" s="340"/>
      <c r="D857" s="17"/>
      <c r="E857" s="17"/>
      <c r="F857" s="17"/>
      <c r="G857" s="17"/>
    </row>
    <row r="858">
      <c r="A858" s="340"/>
      <c r="D858" s="17"/>
      <c r="E858" s="17"/>
      <c r="F858" s="17"/>
      <c r="G858" s="17"/>
    </row>
    <row r="859">
      <c r="A859" s="340"/>
      <c r="D859" s="17"/>
      <c r="E859" s="17"/>
      <c r="F859" s="17"/>
      <c r="G859" s="17"/>
    </row>
    <row r="860">
      <c r="A860" s="340"/>
      <c r="D860" s="17"/>
      <c r="E860" s="17"/>
      <c r="F860" s="17"/>
      <c r="G860" s="17"/>
    </row>
    <row r="861">
      <c r="A861" s="340"/>
      <c r="D861" s="17"/>
      <c r="E861" s="17"/>
      <c r="F861" s="17"/>
      <c r="G861" s="17"/>
    </row>
    <row r="862">
      <c r="A862" s="340"/>
      <c r="D862" s="17"/>
      <c r="E862" s="17"/>
      <c r="F862" s="17"/>
      <c r="G862" s="17"/>
    </row>
    <row r="863">
      <c r="A863" s="340"/>
      <c r="D863" s="17"/>
      <c r="E863" s="17"/>
      <c r="F863" s="17"/>
      <c r="G863" s="17"/>
    </row>
    <row r="864">
      <c r="A864" s="340"/>
      <c r="D864" s="17"/>
      <c r="E864" s="17"/>
      <c r="F864" s="17"/>
      <c r="G864" s="17"/>
    </row>
    <row r="865">
      <c r="A865" s="340"/>
      <c r="D865" s="17"/>
      <c r="E865" s="17"/>
      <c r="F865" s="17"/>
      <c r="G865" s="17"/>
    </row>
    <row r="866">
      <c r="A866" s="340"/>
      <c r="D866" s="17"/>
      <c r="E866" s="17"/>
      <c r="F866" s="17"/>
      <c r="G866" s="17"/>
    </row>
    <row r="867">
      <c r="A867" s="340"/>
      <c r="D867" s="17"/>
      <c r="E867" s="17"/>
      <c r="F867" s="17"/>
      <c r="G867" s="17"/>
    </row>
    <row r="868">
      <c r="A868" s="340"/>
      <c r="D868" s="17"/>
      <c r="E868" s="17"/>
      <c r="F868" s="17"/>
      <c r="G868" s="17"/>
    </row>
    <row r="869">
      <c r="A869" s="340"/>
      <c r="D869" s="17"/>
      <c r="E869" s="17"/>
      <c r="F869" s="17"/>
      <c r="G869" s="17"/>
    </row>
    <row r="870">
      <c r="A870" s="340"/>
      <c r="D870" s="17"/>
      <c r="E870" s="17"/>
      <c r="F870" s="17"/>
      <c r="G870" s="17"/>
    </row>
    <row r="871">
      <c r="A871" s="340"/>
      <c r="D871" s="17"/>
      <c r="E871" s="17"/>
      <c r="F871" s="17"/>
      <c r="G871" s="17"/>
    </row>
    <row r="872">
      <c r="A872" s="340"/>
      <c r="D872" s="17"/>
      <c r="E872" s="17"/>
      <c r="F872" s="17"/>
      <c r="G872" s="17"/>
    </row>
    <row r="873">
      <c r="A873" s="340"/>
      <c r="D873" s="17"/>
      <c r="E873" s="17"/>
      <c r="F873" s="17"/>
      <c r="G873" s="17"/>
    </row>
    <row r="874">
      <c r="A874" s="340"/>
      <c r="D874" s="17"/>
      <c r="E874" s="17"/>
      <c r="F874" s="17"/>
      <c r="G874" s="17"/>
    </row>
    <row r="875">
      <c r="A875" s="340"/>
      <c r="D875" s="17"/>
      <c r="E875" s="17"/>
      <c r="F875" s="17"/>
      <c r="G875" s="17"/>
    </row>
    <row r="876">
      <c r="A876" s="340"/>
      <c r="D876" s="17"/>
      <c r="E876" s="17"/>
      <c r="F876" s="17"/>
      <c r="G876" s="17"/>
    </row>
    <row r="877">
      <c r="A877" s="340"/>
      <c r="D877" s="17"/>
      <c r="E877" s="17"/>
      <c r="F877" s="17"/>
      <c r="G877" s="17"/>
    </row>
    <row r="878">
      <c r="A878" s="340"/>
      <c r="D878" s="17"/>
      <c r="E878" s="17"/>
      <c r="F878" s="17"/>
      <c r="G878" s="17"/>
    </row>
    <row r="879">
      <c r="A879" s="340"/>
      <c r="D879" s="17"/>
      <c r="E879" s="17"/>
      <c r="F879" s="17"/>
      <c r="G879" s="17"/>
    </row>
    <row r="880">
      <c r="A880" s="340"/>
      <c r="D880" s="17"/>
      <c r="E880" s="17"/>
      <c r="F880" s="17"/>
      <c r="G880" s="17"/>
    </row>
    <row r="881">
      <c r="A881" s="340"/>
      <c r="D881" s="17"/>
      <c r="E881" s="17"/>
      <c r="F881" s="17"/>
      <c r="G881" s="17"/>
    </row>
    <row r="882">
      <c r="A882" s="340"/>
      <c r="D882" s="17"/>
      <c r="E882" s="17"/>
      <c r="F882" s="17"/>
      <c r="G882" s="17"/>
    </row>
    <row r="883">
      <c r="A883" s="340"/>
      <c r="D883" s="17"/>
      <c r="E883" s="17"/>
      <c r="F883" s="17"/>
      <c r="G883" s="17"/>
    </row>
    <row r="884">
      <c r="A884" s="340"/>
      <c r="D884" s="17"/>
      <c r="E884" s="17"/>
      <c r="F884" s="17"/>
      <c r="G884" s="17"/>
    </row>
    <row r="885">
      <c r="A885" s="340"/>
      <c r="D885" s="17"/>
      <c r="E885" s="17"/>
      <c r="F885" s="17"/>
      <c r="G885" s="17"/>
    </row>
    <row r="886">
      <c r="A886" s="340"/>
      <c r="D886" s="17"/>
      <c r="E886" s="17"/>
      <c r="F886" s="17"/>
      <c r="G886" s="17"/>
    </row>
    <row r="887">
      <c r="A887" s="340"/>
      <c r="D887" s="17"/>
      <c r="E887" s="17"/>
      <c r="F887" s="17"/>
      <c r="G887" s="17"/>
    </row>
    <row r="888">
      <c r="A888" s="340"/>
      <c r="D888" s="17"/>
      <c r="E888" s="17"/>
      <c r="F888" s="17"/>
      <c r="G888" s="17"/>
    </row>
    <row r="889">
      <c r="A889" s="340"/>
      <c r="D889" s="17"/>
      <c r="E889" s="17"/>
      <c r="F889" s="17"/>
      <c r="G889" s="17"/>
    </row>
    <row r="890">
      <c r="A890" s="340"/>
      <c r="D890" s="17"/>
      <c r="E890" s="17"/>
      <c r="F890" s="17"/>
      <c r="G890" s="17"/>
    </row>
    <row r="891">
      <c r="A891" s="340"/>
      <c r="D891" s="17"/>
      <c r="E891" s="17"/>
      <c r="F891" s="17"/>
      <c r="G891" s="17"/>
    </row>
    <row r="892">
      <c r="A892" s="340"/>
      <c r="D892" s="17"/>
      <c r="E892" s="17"/>
      <c r="F892" s="17"/>
      <c r="G892" s="17"/>
    </row>
    <row r="893">
      <c r="A893" s="340"/>
      <c r="D893" s="17"/>
      <c r="E893" s="17"/>
      <c r="F893" s="17"/>
      <c r="G893" s="17"/>
    </row>
    <row r="894">
      <c r="A894" s="340"/>
      <c r="D894" s="17"/>
      <c r="E894" s="17"/>
      <c r="F894" s="17"/>
      <c r="G894" s="17"/>
    </row>
    <row r="895">
      <c r="A895" s="340"/>
      <c r="D895" s="17"/>
      <c r="E895" s="17"/>
      <c r="F895" s="17"/>
      <c r="G895" s="17"/>
    </row>
    <row r="896">
      <c r="A896" s="340"/>
      <c r="D896" s="17"/>
      <c r="E896" s="17"/>
      <c r="F896" s="17"/>
      <c r="G896" s="17"/>
    </row>
    <row r="897">
      <c r="A897" s="340"/>
      <c r="D897" s="17"/>
      <c r="E897" s="17"/>
      <c r="F897" s="17"/>
      <c r="G897" s="17"/>
    </row>
    <row r="898">
      <c r="A898" s="340"/>
      <c r="D898" s="17"/>
      <c r="E898" s="17"/>
      <c r="F898" s="17"/>
      <c r="G898" s="17"/>
    </row>
    <row r="899">
      <c r="A899" s="340"/>
      <c r="D899" s="17"/>
      <c r="E899" s="17"/>
      <c r="F899" s="17"/>
      <c r="G899" s="17"/>
    </row>
    <row r="900">
      <c r="A900" s="340"/>
      <c r="D900" s="17"/>
      <c r="E900" s="17"/>
      <c r="F900" s="17"/>
      <c r="G900" s="17"/>
    </row>
    <row r="901">
      <c r="A901" s="340"/>
      <c r="D901" s="17"/>
      <c r="E901" s="17"/>
      <c r="F901" s="17"/>
      <c r="G901" s="17"/>
    </row>
    <row r="902">
      <c r="A902" s="340"/>
      <c r="D902" s="17"/>
      <c r="E902" s="17"/>
      <c r="F902" s="17"/>
      <c r="G902" s="17"/>
    </row>
    <row r="903">
      <c r="A903" s="340"/>
      <c r="D903" s="17"/>
      <c r="E903" s="17"/>
      <c r="F903" s="17"/>
      <c r="G903" s="17"/>
    </row>
    <row r="904">
      <c r="A904" s="340"/>
      <c r="D904" s="17"/>
      <c r="E904" s="17"/>
      <c r="F904" s="17"/>
      <c r="G904" s="17"/>
    </row>
    <row r="905">
      <c r="A905" s="340"/>
      <c r="D905" s="17"/>
      <c r="E905" s="17"/>
      <c r="F905" s="17"/>
      <c r="G905" s="17"/>
    </row>
    <row r="906">
      <c r="A906" s="340"/>
      <c r="D906" s="17"/>
      <c r="E906" s="17"/>
      <c r="F906" s="17"/>
      <c r="G906" s="17"/>
    </row>
    <row r="907">
      <c r="A907" s="340"/>
      <c r="D907" s="17"/>
      <c r="E907" s="17"/>
      <c r="F907" s="17"/>
      <c r="G907" s="17"/>
    </row>
    <row r="908">
      <c r="A908" s="340"/>
      <c r="D908" s="17"/>
      <c r="E908" s="17"/>
      <c r="F908" s="17"/>
      <c r="G908" s="17"/>
    </row>
    <row r="909">
      <c r="A909" s="340"/>
      <c r="D909" s="17"/>
      <c r="E909" s="17"/>
      <c r="F909" s="17"/>
      <c r="G909" s="17"/>
    </row>
    <row r="910">
      <c r="A910" s="340"/>
      <c r="D910" s="17"/>
      <c r="E910" s="17"/>
      <c r="F910" s="17"/>
      <c r="G910" s="17"/>
    </row>
    <row r="911">
      <c r="A911" s="340"/>
      <c r="D911" s="17"/>
      <c r="E911" s="17"/>
      <c r="F911" s="17"/>
      <c r="G911" s="17"/>
    </row>
    <row r="912">
      <c r="A912" s="340"/>
      <c r="D912" s="17"/>
      <c r="E912" s="17"/>
      <c r="F912" s="17"/>
      <c r="G912" s="17"/>
    </row>
    <row r="913">
      <c r="A913" s="340"/>
      <c r="D913" s="17"/>
      <c r="E913" s="17"/>
      <c r="F913" s="17"/>
      <c r="G913" s="17"/>
    </row>
    <row r="914">
      <c r="A914" s="340"/>
      <c r="D914" s="17"/>
      <c r="E914" s="17"/>
      <c r="F914" s="17"/>
      <c r="G914" s="17"/>
    </row>
    <row r="915">
      <c r="A915" s="340"/>
      <c r="D915" s="17"/>
      <c r="E915" s="17"/>
      <c r="F915" s="17"/>
      <c r="G915" s="17"/>
    </row>
    <row r="916">
      <c r="A916" s="340"/>
      <c r="D916" s="17"/>
      <c r="E916" s="17"/>
      <c r="F916" s="17"/>
      <c r="G916" s="17"/>
    </row>
    <row r="917">
      <c r="A917" s="340"/>
      <c r="D917" s="17"/>
      <c r="E917" s="17"/>
      <c r="F917" s="17"/>
      <c r="G917" s="17"/>
    </row>
    <row r="918">
      <c r="A918" s="340"/>
      <c r="D918" s="17"/>
      <c r="E918" s="17"/>
      <c r="F918" s="17"/>
      <c r="G918" s="17"/>
    </row>
    <row r="919">
      <c r="A919" s="340"/>
      <c r="D919" s="17"/>
      <c r="E919" s="17"/>
      <c r="F919" s="17"/>
      <c r="G919" s="17"/>
    </row>
    <row r="920">
      <c r="A920" s="340"/>
      <c r="D920" s="17"/>
      <c r="E920" s="17"/>
      <c r="F920" s="17"/>
      <c r="G920" s="17"/>
    </row>
    <row r="921">
      <c r="A921" s="340"/>
      <c r="D921" s="17"/>
      <c r="E921" s="17"/>
      <c r="F921" s="17"/>
      <c r="G921" s="17"/>
    </row>
    <row r="922">
      <c r="A922" s="340"/>
      <c r="D922" s="17"/>
      <c r="E922" s="17"/>
      <c r="F922" s="17"/>
      <c r="G922" s="17"/>
    </row>
    <row r="923">
      <c r="A923" s="340"/>
      <c r="D923" s="17"/>
      <c r="E923" s="17"/>
      <c r="F923" s="17"/>
      <c r="G923" s="17"/>
    </row>
    <row r="924">
      <c r="A924" s="340"/>
      <c r="D924" s="17"/>
      <c r="E924" s="17"/>
      <c r="F924" s="17"/>
      <c r="G924" s="17"/>
    </row>
    <row r="925">
      <c r="A925" s="340"/>
      <c r="D925" s="17"/>
      <c r="E925" s="17"/>
      <c r="F925" s="17"/>
      <c r="G925" s="17"/>
    </row>
    <row r="926">
      <c r="A926" s="340"/>
      <c r="D926" s="17"/>
      <c r="E926" s="17"/>
      <c r="F926" s="17"/>
      <c r="G926" s="17"/>
    </row>
    <row r="927">
      <c r="A927" s="340"/>
      <c r="D927" s="17"/>
      <c r="E927" s="17"/>
      <c r="F927" s="17"/>
      <c r="G927" s="17"/>
    </row>
    <row r="928">
      <c r="A928" s="340"/>
      <c r="D928" s="17"/>
      <c r="E928" s="17"/>
      <c r="F928" s="17"/>
      <c r="G928" s="17"/>
    </row>
    <row r="929">
      <c r="A929" s="340"/>
      <c r="D929" s="17"/>
      <c r="E929" s="17"/>
      <c r="F929" s="17"/>
      <c r="G929" s="17"/>
    </row>
    <row r="930">
      <c r="A930" s="340"/>
      <c r="D930" s="17"/>
      <c r="E930" s="17"/>
      <c r="F930" s="17"/>
      <c r="G930" s="17"/>
    </row>
    <row r="931">
      <c r="A931" s="340"/>
      <c r="D931" s="17"/>
      <c r="E931" s="17"/>
      <c r="F931" s="17"/>
      <c r="G931" s="17"/>
    </row>
    <row r="932">
      <c r="A932" s="340"/>
      <c r="D932" s="17"/>
      <c r="E932" s="17"/>
      <c r="F932" s="17"/>
      <c r="G932" s="17"/>
    </row>
    <row r="933">
      <c r="A933" s="340"/>
      <c r="D933" s="17"/>
      <c r="E933" s="17"/>
      <c r="F933" s="17"/>
      <c r="G933" s="17"/>
    </row>
    <row r="934">
      <c r="A934" s="340"/>
      <c r="D934" s="17"/>
      <c r="E934" s="17"/>
      <c r="F934" s="17"/>
      <c r="G934" s="17"/>
    </row>
    <row r="935">
      <c r="A935" s="340"/>
      <c r="D935" s="17"/>
      <c r="E935" s="17"/>
      <c r="F935" s="17"/>
      <c r="G935" s="17"/>
    </row>
    <row r="936">
      <c r="A936" s="340"/>
      <c r="D936" s="17"/>
      <c r="E936" s="17"/>
      <c r="F936" s="17"/>
      <c r="G936" s="17"/>
    </row>
    <row r="937">
      <c r="A937" s="340"/>
      <c r="D937" s="17"/>
      <c r="E937" s="17"/>
      <c r="F937" s="17"/>
      <c r="G937" s="17"/>
    </row>
    <row r="938">
      <c r="A938" s="340"/>
      <c r="D938" s="17"/>
      <c r="E938" s="17"/>
      <c r="F938" s="17"/>
      <c r="G938" s="17"/>
    </row>
    <row r="939">
      <c r="A939" s="340"/>
      <c r="D939" s="17"/>
      <c r="E939" s="17"/>
      <c r="F939" s="17"/>
      <c r="G939" s="17"/>
    </row>
    <row r="940">
      <c r="A940" s="340"/>
      <c r="D940" s="17"/>
      <c r="E940" s="17"/>
      <c r="F940" s="17"/>
      <c r="G940" s="17"/>
    </row>
    <row r="941">
      <c r="A941" s="340"/>
      <c r="D941" s="17"/>
      <c r="E941" s="17"/>
      <c r="F941" s="17"/>
      <c r="G941" s="17"/>
    </row>
    <row r="942">
      <c r="A942" s="340"/>
      <c r="D942" s="17"/>
      <c r="E942" s="17"/>
      <c r="F942" s="17"/>
      <c r="G942" s="17"/>
    </row>
    <row r="943">
      <c r="A943" s="340"/>
      <c r="D943" s="17"/>
      <c r="E943" s="17"/>
      <c r="F943" s="17"/>
      <c r="G943" s="17"/>
    </row>
    <row r="944">
      <c r="A944" s="340"/>
      <c r="D944" s="17"/>
      <c r="E944" s="17"/>
      <c r="F944" s="17"/>
      <c r="G944" s="17"/>
    </row>
    <row r="945">
      <c r="A945" s="340"/>
      <c r="D945" s="17"/>
      <c r="E945" s="17"/>
      <c r="F945" s="17"/>
      <c r="G945" s="17"/>
    </row>
    <row r="946">
      <c r="A946" s="340"/>
      <c r="D946" s="17"/>
      <c r="E946" s="17"/>
      <c r="F946" s="17"/>
      <c r="G946" s="17"/>
    </row>
    <row r="947">
      <c r="A947" s="340"/>
      <c r="D947" s="17"/>
      <c r="E947" s="17"/>
      <c r="F947" s="17"/>
      <c r="G947" s="17"/>
    </row>
    <row r="948">
      <c r="A948" s="340"/>
      <c r="D948" s="17"/>
      <c r="E948" s="17"/>
      <c r="F948" s="17"/>
      <c r="G948" s="17"/>
    </row>
    <row r="949">
      <c r="A949" s="340"/>
      <c r="D949" s="17"/>
      <c r="E949" s="17"/>
      <c r="F949" s="17"/>
      <c r="G949" s="17"/>
    </row>
    <row r="950">
      <c r="A950" s="340"/>
      <c r="D950" s="17"/>
      <c r="E950" s="17"/>
      <c r="F950" s="17"/>
      <c r="G950" s="17"/>
    </row>
    <row r="951">
      <c r="A951" s="340"/>
      <c r="D951" s="17"/>
      <c r="E951" s="17"/>
      <c r="F951" s="17"/>
      <c r="G951" s="17"/>
    </row>
    <row r="952">
      <c r="A952" s="340"/>
      <c r="D952" s="17"/>
      <c r="E952" s="17"/>
      <c r="F952" s="17"/>
      <c r="G952" s="17"/>
    </row>
    <row r="953">
      <c r="A953" s="340"/>
      <c r="D953" s="17"/>
      <c r="E953" s="17"/>
      <c r="F953" s="17"/>
      <c r="G953" s="17"/>
    </row>
    <row r="954">
      <c r="A954" s="340"/>
      <c r="D954" s="17"/>
      <c r="E954" s="17"/>
      <c r="F954" s="17"/>
      <c r="G954" s="17"/>
    </row>
    <row r="955">
      <c r="A955" s="340"/>
      <c r="D955" s="17"/>
      <c r="E955" s="17"/>
      <c r="F955" s="17"/>
      <c r="G955" s="17"/>
    </row>
    <row r="956">
      <c r="A956" s="340"/>
      <c r="D956" s="17"/>
      <c r="E956" s="17"/>
      <c r="F956" s="17"/>
      <c r="G956" s="17"/>
    </row>
    <row r="957">
      <c r="A957" s="340"/>
      <c r="D957" s="17"/>
      <c r="E957" s="17"/>
      <c r="F957" s="17"/>
      <c r="G957" s="17"/>
    </row>
    <row r="958">
      <c r="A958" s="340"/>
      <c r="D958" s="17"/>
      <c r="E958" s="17"/>
      <c r="F958" s="17"/>
      <c r="G958" s="17"/>
    </row>
    <row r="959">
      <c r="A959" s="340"/>
      <c r="D959" s="17"/>
      <c r="E959" s="17"/>
      <c r="F959" s="17"/>
      <c r="G959" s="17"/>
    </row>
    <row r="960">
      <c r="A960" s="340"/>
      <c r="D960" s="17"/>
      <c r="E960" s="17"/>
      <c r="F960" s="17"/>
      <c r="G960" s="17"/>
    </row>
    <row r="961">
      <c r="A961" s="340"/>
      <c r="D961" s="17"/>
      <c r="E961" s="17"/>
      <c r="F961" s="17"/>
      <c r="G961" s="17"/>
    </row>
    <row r="962">
      <c r="A962" s="340"/>
      <c r="D962" s="17"/>
      <c r="E962" s="17"/>
      <c r="F962" s="17"/>
      <c r="G962" s="17"/>
    </row>
    <row r="963">
      <c r="A963" s="340"/>
      <c r="D963" s="17"/>
      <c r="E963" s="17"/>
      <c r="F963" s="17"/>
      <c r="G963" s="17"/>
    </row>
    <row r="964">
      <c r="A964" s="340"/>
      <c r="D964" s="17"/>
      <c r="E964" s="17"/>
      <c r="F964" s="17"/>
      <c r="G964" s="17"/>
    </row>
    <row r="965">
      <c r="A965" s="340"/>
      <c r="D965" s="17"/>
      <c r="E965" s="17"/>
      <c r="F965" s="17"/>
      <c r="G965" s="17"/>
    </row>
    <row r="966">
      <c r="A966" s="340"/>
      <c r="D966" s="17"/>
      <c r="E966" s="17"/>
      <c r="F966" s="17"/>
      <c r="G966" s="17"/>
    </row>
    <row r="967">
      <c r="A967" s="340"/>
      <c r="D967" s="17"/>
      <c r="E967" s="17"/>
      <c r="F967" s="17"/>
      <c r="G967" s="17"/>
    </row>
    <row r="968">
      <c r="A968" s="340"/>
      <c r="D968" s="17"/>
      <c r="E968" s="17"/>
      <c r="F968" s="17"/>
      <c r="G968" s="17"/>
    </row>
    <row r="969">
      <c r="A969" s="340"/>
      <c r="D969" s="17"/>
      <c r="E969" s="17"/>
      <c r="F969" s="17"/>
      <c r="G969" s="17"/>
    </row>
    <row r="970">
      <c r="A970" s="340"/>
      <c r="D970" s="17"/>
      <c r="E970" s="17"/>
      <c r="F970" s="17"/>
      <c r="G970" s="17"/>
    </row>
    <row r="971">
      <c r="A971" s="340"/>
      <c r="D971" s="17"/>
      <c r="E971" s="17"/>
      <c r="F971" s="17"/>
      <c r="G971" s="17"/>
    </row>
    <row r="972">
      <c r="A972" s="340"/>
      <c r="D972" s="17"/>
      <c r="E972" s="17"/>
      <c r="F972" s="17"/>
      <c r="G972" s="17"/>
    </row>
    <row r="973">
      <c r="A973" s="340"/>
      <c r="D973" s="17"/>
      <c r="E973" s="17"/>
      <c r="F973" s="17"/>
      <c r="G973" s="17"/>
    </row>
    <row r="974">
      <c r="A974" s="340"/>
      <c r="D974" s="17"/>
      <c r="E974" s="17"/>
      <c r="F974" s="17"/>
      <c r="G974" s="17"/>
    </row>
    <row r="975">
      <c r="A975" s="340"/>
      <c r="D975" s="17"/>
      <c r="E975" s="17"/>
      <c r="F975" s="17"/>
      <c r="G975" s="17"/>
    </row>
    <row r="976">
      <c r="A976" s="340"/>
      <c r="D976" s="17"/>
      <c r="E976" s="17"/>
      <c r="F976" s="17"/>
      <c r="G976" s="17"/>
    </row>
    <row r="977">
      <c r="A977" s="340"/>
      <c r="D977" s="17"/>
      <c r="E977" s="17"/>
      <c r="F977" s="17"/>
      <c r="G977" s="17"/>
    </row>
    <row r="978">
      <c r="A978" s="340"/>
      <c r="D978" s="17"/>
      <c r="E978" s="17"/>
      <c r="F978" s="17"/>
      <c r="G978" s="17"/>
    </row>
    <row r="979">
      <c r="A979" s="340"/>
      <c r="D979" s="17"/>
      <c r="E979" s="17"/>
      <c r="F979" s="17"/>
      <c r="G979" s="17"/>
    </row>
    <row r="980">
      <c r="A980" s="340"/>
      <c r="D980" s="17"/>
      <c r="E980" s="17"/>
      <c r="F980" s="17"/>
      <c r="G980" s="17"/>
    </row>
    <row r="981">
      <c r="A981" s="340"/>
      <c r="D981" s="17"/>
      <c r="E981" s="17"/>
      <c r="F981" s="17"/>
      <c r="G981" s="17"/>
    </row>
    <row r="982">
      <c r="A982" s="340"/>
      <c r="D982" s="17"/>
      <c r="E982" s="17"/>
      <c r="F982" s="17"/>
      <c r="G982" s="17"/>
    </row>
    <row r="983">
      <c r="A983" s="340"/>
      <c r="D983" s="17"/>
      <c r="E983" s="17"/>
      <c r="F983" s="17"/>
      <c r="G983" s="17"/>
    </row>
    <row r="984">
      <c r="A984" s="340"/>
      <c r="D984" s="17"/>
      <c r="E984" s="17"/>
      <c r="F984" s="17"/>
      <c r="G984" s="17"/>
    </row>
    <row r="985">
      <c r="A985" s="340"/>
      <c r="D985" s="17"/>
      <c r="E985" s="17"/>
      <c r="F985" s="17"/>
      <c r="G985" s="17"/>
    </row>
    <row r="986">
      <c r="A986" s="340"/>
      <c r="D986" s="17"/>
      <c r="E986" s="17"/>
      <c r="F986" s="17"/>
      <c r="G986" s="17"/>
    </row>
    <row r="987">
      <c r="A987" s="340"/>
      <c r="D987" s="17"/>
      <c r="E987" s="17"/>
      <c r="F987" s="17"/>
      <c r="G987" s="17"/>
    </row>
    <row r="988">
      <c r="A988" s="340"/>
      <c r="D988" s="17"/>
      <c r="E988" s="17"/>
      <c r="F988" s="17"/>
      <c r="G988" s="17"/>
    </row>
    <row r="989">
      <c r="A989" s="340"/>
      <c r="D989" s="17"/>
      <c r="E989" s="17"/>
      <c r="F989" s="17"/>
      <c r="G989" s="17"/>
    </row>
    <row r="990">
      <c r="A990" s="340"/>
      <c r="D990" s="17"/>
      <c r="E990" s="17"/>
      <c r="F990" s="17"/>
      <c r="G990" s="17"/>
    </row>
    <row r="991">
      <c r="A991" s="340"/>
      <c r="D991" s="17"/>
      <c r="E991" s="17"/>
      <c r="F991" s="17"/>
      <c r="G991" s="17"/>
    </row>
    <row r="992">
      <c r="A992" s="340"/>
      <c r="D992" s="17"/>
      <c r="E992" s="17"/>
      <c r="F992" s="17"/>
      <c r="G992" s="17"/>
    </row>
    <row r="993">
      <c r="A993" s="340"/>
      <c r="D993" s="17"/>
      <c r="E993" s="17"/>
      <c r="F993" s="17"/>
      <c r="G993" s="17"/>
    </row>
    <row r="994">
      <c r="A994" s="340"/>
      <c r="D994" s="17"/>
      <c r="E994" s="17"/>
      <c r="F994" s="17"/>
      <c r="G994" s="17"/>
    </row>
    <row r="995">
      <c r="A995" s="340"/>
      <c r="D995" s="17"/>
      <c r="E995" s="17"/>
      <c r="F995" s="17"/>
      <c r="G995" s="17"/>
    </row>
    <row r="996">
      <c r="A996" s="340"/>
      <c r="D996" s="17"/>
      <c r="E996" s="17"/>
      <c r="F996" s="17"/>
      <c r="G996" s="17"/>
    </row>
    <row r="997">
      <c r="A997" s="340"/>
      <c r="D997" s="17"/>
      <c r="E997" s="17"/>
      <c r="F997" s="17"/>
      <c r="G997" s="17"/>
    </row>
    <row r="998">
      <c r="A998" s="340"/>
      <c r="D998" s="17"/>
      <c r="E998" s="17"/>
      <c r="F998" s="17"/>
      <c r="G998" s="17"/>
    </row>
    <row r="999">
      <c r="A999" s="340"/>
      <c r="D999" s="17"/>
      <c r="E999" s="17"/>
      <c r="F999" s="17"/>
      <c r="G999" s="17"/>
    </row>
    <row r="1000">
      <c r="A1000" s="340"/>
      <c r="D1000" s="17"/>
      <c r="E1000" s="17"/>
      <c r="F1000" s="17"/>
      <c r="G1000" s="17"/>
    </row>
    <row r="1001">
      <c r="A1001" s="340"/>
      <c r="D1001" s="17"/>
      <c r="E1001" s="17"/>
      <c r="F1001" s="17"/>
      <c r="G1001" s="17"/>
    </row>
    <row r="1002">
      <c r="A1002" s="340"/>
      <c r="D1002" s="17"/>
      <c r="E1002" s="17"/>
      <c r="F1002" s="17"/>
      <c r="G1002" s="17"/>
    </row>
    <row r="1003">
      <c r="A1003" s="340"/>
      <c r="D1003" s="17"/>
      <c r="E1003" s="17"/>
      <c r="F1003" s="17"/>
      <c r="G1003" s="17"/>
    </row>
    <row r="1004">
      <c r="A1004" s="340"/>
      <c r="D1004" s="17"/>
      <c r="E1004" s="17"/>
      <c r="F1004" s="17"/>
      <c r="G1004" s="17"/>
    </row>
    <row r="1005">
      <c r="A1005" s="340"/>
      <c r="D1005" s="17"/>
      <c r="E1005" s="17"/>
      <c r="F1005" s="17"/>
      <c r="G1005" s="17"/>
    </row>
    <row r="1006">
      <c r="A1006" s="340"/>
      <c r="D1006" s="17"/>
      <c r="E1006" s="17"/>
      <c r="F1006" s="17"/>
      <c r="G1006" s="17"/>
    </row>
    <row r="1007">
      <c r="A1007" s="340"/>
      <c r="D1007" s="17"/>
      <c r="E1007" s="17"/>
      <c r="F1007" s="17"/>
      <c r="G1007" s="17"/>
    </row>
    <row r="1008">
      <c r="A1008" s="340"/>
      <c r="D1008" s="17"/>
      <c r="E1008" s="17"/>
      <c r="F1008" s="17"/>
      <c r="G1008" s="17"/>
    </row>
    <row r="1009">
      <c r="A1009" s="340"/>
      <c r="D1009" s="17"/>
      <c r="E1009" s="17"/>
      <c r="F1009" s="17"/>
      <c r="G1009" s="17"/>
    </row>
    <row r="1010">
      <c r="A1010" s="340"/>
      <c r="D1010" s="17"/>
      <c r="E1010" s="17"/>
      <c r="F1010" s="17"/>
      <c r="G1010" s="17"/>
    </row>
    <row r="1011">
      <c r="A1011" s="340"/>
      <c r="D1011" s="17"/>
      <c r="E1011" s="17"/>
      <c r="F1011" s="17"/>
      <c r="G1011" s="17"/>
    </row>
    <row r="1012">
      <c r="A1012" s="340"/>
      <c r="D1012" s="17"/>
      <c r="E1012" s="17"/>
      <c r="F1012" s="17"/>
      <c r="G1012" s="17"/>
    </row>
    <row r="1013">
      <c r="A1013" s="340"/>
      <c r="D1013" s="17"/>
      <c r="E1013" s="17"/>
      <c r="F1013" s="17"/>
      <c r="G1013" s="17"/>
    </row>
    <row r="1014">
      <c r="A1014" s="340"/>
      <c r="D1014" s="17"/>
      <c r="E1014" s="17"/>
      <c r="F1014" s="17"/>
      <c r="G1014" s="17"/>
    </row>
    <row r="1015">
      <c r="A1015" s="340"/>
      <c r="D1015" s="17"/>
      <c r="E1015" s="17"/>
      <c r="F1015" s="17"/>
      <c r="G1015" s="17"/>
    </row>
    <row r="1016">
      <c r="A1016" s="340"/>
      <c r="D1016" s="17"/>
      <c r="E1016" s="17"/>
      <c r="F1016" s="17"/>
      <c r="G1016" s="17"/>
    </row>
    <row r="1017">
      <c r="A1017" s="340"/>
      <c r="D1017" s="17"/>
      <c r="E1017" s="17"/>
      <c r="F1017" s="17"/>
      <c r="G1017" s="17"/>
    </row>
    <row r="1018">
      <c r="A1018" s="340"/>
      <c r="D1018" s="17"/>
      <c r="E1018" s="17"/>
      <c r="F1018" s="17"/>
      <c r="G1018" s="17"/>
    </row>
    <row r="1019">
      <c r="A1019" s="340"/>
      <c r="D1019" s="17"/>
      <c r="E1019" s="17"/>
      <c r="F1019" s="17"/>
      <c r="G1019" s="17"/>
    </row>
    <row r="1020">
      <c r="A1020" s="340"/>
      <c r="D1020" s="17"/>
      <c r="E1020" s="17"/>
      <c r="F1020" s="17"/>
      <c r="G1020" s="17"/>
    </row>
    <row r="1021">
      <c r="A1021" s="340"/>
      <c r="D1021" s="17"/>
      <c r="E1021" s="17"/>
      <c r="F1021" s="17"/>
      <c r="G1021" s="17"/>
    </row>
    <row r="1022">
      <c r="A1022" s="340"/>
      <c r="D1022" s="17"/>
      <c r="E1022" s="17"/>
      <c r="F1022" s="17"/>
      <c r="G1022" s="17"/>
    </row>
    <row r="1023">
      <c r="A1023" s="340"/>
      <c r="D1023" s="17"/>
      <c r="E1023" s="17"/>
      <c r="F1023" s="17"/>
      <c r="G1023" s="17"/>
    </row>
    <row r="1024">
      <c r="A1024" s="340"/>
      <c r="D1024" s="17"/>
      <c r="E1024" s="17"/>
      <c r="F1024" s="17"/>
      <c r="G1024" s="17"/>
    </row>
    <row r="1025">
      <c r="A1025" s="340"/>
      <c r="D1025" s="17"/>
      <c r="E1025" s="17"/>
      <c r="F1025" s="17"/>
      <c r="G1025" s="17"/>
    </row>
    <row r="1026">
      <c r="A1026" s="340"/>
      <c r="D1026" s="17"/>
      <c r="E1026" s="17"/>
      <c r="F1026" s="17"/>
      <c r="G1026" s="17"/>
    </row>
    <row r="1027">
      <c r="A1027" s="340"/>
      <c r="D1027" s="17"/>
      <c r="E1027" s="17"/>
      <c r="F1027" s="17"/>
      <c r="G1027" s="17"/>
    </row>
    <row r="1028">
      <c r="A1028" s="340"/>
      <c r="D1028" s="17"/>
      <c r="E1028" s="17"/>
      <c r="F1028" s="17"/>
      <c r="G1028" s="17"/>
    </row>
    <row r="1029">
      <c r="A1029" s="340"/>
      <c r="D1029" s="17"/>
      <c r="E1029" s="17"/>
      <c r="F1029" s="17"/>
      <c r="G1029" s="17"/>
    </row>
    <row r="1030">
      <c r="A1030" s="340"/>
      <c r="D1030" s="17"/>
      <c r="E1030" s="17"/>
      <c r="F1030" s="17"/>
      <c r="G1030" s="17"/>
    </row>
    <row r="1031">
      <c r="A1031" s="340"/>
      <c r="D1031" s="17"/>
      <c r="E1031" s="17"/>
      <c r="F1031" s="17"/>
      <c r="G1031" s="17"/>
    </row>
    <row r="1032">
      <c r="A1032" s="340"/>
      <c r="D1032" s="17"/>
      <c r="E1032" s="17"/>
      <c r="F1032" s="17"/>
      <c r="G1032" s="17"/>
    </row>
    <row r="1033">
      <c r="A1033" s="340"/>
      <c r="D1033" s="17"/>
      <c r="E1033" s="17"/>
      <c r="F1033" s="17"/>
      <c r="G1033" s="17"/>
    </row>
    <row r="1034">
      <c r="A1034" s="340"/>
      <c r="D1034" s="17"/>
      <c r="E1034" s="17"/>
      <c r="F1034" s="17"/>
      <c r="G1034" s="17"/>
    </row>
    <row r="1035">
      <c r="A1035" s="340"/>
      <c r="D1035" s="17"/>
      <c r="E1035" s="17"/>
      <c r="F1035" s="17"/>
      <c r="G1035" s="17"/>
    </row>
    <row r="1036">
      <c r="A1036" s="340"/>
      <c r="D1036" s="17"/>
      <c r="E1036" s="17"/>
      <c r="F1036" s="17"/>
      <c r="G1036" s="17"/>
    </row>
    <row r="1037">
      <c r="A1037" s="340"/>
      <c r="D1037" s="17"/>
      <c r="E1037" s="17"/>
      <c r="F1037" s="17"/>
      <c r="G1037" s="17"/>
    </row>
    <row r="1038">
      <c r="A1038" s="340"/>
      <c r="D1038" s="17"/>
      <c r="E1038" s="17"/>
      <c r="F1038" s="17"/>
      <c r="G1038" s="17"/>
    </row>
    <row r="1039">
      <c r="A1039" s="340"/>
      <c r="D1039" s="17"/>
      <c r="E1039" s="17"/>
      <c r="F1039" s="17"/>
      <c r="G1039" s="17"/>
    </row>
    <row r="1040">
      <c r="A1040" s="340"/>
      <c r="D1040" s="17"/>
      <c r="E1040" s="17"/>
      <c r="F1040" s="17"/>
      <c r="G1040" s="17"/>
    </row>
    <row r="1041">
      <c r="A1041" s="340"/>
      <c r="D1041" s="17"/>
      <c r="E1041" s="17"/>
      <c r="F1041" s="17"/>
      <c r="G1041" s="17"/>
    </row>
    <row r="1042">
      <c r="A1042" s="340"/>
      <c r="D1042" s="17"/>
      <c r="E1042" s="17"/>
      <c r="F1042" s="17"/>
      <c r="G1042" s="17"/>
    </row>
    <row r="1043">
      <c r="A1043" s="340"/>
      <c r="D1043" s="17"/>
      <c r="E1043" s="17"/>
      <c r="F1043" s="17"/>
      <c r="G1043" s="17"/>
    </row>
    <row r="1044">
      <c r="A1044" s="340"/>
      <c r="D1044" s="17"/>
      <c r="E1044" s="17"/>
      <c r="F1044" s="17"/>
      <c r="G1044" s="17"/>
    </row>
    <row r="1045">
      <c r="A1045" s="340"/>
      <c r="D1045" s="17"/>
      <c r="E1045" s="17"/>
      <c r="F1045" s="17"/>
      <c r="G1045" s="17"/>
    </row>
    <row r="1046">
      <c r="A1046" s="340"/>
      <c r="D1046" s="17"/>
      <c r="E1046" s="17"/>
      <c r="F1046" s="17"/>
      <c r="G1046" s="17"/>
    </row>
    <row r="1047">
      <c r="A1047" s="340"/>
      <c r="D1047" s="17"/>
      <c r="E1047" s="17"/>
      <c r="F1047" s="17"/>
      <c r="G1047" s="17"/>
    </row>
    <row r="1048">
      <c r="A1048" s="340"/>
      <c r="D1048" s="17"/>
      <c r="E1048" s="17"/>
      <c r="F1048" s="17"/>
      <c r="G1048" s="17"/>
    </row>
    <row r="1049">
      <c r="A1049" s="340"/>
      <c r="D1049" s="17"/>
      <c r="E1049" s="17"/>
      <c r="F1049" s="17"/>
      <c r="G1049" s="17"/>
    </row>
    <row r="1050">
      <c r="A1050" s="340"/>
      <c r="D1050" s="17"/>
      <c r="E1050" s="17"/>
      <c r="F1050" s="17"/>
      <c r="G1050" s="17"/>
    </row>
    <row r="1051">
      <c r="A1051" s="340"/>
      <c r="D1051" s="17"/>
      <c r="E1051" s="17"/>
      <c r="F1051" s="17"/>
      <c r="G1051" s="17"/>
    </row>
    <row r="1052">
      <c r="A1052" s="340"/>
      <c r="D1052" s="17"/>
      <c r="E1052" s="17"/>
      <c r="F1052" s="17"/>
      <c r="G1052" s="17"/>
    </row>
    <row r="1053">
      <c r="A1053" s="340"/>
      <c r="D1053" s="17"/>
      <c r="E1053" s="17"/>
      <c r="F1053" s="17"/>
      <c r="G1053" s="17"/>
    </row>
    <row r="1054">
      <c r="A1054" s="340"/>
      <c r="D1054" s="17"/>
      <c r="E1054" s="17"/>
      <c r="F1054" s="17"/>
      <c r="G1054" s="17"/>
    </row>
    <row r="1055">
      <c r="A1055" s="340"/>
      <c r="D1055" s="17"/>
      <c r="E1055" s="17"/>
      <c r="F1055" s="17"/>
      <c r="G1055" s="17"/>
    </row>
    <row r="1056">
      <c r="A1056" s="340"/>
      <c r="D1056" s="17"/>
      <c r="E1056" s="17"/>
      <c r="F1056" s="17"/>
      <c r="G1056" s="17"/>
    </row>
    <row r="1057">
      <c r="A1057" s="340"/>
      <c r="D1057" s="17"/>
      <c r="E1057" s="17"/>
      <c r="F1057" s="17"/>
      <c r="G1057" s="17"/>
    </row>
    <row r="1058">
      <c r="A1058" s="340"/>
      <c r="D1058" s="17"/>
      <c r="E1058" s="17"/>
      <c r="F1058" s="17"/>
      <c r="G1058" s="17"/>
    </row>
    <row r="1059">
      <c r="A1059" s="340"/>
      <c r="D1059" s="17"/>
      <c r="E1059" s="17"/>
      <c r="F1059" s="17"/>
      <c r="G1059" s="17"/>
    </row>
    <row r="1060">
      <c r="A1060" s="340"/>
      <c r="D1060" s="17"/>
      <c r="E1060" s="17"/>
      <c r="F1060" s="17"/>
      <c r="G1060" s="17"/>
    </row>
    <row r="1061">
      <c r="A1061" s="340"/>
      <c r="D1061" s="17"/>
      <c r="E1061" s="17"/>
      <c r="F1061" s="17"/>
      <c r="G1061" s="17"/>
    </row>
    <row r="1062">
      <c r="A1062" s="340"/>
      <c r="D1062" s="17"/>
      <c r="E1062" s="17"/>
      <c r="F1062" s="17"/>
      <c r="G1062" s="17"/>
    </row>
    <row r="1063">
      <c r="A1063" s="340"/>
      <c r="D1063" s="17"/>
      <c r="E1063" s="17"/>
      <c r="F1063" s="17"/>
      <c r="G1063" s="17"/>
    </row>
    <row r="1064">
      <c r="A1064" s="340"/>
      <c r="D1064" s="17"/>
      <c r="E1064" s="17"/>
      <c r="F1064" s="17"/>
      <c r="G1064" s="17"/>
    </row>
    <row r="1065">
      <c r="A1065" s="340"/>
      <c r="D1065" s="17"/>
      <c r="E1065" s="17"/>
      <c r="F1065" s="17"/>
      <c r="G1065" s="17"/>
    </row>
    <row r="1066">
      <c r="A1066" s="340"/>
      <c r="D1066" s="17"/>
      <c r="E1066" s="17"/>
      <c r="F1066" s="17"/>
      <c r="G1066" s="17"/>
    </row>
    <row r="1067">
      <c r="A1067" s="340"/>
      <c r="D1067" s="17"/>
      <c r="E1067" s="17"/>
      <c r="F1067" s="17"/>
      <c r="G1067" s="17"/>
    </row>
    <row r="1068">
      <c r="A1068" s="340"/>
      <c r="D1068" s="17"/>
      <c r="E1068" s="17"/>
      <c r="F1068" s="17"/>
      <c r="G1068" s="17"/>
    </row>
    <row r="1069">
      <c r="A1069" s="340"/>
      <c r="D1069" s="17"/>
      <c r="E1069" s="17"/>
      <c r="F1069" s="17"/>
      <c r="G1069" s="17"/>
    </row>
    <row r="1070">
      <c r="A1070" s="340"/>
      <c r="D1070" s="17"/>
      <c r="E1070" s="17"/>
      <c r="F1070" s="17"/>
      <c r="G1070" s="17"/>
    </row>
    <row r="1071">
      <c r="A1071" s="340"/>
      <c r="D1071" s="17"/>
      <c r="E1071" s="17"/>
      <c r="F1071" s="17"/>
      <c r="G1071" s="17"/>
    </row>
    <row r="1072">
      <c r="A1072" s="340"/>
      <c r="D1072" s="17"/>
      <c r="E1072" s="17"/>
      <c r="F1072" s="17"/>
      <c r="G1072" s="17"/>
    </row>
    <row r="1073">
      <c r="A1073" s="340"/>
      <c r="D1073" s="17"/>
      <c r="E1073" s="17"/>
      <c r="F1073" s="17"/>
      <c r="G1073" s="17"/>
    </row>
    <row r="1074">
      <c r="A1074" s="340"/>
      <c r="D1074" s="17"/>
      <c r="E1074" s="17"/>
      <c r="F1074" s="17"/>
      <c r="G1074" s="17"/>
    </row>
    <row r="1075">
      <c r="A1075" s="340"/>
      <c r="D1075" s="17"/>
      <c r="E1075" s="17"/>
      <c r="F1075" s="17"/>
      <c r="G1075" s="17"/>
    </row>
    <row r="1076">
      <c r="A1076" s="340"/>
      <c r="D1076" s="17"/>
      <c r="E1076" s="17"/>
      <c r="F1076" s="17"/>
      <c r="G1076" s="17"/>
    </row>
    <row r="1077">
      <c r="A1077" s="340"/>
      <c r="D1077" s="17"/>
      <c r="E1077" s="17"/>
      <c r="F1077" s="17"/>
      <c r="G1077" s="17"/>
    </row>
    <row r="1078">
      <c r="A1078" s="340"/>
      <c r="D1078" s="17"/>
      <c r="E1078" s="17"/>
      <c r="F1078" s="17"/>
      <c r="G1078" s="17"/>
    </row>
    <row r="1079">
      <c r="A1079" s="340"/>
      <c r="D1079" s="17"/>
      <c r="E1079" s="17"/>
      <c r="F1079" s="17"/>
      <c r="G1079" s="17"/>
    </row>
    <row r="1080">
      <c r="A1080" s="340"/>
      <c r="D1080" s="17"/>
      <c r="E1080" s="17"/>
      <c r="F1080" s="17"/>
      <c r="G1080" s="17"/>
    </row>
    <row r="1081">
      <c r="A1081" s="340"/>
      <c r="D1081" s="17"/>
      <c r="E1081" s="17"/>
      <c r="F1081" s="17"/>
      <c r="G1081" s="17"/>
    </row>
    <row r="1082">
      <c r="A1082" s="340"/>
      <c r="D1082" s="17"/>
      <c r="E1082" s="17"/>
      <c r="F1082" s="17"/>
      <c r="G1082" s="17"/>
    </row>
    <row r="1083">
      <c r="A1083" s="340"/>
      <c r="D1083" s="17"/>
      <c r="E1083" s="17"/>
      <c r="F1083" s="17"/>
      <c r="G1083" s="17"/>
    </row>
    <row r="1084">
      <c r="A1084" s="340"/>
      <c r="D1084" s="17"/>
      <c r="E1084" s="17"/>
      <c r="F1084" s="17"/>
      <c r="G1084" s="17"/>
    </row>
    <row r="1085">
      <c r="A1085" s="340"/>
      <c r="D1085" s="17"/>
      <c r="E1085" s="17"/>
      <c r="F1085" s="17"/>
      <c r="G1085" s="17"/>
    </row>
    <row r="1086">
      <c r="A1086" s="340"/>
      <c r="D1086" s="17"/>
      <c r="E1086" s="17"/>
      <c r="F1086" s="17"/>
      <c r="G1086" s="17"/>
    </row>
    <row r="1087">
      <c r="A1087" s="340"/>
      <c r="D1087" s="17"/>
      <c r="E1087" s="17"/>
      <c r="F1087" s="17"/>
      <c r="G1087" s="17"/>
    </row>
    <row r="1088">
      <c r="A1088" s="340"/>
      <c r="D1088" s="17"/>
      <c r="E1088" s="17"/>
      <c r="F1088" s="17"/>
      <c r="G1088" s="17"/>
    </row>
    <row r="1089">
      <c r="A1089" s="340"/>
      <c r="D1089" s="17"/>
      <c r="E1089" s="17"/>
      <c r="F1089" s="17"/>
      <c r="G1089" s="17"/>
    </row>
    <row r="1090">
      <c r="A1090" s="340"/>
      <c r="D1090" s="17"/>
      <c r="E1090" s="17"/>
      <c r="F1090" s="17"/>
      <c r="G1090" s="17"/>
    </row>
    <row r="1091">
      <c r="A1091" s="340"/>
      <c r="D1091" s="17"/>
      <c r="E1091" s="17"/>
      <c r="F1091" s="17"/>
      <c r="G1091" s="17"/>
    </row>
    <row r="1092">
      <c r="A1092" s="340"/>
      <c r="D1092" s="17"/>
      <c r="E1092" s="17"/>
      <c r="F1092" s="17"/>
      <c r="G1092" s="17"/>
    </row>
    <row r="1093">
      <c r="A1093" s="340"/>
      <c r="D1093" s="17"/>
      <c r="E1093" s="17"/>
      <c r="F1093" s="17"/>
      <c r="G1093" s="17"/>
    </row>
    <row r="1094">
      <c r="A1094" s="340"/>
      <c r="D1094" s="17"/>
      <c r="E1094" s="17"/>
      <c r="F1094" s="17"/>
      <c r="G1094" s="17"/>
    </row>
    <row r="1095">
      <c r="A1095" s="340"/>
      <c r="D1095" s="17"/>
      <c r="E1095" s="17"/>
      <c r="F1095" s="17"/>
      <c r="G1095" s="17"/>
    </row>
    <row r="1096">
      <c r="A1096" s="340"/>
      <c r="D1096" s="17"/>
      <c r="E1096" s="17"/>
      <c r="F1096" s="17"/>
      <c r="G1096" s="17"/>
    </row>
    <row r="1097">
      <c r="A1097" s="340"/>
      <c r="D1097" s="17"/>
      <c r="E1097" s="17"/>
      <c r="F1097" s="17"/>
      <c r="G1097" s="17"/>
    </row>
    <row r="1098">
      <c r="A1098" s="340"/>
      <c r="D1098" s="17"/>
      <c r="E1098" s="17"/>
      <c r="F1098" s="17"/>
      <c r="G1098" s="17"/>
    </row>
    <row r="1099">
      <c r="A1099" s="340"/>
      <c r="D1099" s="17"/>
      <c r="E1099" s="17"/>
      <c r="F1099" s="17"/>
      <c r="G1099" s="17"/>
    </row>
    <row r="1100">
      <c r="A1100" s="340"/>
      <c r="D1100" s="17"/>
      <c r="E1100" s="17"/>
      <c r="F1100" s="17"/>
      <c r="G1100" s="17"/>
    </row>
    <row r="1101">
      <c r="A1101" s="340"/>
      <c r="D1101" s="17"/>
      <c r="E1101" s="17"/>
      <c r="F1101" s="17"/>
      <c r="G1101" s="17"/>
    </row>
    <row r="1102">
      <c r="A1102" s="340"/>
      <c r="D1102" s="17"/>
      <c r="E1102" s="17"/>
      <c r="F1102" s="17"/>
      <c r="G1102" s="17"/>
    </row>
    <row r="1103">
      <c r="A1103" s="340"/>
      <c r="D1103" s="17"/>
      <c r="E1103" s="17"/>
      <c r="F1103" s="17"/>
      <c r="G1103" s="17"/>
    </row>
    <row r="1104">
      <c r="A1104" s="340"/>
      <c r="D1104" s="17"/>
      <c r="E1104" s="17"/>
      <c r="F1104" s="17"/>
      <c r="G1104" s="17"/>
    </row>
    <row r="1105">
      <c r="A1105" s="340"/>
      <c r="D1105" s="17"/>
      <c r="E1105" s="17"/>
      <c r="F1105" s="17"/>
      <c r="G1105" s="17"/>
    </row>
    <row r="1106">
      <c r="A1106" s="340"/>
      <c r="D1106" s="17"/>
      <c r="E1106" s="17"/>
      <c r="F1106" s="17"/>
      <c r="G1106" s="17"/>
    </row>
    <row r="1107">
      <c r="A1107" s="340"/>
      <c r="D1107" s="17"/>
      <c r="E1107" s="17"/>
      <c r="F1107" s="17"/>
      <c r="G1107" s="17"/>
    </row>
    <row r="1108">
      <c r="A1108" s="340"/>
      <c r="D1108" s="17"/>
      <c r="E1108" s="17"/>
      <c r="F1108" s="17"/>
      <c r="G1108" s="17"/>
    </row>
    <row r="1109">
      <c r="A1109" s="340"/>
      <c r="D1109" s="17"/>
      <c r="E1109" s="17"/>
      <c r="F1109" s="17"/>
      <c r="G1109" s="17"/>
    </row>
    <row r="1110">
      <c r="A1110" s="340"/>
      <c r="D1110" s="17"/>
      <c r="E1110" s="17"/>
      <c r="F1110" s="17"/>
      <c r="G1110" s="17"/>
    </row>
    <row r="1111">
      <c r="A1111" s="340"/>
      <c r="D1111" s="17"/>
      <c r="E1111" s="17"/>
      <c r="F1111" s="17"/>
      <c r="G1111" s="17"/>
    </row>
    <row r="1112">
      <c r="A1112" s="340"/>
      <c r="D1112" s="17"/>
      <c r="E1112" s="17"/>
      <c r="F1112" s="17"/>
      <c r="G1112" s="17"/>
    </row>
    <row r="1113">
      <c r="A1113" s="340"/>
      <c r="D1113" s="17"/>
      <c r="E1113" s="17"/>
      <c r="F1113" s="17"/>
      <c r="G1113" s="17"/>
    </row>
    <row r="1114">
      <c r="A1114" s="340"/>
      <c r="D1114" s="17"/>
      <c r="E1114" s="17"/>
      <c r="F1114" s="17"/>
      <c r="G1114" s="17"/>
    </row>
    <row r="1115">
      <c r="A1115" s="340"/>
      <c r="D1115" s="17"/>
      <c r="E1115" s="17"/>
      <c r="F1115" s="17"/>
      <c r="G1115" s="17"/>
    </row>
    <row r="1116">
      <c r="A1116" s="340"/>
      <c r="D1116" s="17"/>
      <c r="E1116" s="17"/>
      <c r="F1116" s="17"/>
      <c r="G1116" s="17"/>
    </row>
    <row r="1117">
      <c r="A1117" s="340"/>
      <c r="D1117" s="17"/>
      <c r="E1117" s="17"/>
      <c r="F1117" s="17"/>
      <c r="G1117" s="17"/>
    </row>
    <row r="1118">
      <c r="A1118" s="340"/>
      <c r="D1118" s="17"/>
      <c r="E1118" s="17"/>
      <c r="F1118" s="17"/>
      <c r="G1118" s="17"/>
    </row>
    <row r="1119">
      <c r="A1119" s="340"/>
      <c r="D1119" s="17"/>
      <c r="E1119" s="17"/>
      <c r="F1119" s="17"/>
      <c r="G1119" s="17"/>
    </row>
    <row r="1120">
      <c r="A1120" s="340"/>
      <c r="D1120" s="17"/>
      <c r="E1120" s="17"/>
      <c r="F1120" s="17"/>
      <c r="G1120" s="17"/>
    </row>
    <row r="1121">
      <c r="A1121" s="340"/>
      <c r="D1121" s="17"/>
      <c r="E1121" s="17"/>
      <c r="F1121" s="17"/>
      <c r="G1121" s="17"/>
    </row>
    <row r="1122">
      <c r="A1122" s="340"/>
      <c r="D1122" s="17"/>
      <c r="E1122" s="17"/>
      <c r="F1122" s="17"/>
      <c r="G1122" s="17"/>
    </row>
    <row r="1123">
      <c r="A1123" s="340"/>
      <c r="D1123" s="17"/>
      <c r="E1123" s="17"/>
      <c r="F1123" s="17"/>
      <c r="G1123" s="17"/>
    </row>
    <row r="1124">
      <c r="A1124" s="340"/>
      <c r="D1124" s="17"/>
      <c r="E1124" s="17"/>
      <c r="F1124" s="17"/>
      <c r="G1124" s="17"/>
    </row>
    <row r="1125">
      <c r="A1125" s="340"/>
      <c r="D1125" s="17"/>
      <c r="E1125" s="17"/>
      <c r="F1125" s="17"/>
      <c r="G1125" s="17"/>
    </row>
    <row r="1126">
      <c r="A1126" s="340"/>
      <c r="D1126" s="17"/>
      <c r="E1126" s="17"/>
      <c r="F1126" s="17"/>
      <c r="G1126" s="17"/>
    </row>
    <row r="1127">
      <c r="A1127" s="340"/>
      <c r="D1127" s="17"/>
      <c r="E1127" s="17"/>
      <c r="F1127" s="17"/>
      <c r="G1127" s="17"/>
    </row>
    <row r="1128">
      <c r="A1128" s="340"/>
      <c r="D1128" s="17"/>
      <c r="E1128" s="17"/>
      <c r="F1128" s="17"/>
      <c r="G1128" s="17"/>
    </row>
    <row r="1129">
      <c r="A1129" s="340"/>
      <c r="D1129" s="17"/>
      <c r="E1129" s="17"/>
      <c r="F1129" s="17"/>
      <c r="G1129" s="17"/>
    </row>
    <row r="1130">
      <c r="A1130" s="340"/>
      <c r="D1130" s="17"/>
      <c r="E1130" s="17"/>
      <c r="F1130" s="17"/>
      <c r="G1130" s="17"/>
    </row>
    <row r="1131">
      <c r="A1131" s="340"/>
      <c r="D1131" s="17"/>
      <c r="E1131" s="17"/>
      <c r="F1131" s="17"/>
      <c r="G1131" s="17"/>
    </row>
    <row r="1132">
      <c r="A1132" s="340"/>
      <c r="D1132" s="17"/>
      <c r="E1132" s="17"/>
      <c r="F1132" s="17"/>
      <c r="G1132" s="17"/>
    </row>
    <row r="1133">
      <c r="A1133" s="340"/>
      <c r="D1133" s="17"/>
      <c r="E1133" s="17"/>
      <c r="F1133" s="17"/>
      <c r="G1133" s="17"/>
    </row>
    <row r="1134">
      <c r="A1134" s="340"/>
      <c r="D1134" s="17"/>
      <c r="E1134" s="17"/>
      <c r="F1134" s="17"/>
      <c r="G1134" s="17"/>
    </row>
    <row r="1135">
      <c r="A1135" s="340"/>
      <c r="D1135" s="17"/>
      <c r="E1135" s="17"/>
      <c r="F1135" s="17"/>
      <c r="G1135" s="17"/>
    </row>
    <row r="1136">
      <c r="A1136" s="340"/>
      <c r="D1136" s="17"/>
      <c r="E1136" s="17"/>
      <c r="F1136" s="17"/>
      <c r="G1136" s="17"/>
    </row>
    <row r="1137">
      <c r="A1137" s="340"/>
      <c r="D1137" s="17"/>
      <c r="E1137" s="17"/>
      <c r="F1137" s="17"/>
      <c r="G1137" s="17"/>
    </row>
    <row r="1138">
      <c r="A1138" s="340"/>
      <c r="D1138" s="17"/>
      <c r="E1138" s="17"/>
      <c r="F1138" s="17"/>
      <c r="G1138" s="17"/>
    </row>
    <row r="1139">
      <c r="A1139" s="340"/>
      <c r="D1139" s="17"/>
      <c r="E1139" s="17"/>
      <c r="F1139" s="17"/>
      <c r="G1139" s="17"/>
    </row>
    <row r="1140">
      <c r="A1140" s="340"/>
      <c r="D1140" s="17"/>
      <c r="E1140" s="17"/>
      <c r="F1140" s="17"/>
      <c r="G1140" s="17"/>
    </row>
    <row r="1141">
      <c r="A1141" s="340"/>
      <c r="D1141" s="17"/>
      <c r="E1141" s="17"/>
      <c r="F1141" s="17"/>
      <c r="G1141" s="17"/>
    </row>
    <row r="1142">
      <c r="A1142" s="340"/>
      <c r="D1142" s="17"/>
      <c r="E1142" s="17"/>
      <c r="F1142" s="17"/>
      <c r="G1142" s="17"/>
    </row>
    <row r="1143">
      <c r="A1143" s="340"/>
      <c r="D1143" s="17"/>
      <c r="E1143" s="17"/>
      <c r="F1143" s="17"/>
      <c r="G1143" s="17"/>
    </row>
    <row r="1144">
      <c r="A1144" s="340"/>
      <c r="D1144" s="17"/>
      <c r="E1144" s="17"/>
      <c r="F1144" s="17"/>
      <c r="G1144" s="17"/>
    </row>
    <row r="1145">
      <c r="A1145" s="340"/>
      <c r="D1145" s="17"/>
      <c r="E1145" s="17"/>
      <c r="F1145" s="17"/>
      <c r="G1145" s="17"/>
    </row>
    <row r="1146">
      <c r="A1146" s="340"/>
      <c r="D1146" s="17"/>
      <c r="E1146" s="17"/>
      <c r="F1146" s="17"/>
      <c r="G1146" s="17"/>
    </row>
    <row r="1147">
      <c r="A1147" s="340"/>
      <c r="D1147" s="17"/>
      <c r="E1147" s="17"/>
      <c r="F1147" s="17"/>
      <c r="G1147" s="17"/>
    </row>
    <row r="1148">
      <c r="A1148" s="340"/>
      <c r="D1148" s="17"/>
      <c r="E1148" s="17"/>
      <c r="F1148" s="17"/>
      <c r="G1148" s="17"/>
    </row>
    <row r="1149">
      <c r="A1149" s="340"/>
      <c r="D1149" s="17"/>
      <c r="E1149" s="17"/>
      <c r="F1149" s="17"/>
      <c r="G1149" s="17"/>
    </row>
    <row r="1150">
      <c r="A1150" s="340"/>
      <c r="D1150" s="17"/>
      <c r="E1150" s="17"/>
      <c r="F1150" s="17"/>
      <c r="G1150" s="17"/>
    </row>
    <row r="1151">
      <c r="A1151" s="340"/>
      <c r="D1151" s="17"/>
      <c r="E1151" s="17"/>
      <c r="F1151" s="17"/>
      <c r="G1151" s="17"/>
    </row>
    <row r="1152">
      <c r="A1152" s="340"/>
      <c r="D1152" s="17"/>
      <c r="E1152" s="17"/>
      <c r="F1152" s="17"/>
      <c r="G1152" s="17"/>
    </row>
    <row r="1153">
      <c r="A1153" s="340"/>
      <c r="D1153" s="17"/>
      <c r="E1153" s="17"/>
      <c r="F1153" s="17"/>
      <c r="G1153" s="17"/>
    </row>
    <row r="1154">
      <c r="A1154" s="340"/>
      <c r="D1154" s="17"/>
      <c r="E1154" s="17"/>
      <c r="F1154" s="17"/>
      <c r="G1154" s="17"/>
    </row>
    <row r="1155">
      <c r="A1155" s="340"/>
      <c r="D1155" s="17"/>
      <c r="E1155" s="17"/>
      <c r="F1155" s="17"/>
      <c r="G1155" s="17"/>
    </row>
    <row r="1156">
      <c r="A1156" s="340"/>
      <c r="D1156" s="17"/>
      <c r="E1156" s="17"/>
      <c r="F1156" s="17"/>
      <c r="G1156" s="17"/>
    </row>
    <row r="1157">
      <c r="A1157" s="340"/>
      <c r="D1157" s="17"/>
      <c r="E1157" s="17"/>
      <c r="F1157" s="17"/>
      <c r="G1157" s="17"/>
    </row>
    <row r="1158">
      <c r="A1158" s="340"/>
      <c r="D1158" s="17"/>
      <c r="E1158" s="17"/>
      <c r="F1158" s="17"/>
      <c r="G1158" s="17"/>
    </row>
    <row r="1159">
      <c r="A1159" s="340"/>
      <c r="D1159" s="17"/>
      <c r="E1159" s="17"/>
      <c r="F1159" s="17"/>
      <c r="G1159" s="17"/>
    </row>
    <row r="1160">
      <c r="A1160" s="340"/>
      <c r="D1160" s="17"/>
      <c r="E1160" s="17"/>
      <c r="F1160" s="17"/>
      <c r="G1160" s="17"/>
    </row>
    <row r="1161">
      <c r="A1161" s="340"/>
      <c r="D1161" s="17"/>
      <c r="E1161" s="17"/>
      <c r="F1161" s="17"/>
      <c r="G1161" s="17"/>
    </row>
    <row r="1162">
      <c r="A1162" s="340"/>
      <c r="D1162" s="17"/>
      <c r="E1162" s="17"/>
      <c r="F1162" s="17"/>
      <c r="G1162" s="17"/>
    </row>
    <row r="1163">
      <c r="A1163" s="340"/>
      <c r="D1163" s="17"/>
      <c r="E1163" s="17"/>
      <c r="F1163" s="17"/>
      <c r="G1163" s="17"/>
    </row>
    <row r="1164">
      <c r="A1164" s="340"/>
      <c r="D1164" s="17"/>
      <c r="E1164" s="17"/>
      <c r="F1164" s="17"/>
      <c r="G1164" s="17"/>
    </row>
    <row r="1165">
      <c r="A1165" s="340"/>
      <c r="D1165" s="17"/>
      <c r="E1165" s="17"/>
      <c r="F1165" s="17"/>
      <c r="G1165" s="17"/>
    </row>
    <row r="1166">
      <c r="A1166" s="340"/>
      <c r="D1166" s="17"/>
      <c r="E1166" s="17"/>
      <c r="F1166" s="17"/>
      <c r="G1166" s="17"/>
    </row>
    <row r="1167">
      <c r="A1167" s="340"/>
      <c r="D1167" s="17"/>
      <c r="E1167" s="17"/>
      <c r="F1167" s="17"/>
      <c r="G1167" s="17"/>
    </row>
    <row r="1168">
      <c r="A1168" s="340"/>
      <c r="D1168" s="17"/>
      <c r="E1168" s="17"/>
      <c r="F1168" s="17"/>
      <c r="G1168" s="17"/>
    </row>
    <row r="1169">
      <c r="A1169" s="340"/>
      <c r="D1169" s="17"/>
      <c r="E1169" s="17"/>
      <c r="F1169" s="17"/>
      <c r="G1169" s="17"/>
    </row>
    <row r="1170">
      <c r="A1170" s="340"/>
      <c r="D1170" s="17"/>
      <c r="E1170" s="17"/>
      <c r="F1170" s="17"/>
      <c r="G1170" s="17"/>
    </row>
    <row r="1171">
      <c r="A1171" s="340"/>
      <c r="D1171" s="17"/>
      <c r="E1171" s="17"/>
      <c r="F1171" s="17"/>
      <c r="G1171" s="17"/>
    </row>
    <row r="1172">
      <c r="A1172" s="340"/>
      <c r="D1172" s="17"/>
      <c r="E1172" s="17"/>
      <c r="F1172" s="17"/>
      <c r="G1172" s="17"/>
    </row>
    <row r="1173">
      <c r="A1173" s="340"/>
      <c r="D1173" s="17"/>
      <c r="E1173" s="17"/>
      <c r="F1173" s="17"/>
      <c r="G1173" s="17"/>
    </row>
    <row r="1174">
      <c r="A1174" s="340"/>
      <c r="D1174" s="17"/>
      <c r="E1174" s="17"/>
      <c r="F1174" s="17"/>
      <c r="G1174" s="17"/>
    </row>
    <row r="1175">
      <c r="A1175" s="340"/>
      <c r="D1175" s="17"/>
      <c r="E1175" s="17"/>
      <c r="F1175" s="17"/>
      <c r="G1175" s="17"/>
    </row>
    <row r="1176">
      <c r="A1176" s="340"/>
      <c r="D1176" s="17"/>
      <c r="E1176" s="17"/>
      <c r="F1176" s="17"/>
      <c r="G1176" s="17"/>
    </row>
    <row r="1177">
      <c r="A1177" s="340"/>
      <c r="D1177" s="17"/>
      <c r="E1177" s="17"/>
      <c r="F1177" s="17"/>
      <c r="G1177" s="17"/>
    </row>
    <row r="1178">
      <c r="A1178" s="340"/>
      <c r="D1178" s="17"/>
      <c r="E1178" s="17"/>
      <c r="F1178" s="17"/>
      <c r="G1178" s="17"/>
    </row>
    <row r="1179">
      <c r="A1179" s="340"/>
      <c r="D1179" s="17"/>
      <c r="E1179" s="17"/>
      <c r="F1179" s="17"/>
      <c r="G1179" s="17"/>
    </row>
    <row r="1180">
      <c r="A1180" s="340"/>
      <c r="D1180" s="17"/>
      <c r="E1180" s="17"/>
      <c r="F1180" s="17"/>
      <c r="G1180" s="17"/>
    </row>
    <row r="1181">
      <c r="A1181" s="340"/>
      <c r="D1181" s="17"/>
      <c r="E1181" s="17"/>
      <c r="F1181" s="17"/>
      <c r="G1181" s="17"/>
    </row>
    <row r="1182">
      <c r="A1182" s="340"/>
      <c r="D1182" s="17"/>
      <c r="E1182" s="17"/>
      <c r="F1182" s="17"/>
      <c r="G1182" s="17"/>
    </row>
    <row r="1183">
      <c r="A1183" s="340"/>
      <c r="D1183" s="17"/>
      <c r="E1183" s="17"/>
      <c r="F1183" s="17"/>
      <c r="G1183" s="17"/>
    </row>
    <row r="1184">
      <c r="A1184" s="340"/>
      <c r="D1184" s="17"/>
      <c r="E1184" s="17"/>
      <c r="F1184" s="17"/>
      <c r="G1184" s="17"/>
    </row>
    <row r="1185">
      <c r="A1185" s="340"/>
      <c r="D1185" s="17"/>
      <c r="E1185" s="17"/>
      <c r="F1185" s="17"/>
      <c r="G1185" s="17"/>
    </row>
    <row r="1186">
      <c r="A1186" s="340"/>
      <c r="D1186" s="17"/>
      <c r="E1186" s="17"/>
      <c r="F1186" s="17"/>
      <c r="G1186" s="17"/>
    </row>
    <row r="1187">
      <c r="A1187" s="340"/>
      <c r="D1187" s="17"/>
      <c r="E1187" s="17"/>
      <c r="F1187" s="17"/>
      <c r="G1187" s="17"/>
    </row>
    <row r="1188">
      <c r="A1188" s="340"/>
      <c r="D1188" s="17"/>
      <c r="E1188" s="17"/>
      <c r="F1188" s="17"/>
      <c r="G1188" s="17"/>
    </row>
    <row r="1189">
      <c r="A1189" s="340"/>
      <c r="D1189" s="17"/>
      <c r="E1189" s="17"/>
      <c r="F1189" s="17"/>
      <c r="G1189" s="17"/>
    </row>
    <row r="1190">
      <c r="A1190" s="340"/>
      <c r="D1190" s="17"/>
      <c r="E1190" s="17"/>
      <c r="F1190" s="17"/>
      <c r="G1190" s="17"/>
    </row>
    <row r="1191">
      <c r="A1191" s="340"/>
      <c r="D1191" s="17"/>
      <c r="E1191" s="17"/>
      <c r="F1191" s="17"/>
      <c r="G1191" s="17"/>
    </row>
    <row r="1192">
      <c r="A1192" s="340"/>
      <c r="D1192" s="17"/>
      <c r="E1192" s="17"/>
      <c r="F1192" s="17"/>
      <c r="G1192" s="17"/>
    </row>
    <row r="1193">
      <c r="A1193" s="340"/>
      <c r="D1193" s="17"/>
      <c r="E1193" s="17"/>
      <c r="F1193" s="17"/>
      <c r="G1193" s="17"/>
    </row>
    <row r="1194">
      <c r="A1194" s="340"/>
      <c r="D1194" s="17"/>
      <c r="E1194" s="17"/>
      <c r="F1194" s="17"/>
      <c r="G1194" s="17"/>
    </row>
    <row r="1195">
      <c r="A1195" s="340"/>
      <c r="D1195" s="17"/>
      <c r="E1195" s="17"/>
      <c r="F1195" s="17"/>
      <c r="G1195" s="17"/>
    </row>
    <row r="1196">
      <c r="A1196" s="340"/>
      <c r="D1196" s="17"/>
      <c r="E1196" s="17"/>
      <c r="F1196" s="17"/>
      <c r="G1196" s="17"/>
    </row>
    <row r="1197">
      <c r="A1197" s="340"/>
      <c r="D1197" s="17"/>
      <c r="E1197" s="17"/>
      <c r="F1197" s="17"/>
      <c r="G1197" s="17"/>
    </row>
    <row r="1198">
      <c r="A1198" s="340"/>
      <c r="D1198" s="17"/>
      <c r="E1198" s="17"/>
      <c r="F1198" s="17"/>
      <c r="G1198" s="17"/>
    </row>
    <row r="1199">
      <c r="A1199" s="340"/>
      <c r="D1199" s="17"/>
      <c r="E1199" s="17"/>
      <c r="F1199" s="17"/>
      <c r="G1199" s="17"/>
    </row>
    <row r="1200">
      <c r="A1200" s="340"/>
      <c r="D1200" s="17"/>
      <c r="E1200" s="17"/>
      <c r="F1200" s="17"/>
      <c r="G1200" s="17"/>
    </row>
    <row r="1201">
      <c r="A1201" s="340"/>
      <c r="D1201" s="17"/>
      <c r="E1201" s="17"/>
      <c r="F1201" s="17"/>
      <c r="G1201" s="17"/>
    </row>
    <row r="1202">
      <c r="A1202" s="340"/>
      <c r="D1202" s="17"/>
      <c r="E1202" s="17"/>
      <c r="F1202" s="17"/>
      <c r="G1202" s="17"/>
    </row>
    <row r="1203">
      <c r="A1203" s="340"/>
      <c r="D1203" s="17"/>
      <c r="E1203" s="17"/>
      <c r="F1203" s="17"/>
      <c r="G1203" s="17"/>
    </row>
    <row r="1204">
      <c r="A1204" s="340"/>
      <c r="D1204" s="17"/>
      <c r="E1204" s="17"/>
      <c r="F1204" s="17"/>
      <c r="G1204" s="17"/>
    </row>
    <row r="1205">
      <c r="A1205" s="340"/>
      <c r="D1205" s="17"/>
      <c r="E1205" s="17"/>
      <c r="F1205" s="17"/>
      <c r="G1205" s="17"/>
    </row>
    <row r="1206">
      <c r="A1206" s="340"/>
      <c r="D1206" s="17"/>
      <c r="E1206" s="17"/>
      <c r="F1206" s="17"/>
      <c r="G1206" s="17"/>
    </row>
    <row r="1207">
      <c r="A1207" s="340"/>
      <c r="D1207" s="17"/>
      <c r="E1207" s="17"/>
      <c r="F1207" s="17"/>
      <c r="G1207" s="17"/>
    </row>
    <row r="1208">
      <c r="A1208" s="340"/>
      <c r="D1208" s="17"/>
      <c r="E1208" s="17"/>
      <c r="F1208" s="17"/>
      <c r="G1208" s="17"/>
    </row>
    <row r="1209">
      <c r="A1209" s="340"/>
      <c r="D1209" s="17"/>
      <c r="E1209" s="17"/>
      <c r="F1209" s="17"/>
      <c r="G1209" s="17"/>
    </row>
    <row r="1210">
      <c r="A1210" s="340"/>
      <c r="D1210" s="17"/>
      <c r="E1210" s="17"/>
      <c r="F1210" s="17"/>
      <c r="G1210" s="17"/>
    </row>
    <row r="1211">
      <c r="A1211" s="340"/>
      <c r="D1211" s="17"/>
      <c r="E1211" s="17"/>
      <c r="F1211" s="17"/>
      <c r="G1211" s="17"/>
    </row>
    <row r="1212">
      <c r="A1212" s="340"/>
      <c r="D1212" s="17"/>
      <c r="E1212" s="17"/>
      <c r="F1212" s="17"/>
      <c r="G1212" s="17"/>
    </row>
    <row r="1213">
      <c r="A1213" s="340"/>
      <c r="D1213" s="17"/>
      <c r="E1213" s="17"/>
      <c r="F1213" s="17"/>
      <c r="G1213" s="17"/>
    </row>
    <row r="1214">
      <c r="A1214" s="340"/>
      <c r="D1214" s="17"/>
      <c r="E1214" s="17"/>
      <c r="F1214" s="17"/>
      <c r="G1214" s="17"/>
    </row>
    <row r="1215">
      <c r="A1215" s="340"/>
      <c r="D1215" s="17"/>
      <c r="E1215" s="17"/>
      <c r="F1215" s="17"/>
      <c r="G1215" s="17"/>
    </row>
    <row r="1216">
      <c r="A1216" s="340"/>
      <c r="D1216" s="17"/>
      <c r="E1216" s="17"/>
      <c r="F1216" s="17"/>
      <c r="G1216" s="17"/>
    </row>
    <row r="1217">
      <c r="A1217" s="340"/>
      <c r="D1217" s="17"/>
      <c r="E1217" s="17"/>
      <c r="F1217" s="17"/>
      <c r="G1217" s="17"/>
    </row>
    <row r="1218">
      <c r="A1218" s="340"/>
      <c r="D1218" s="17"/>
      <c r="E1218" s="17"/>
      <c r="F1218" s="17"/>
      <c r="G1218" s="17"/>
    </row>
    <row r="1219">
      <c r="A1219" s="340"/>
      <c r="D1219" s="17"/>
      <c r="E1219" s="17"/>
      <c r="F1219" s="17"/>
      <c r="G1219" s="17"/>
    </row>
    <row r="1220">
      <c r="A1220" s="340"/>
      <c r="D1220" s="17"/>
      <c r="E1220" s="17"/>
      <c r="F1220" s="17"/>
      <c r="G1220" s="17"/>
    </row>
    <row r="1221">
      <c r="A1221" s="340"/>
      <c r="D1221" s="17"/>
      <c r="E1221" s="17"/>
      <c r="F1221" s="17"/>
      <c r="G1221" s="17"/>
    </row>
    <row r="1222">
      <c r="A1222" s="340"/>
      <c r="D1222" s="17"/>
      <c r="E1222" s="17"/>
      <c r="F1222" s="17"/>
      <c r="G1222" s="17"/>
    </row>
    <row r="1223">
      <c r="A1223" s="340"/>
      <c r="D1223" s="17"/>
      <c r="E1223" s="17"/>
      <c r="F1223" s="17"/>
      <c r="G1223" s="17"/>
    </row>
    <row r="1224">
      <c r="A1224" s="340"/>
      <c r="D1224" s="17"/>
      <c r="E1224" s="17"/>
      <c r="F1224" s="17"/>
      <c r="G1224" s="17"/>
    </row>
    <row r="1225">
      <c r="A1225" s="340"/>
      <c r="D1225" s="17"/>
      <c r="E1225" s="17"/>
      <c r="F1225" s="17"/>
      <c r="G1225" s="17"/>
    </row>
  </sheetData>
  <mergeCells count="147">
    <mergeCell ref="A7:A8"/>
    <mergeCell ref="B7:B8"/>
    <mergeCell ref="C7:C8"/>
    <mergeCell ref="D7:G7"/>
    <mergeCell ref="H7:I7"/>
    <mergeCell ref="A9:A15"/>
    <mergeCell ref="B9:B15"/>
    <mergeCell ref="A16:A18"/>
    <mergeCell ref="B16:B18"/>
    <mergeCell ref="A19:A25"/>
    <mergeCell ref="B19:B25"/>
    <mergeCell ref="A26:A33"/>
    <mergeCell ref="B26:B33"/>
    <mergeCell ref="B34:B38"/>
    <mergeCell ref="A34:A38"/>
    <mergeCell ref="A39:A41"/>
    <mergeCell ref="A42:A48"/>
    <mergeCell ref="A49:A54"/>
    <mergeCell ref="A55:A58"/>
    <mergeCell ref="A59:A62"/>
    <mergeCell ref="A63:A66"/>
    <mergeCell ref="B39:B41"/>
    <mergeCell ref="B42:B48"/>
    <mergeCell ref="B49:B54"/>
    <mergeCell ref="B55:B58"/>
    <mergeCell ref="B59:B62"/>
    <mergeCell ref="B63:B66"/>
    <mergeCell ref="B67:B73"/>
    <mergeCell ref="A67:A73"/>
    <mergeCell ref="A74:A79"/>
    <mergeCell ref="A80:A86"/>
    <mergeCell ref="A87:A89"/>
    <mergeCell ref="A90:A97"/>
    <mergeCell ref="A98:A106"/>
    <mergeCell ref="A107:A112"/>
    <mergeCell ref="B74:B79"/>
    <mergeCell ref="B80:B86"/>
    <mergeCell ref="B87:B89"/>
    <mergeCell ref="B90:B97"/>
    <mergeCell ref="B98:B106"/>
    <mergeCell ref="B107:B112"/>
    <mergeCell ref="B113:B120"/>
    <mergeCell ref="B166:B170"/>
    <mergeCell ref="B171:B177"/>
    <mergeCell ref="B178:B183"/>
    <mergeCell ref="B184:B189"/>
    <mergeCell ref="B121:B132"/>
    <mergeCell ref="B133:B135"/>
    <mergeCell ref="B136:B143"/>
    <mergeCell ref="B144:B148"/>
    <mergeCell ref="B149:B154"/>
    <mergeCell ref="B155:B161"/>
    <mergeCell ref="B162:B165"/>
    <mergeCell ref="A288:A291"/>
    <mergeCell ref="B288:B291"/>
    <mergeCell ref="A292:A299"/>
    <mergeCell ref="B292:B299"/>
    <mergeCell ref="A300:A308"/>
    <mergeCell ref="B300:B308"/>
    <mergeCell ref="B309:B316"/>
    <mergeCell ref="A309:A316"/>
    <mergeCell ref="A317:A325"/>
    <mergeCell ref="B317:B325"/>
    <mergeCell ref="A326:A333"/>
    <mergeCell ref="B326:B333"/>
    <mergeCell ref="A334:A338"/>
    <mergeCell ref="B334:B338"/>
    <mergeCell ref="A339:A341"/>
    <mergeCell ref="B339:B341"/>
    <mergeCell ref="A342:A349"/>
    <mergeCell ref="B342:B349"/>
    <mergeCell ref="A350:A353"/>
    <mergeCell ref="B350:B353"/>
    <mergeCell ref="B354:B357"/>
    <mergeCell ref="B358:B361"/>
    <mergeCell ref="A354:A357"/>
    <mergeCell ref="A358:A361"/>
    <mergeCell ref="A362:A370"/>
    <mergeCell ref="B362:B370"/>
    <mergeCell ref="A371:A373"/>
    <mergeCell ref="B371:B373"/>
    <mergeCell ref="B374:B380"/>
    <mergeCell ref="A417:A426"/>
    <mergeCell ref="A427:A429"/>
    <mergeCell ref="A430:A440"/>
    <mergeCell ref="A441:A447"/>
    <mergeCell ref="A448:A454"/>
    <mergeCell ref="B427:B429"/>
    <mergeCell ref="B430:B440"/>
    <mergeCell ref="B441:B447"/>
    <mergeCell ref="B448:B454"/>
    <mergeCell ref="A396:A401"/>
    <mergeCell ref="B396:B401"/>
    <mergeCell ref="A402:A410"/>
    <mergeCell ref="B402:B410"/>
    <mergeCell ref="A411:A416"/>
    <mergeCell ref="B411:B416"/>
    <mergeCell ref="B417:B426"/>
    <mergeCell ref="A113:A120"/>
    <mergeCell ref="A121:A132"/>
    <mergeCell ref="A133:A135"/>
    <mergeCell ref="A136:A143"/>
    <mergeCell ref="A144:A148"/>
    <mergeCell ref="A149:A154"/>
    <mergeCell ref="A155:A161"/>
    <mergeCell ref="A162:A165"/>
    <mergeCell ref="A166:A170"/>
    <mergeCell ref="A171:A177"/>
    <mergeCell ref="A178:A183"/>
    <mergeCell ref="A184:A189"/>
    <mergeCell ref="A190:A199"/>
    <mergeCell ref="B190:B199"/>
    <mergeCell ref="A200:A204"/>
    <mergeCell ref="B200:B204"/>
    <mergeCell ref="A205:A215"/>
    <mergeCell ref="B205:B215"/>
    <mergeCell ref="A216:A220"/>
    <mergeCell ref="B216:B220"/>
    <mergeCell ref="B221:B223"/>
    <mergeCell ref="A221:A223"/>
    <mergeCell ref="A224:A232"/>
    <mergeCell ref="B224:B232"/>
    <mergeCell ref="A233:A235"/>
    <mergeCell ref="B233:B235"/>
    <mergeCell ref="A236:A242"/>
    <mergeCell ref="B236:B242"/>
    <mergeCell ref="A243:A245"/>
    <mergeCell ref="B243:B245"/>
    <mergeCell ref="A246:A249"/>
    <mergeCell ref="B246:B249"/>
    <mergeCell ref="A250:A258"/>
    <mergeCell ref="B250:B258"/>
    <mergeCell ref="B259:B261"/>
    <mergeCell ref="A259:A261"/>
    <mergeCell ref="A262:A271"/>
    <mergeCell ref="B262:B271"/>
    <mergeCell ref="A272:A277"/>
    <mergeCell ref="B272:B277"/>
    <mergeCell ref="A278:A287"/>
    <mergeCell ref="B278:B287"/>
    <mergeCell ref="A374:A380"/>
    <mergeCell ref="A381:A383"/>
    <mergeCell ref="B381:B383"/>
    <mergeCell ref="A384:A390"/>
    <mergeCell ref="B384:B390"/>
    <mergeCell ref="A391:A395"/>
    <mergeCell ref="B391:B395"/>
  </mergeCells>
  <hyperlinks>
    <hyperlink r:id="rId1" ref="B2"/>
    <hyperlink r:id="rId2" ref="C2"/>
  </hyperlinks>
  <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38"/>
    <col customWidth="1" min="2" max="2" width="35.0"/>
    <col customWidth="1" min="3" max="3" width="15.63"/>
    <col customWidth="1" min="4" max="4" width="29.5"/>
    <col customWidth="1" min="5" max="5" width="31.5"/>
    <col customWidth="1" min="6" max="6" width="14.25"/>
  </cols>
  <sheetData>
    <row r="1">
      <c r="A1" s="341" t="s">
        <v>615</v>
      </c>
      <c r="B1" s="342"/>
      <c r="C1" s="342"/>
      <c r="D1" s="342"/>
      <c r="E1" s="342"/>
      <c r="F1" s="343"/>
      <c r="G1" s="342"/>
      <c r="H1" s="342"/>
      <c r="I1" s="342"/>
      <c r="J1" s="342"/>
      <c r="K1" s="344"/>
      <c r="L1" s="344"/>
      <c r="M1" s="344"/>
      <c r="N1" s="344"/>
      <c r="O1" s="344"/>
      <c r="P1" s="344"/>
      <c r="Q1" s="344"/>
      <c r="R1" s="344"/>
      <c r="S1" s="344"/>
      <c r="T1" s="344"/>
      <c r="U1" s="344"/>
      <c r="V1" s="344"/>
      <c r="W1" s="344"/>
      <c r="X1" s="344"/>
      <c r="Y1" s="344"/>
      <c r="Z1" s="344"/>
      <c r="AA1" s="344"/>
      <c r="AB1" s="344"/>
      <c r="AC1" s="344"/>
      <c r="AD1" s="344"/>
      <c r="AE1" s="344"/>
      <c r="AF1" s="344"/>
      <c r="AG1" s="344"/>
    </row>
    <row r="2">
      <c r="A2" s="345" t="s">
        <v>522</v>
      </c>
      <c r="B2" s="346" t="s">
        <v>373</v>
      </c>
      <c r="C2" s="344"/>
      <c r="D2" s="342"/>
      <c r="E2" s="342"/>
      <c r="F2" s="343"/>
      <c r="G2" s="342"/>
      <c r="H2" s="342"/>
      <c r="I2" s="342"/>
      <c r="J2" s="342"/>
      <c r="K2" s="344"/>
      <c r="L2" s="344"/>
      <c r="M2" s="344"/>
      <c r="N2" s="344"/>
      <c r="O2" s="344"/>
      <c r="P2" s="344"/>
      <c r="Q2" s="344"/>
      <c r="R2" s="344"/>
      <c r="S2" s="344"/>
      <c r="T2" s="344"/>
      <c r="U2" s="344"/>
      <c r="V2" s="344"/>
      <c r="W2" s="344"/>
      <c r="X2" s="344"/>
      <c r="Y2" s="344"/>
      <c r="Z2" s="344"/>
      <c r="AA2" s="344"/>
      <c r="AB2" s="344"/>
      <c r="AC2" s="344"/>
      <c r="AD2" s="344"/>
      <c r="AE2" s="344"/>
      <c r="AF2" s="344"/>
      <c r="AG2" s="344"/>
    </row>
    <row r="3">
      <c r="A3" s="347" t="s">
        <v>616</v>
      </c>
      <c r="B3" s="344"/>
      <c r="C3" s="344"/>
      <c r="D3" s="344"/>
      <c r="E3" s="344"/>
      <c r="F3" s="348"/>
      <c r="G3" s="344"/>
      <c r="H3" s="344"/>
      <c r="I3" s="344"/>
      <c r="J3" s="344"/>
      <c r="K3" s="344"/>
      <c r="L3" s="344"/>
      <c r="M3" s="344"/>
      <c r="N3" s="344"/>
      <c r="O3" s="344"/>
      <c r="P3" s="344"/>
      <c r="Q3" s="344"/>
      <c r="R3" s="344"/>
      <c r="S3" s="344"/>
      <c r="T3" s="344"/>
      <c r="U3" s="344"/>
      <c r="V3" s="344"/>
      <c r="W3" s="344"/>
      <c r="X3" s="344"/>
      <c r="Y3" s="344"/>
      <c r="Z3" s="344"/>
      <c r="AA3" s="344"/>
      <c r="AB3" s="344"/>
      <c r="AC3" s="344"/>
      <c r="AD3" s="344"/>
      <c r="AE3" s="344"/>
      <c r="AF3" s="344"/>
      <c r="AG3" s="344"/>
    </row>
    <row r="4">
      <c r="A4" s="349"/>
      <c r="B4" s="344"/>
      <c r="C4" s="344"/>
      <c r="D4" s="344"/>
      <c r="E4" s="344"/>
      <c r="F4" s="348"/>
      <c r="G4" s="344"/>
      <c r="H4" s="344"/>
      <c r="I4" s="344"/>
      <c r="J4" s="344"/>
      <c r="K4" s="344"/>
      <c r="L4" s="344"/>
      <c r="M4" s="344"/>
      <c r="N4" s="344"/>
      <c r="O4" s="344"/>
      <c r="P4" s="344"/>
      <c r="Q4" s="344"/>
      <c r="R4" s="344"/>
      <c r="S4" s="344"/>
      <c r="T4" s="344"/>
      <c r="U4" s="344"/>
      <c r="V4" s="344"/>
      <c r="W4" s="344"/>
      <c r="X4" s="344"/>
      <c r="Y4" s="344"/>
      <c r="Z4" s="344"/>
      <c r="AA4" s="344"/>
      <c r="AB4" s="344"/>
      <c r="AC4" s="344"/>
      <c r="AD4" s="344"/>
      <c r="AE4" s="344"/>
      <c r="AF4" s="344"/>
      <c r="AG4" s="344"/>
    </row>
    <row r="5">
      <c r="A5" s="350" t="s">
        <v>617</v>
      </c>
      <c r="B5" s="344"/>
      <c r="C5" s="344"/>
      <c r="D5" s="344"/>
      <c r="E5" s="344"/>
      <c r="F5" s="348"/>
      <c r="G5" s="344"/>
      <c r="H5" s="344"/>
      <c r="I5" s="344"/>
      <c r="J5" s="344"/>
      <c r="K5" s="344"/>
      <c r="L5" s="344"/>
      <c r="M5" s="344"/>
      <c r="N5" s="344"/>
      <c r="O5" s="344"/>
      <c r="P5" s="344"/>
      <c r="Q5" s="344"/>
      <c r="R5" s="344"/>
      <c r="S5" s="344"/>
      <c r="T5" s="344"/>
      <c r="U5" s="344"/>
      <c r="V5" s="344"/>
      <c r="W5" s="344"/>
      <c r="X5" s="344"/>
      <c r="Y5" s="344"/>
      <c r="Z5" s="344"/>
      <c r="AA5" s="344"/>
      <c r="AB5" s="344"/>
      <c r="AC5" s="344"/>
      <c r="AD5" s="344"/>
      <c r="AE5" s="344"/>
      <c r="AF5" s="344"/>
      <c r="AG5" s="344"/>
    </row>
    <row r="6">
      <c r="A6" s="350" t="s">
        <v>618</v>
      </c>
      <c r="B6" s="351"/>
      <c r="C6" s="352"/>
      <c r="D6" s="352"/>
      <c r="E6" s="352"/>
      <c r="F6" s="352"/>
      <c r="G6" s="344"/>
      <c r="H6" s="344"/>
      <c r="I6" s="344"/>
      <c r="J6" s="344"/>
      <c r="K6" s="344"/>
      <c r="L6" s="344"/>
      <c r="M6" s="344"/>
      <c r="N6" s="344"/>
      <c r="O6" s="344"/>
      <c r="P6" s="344"/>
      <c r="Q6" s="344"/>
      <c r="R6" s="344"/>
      <c r="S6" s="344"/>
      <c r="T6" s="344"/>
      <c r="U6" s="344"/>
      <c r="V6" s="344"/>
      <c r="W6" s="344"/>
      <c r="X6" s="344"/>
      <c r="Y6" s="344"/>
      <c r="Z6" s="344"/>
      <c r="AA6" s="344"/>
      <c r="AB6" s="344"/>
      <c r="AC6" s="344"/>
      <c r="AD6" s="344"/>
      <c r="AE6" s="344"/>
      <c r="AF6" s="344"/>
      <c r="AG6" s="344"/>
    </row>
    <row r="7">
      <c r="A7" s="350" t="s">
        <v>619</v>
      </c>
      <c r="B7" s="351"/>
      <c r="C7" s="352"/>
      <c r="D7" s="352"/>
      <c r="E7" s="352"/>
      <c r="F7" s="352"/>
      <c r="G7" s="344"/>
      <c r="H7" s="344"/>
      <c r="I7" s="344"/>
      <c r="J7" s="344"/>
      <c r="K7" s="344"/>
      <c r="L7" s="344"/>
      <c r="M7" s="344"/>
      <c r="N7" s="344"/>
      <c r="O7" s="344"/>
      <c r="P7" s="344"/>
      <c r="Q7" s="344"/>
      <c r="R7" s="344"/>
      <c r="S7" s="344"/>
      <c r="T7" s="344"/>
      <c r="U7" s="344"/>
      <c r="V7" s="344"/>
      <c r="W7" s="344"/>
      <c r="X7" s="344"/>
      <c r="Y7" s="344"/>
      <c r="Z7" s="344"/>
      <c r="AA7" s="344"/>
      <c r="AB7" s="344"/>
      <c r="AC7" s="344"/>
      <c r="AD7" s="344"/>
      <c r="AE7" s="344"/>
      <c r="AF7" s="344"/>
      <c r="AG7" s="344"/>
    </row>
    <row r="8">
      <c r="A8" s="350" t="s">
        <v>620</v>
      </c>
      <c r="B8" s="351"/>
      <c r="C8" s="352"/>
      <c r="D8" s="352"/>
      <c r="E8" s="352"/>
      <c r="F8" s="352"/>
      <c r="G8" s="344"/>
      <c r="H8" s="344"/>
      <c r="I8" s="344"/>
      <c r="J8" s="344"/>
      <c r="K8" s="344"/>
      <c r="L8" s="344"/>
      <c r="M8" s="344"/>
      <c r="N8" s="344"/>
      <c r="O8" s="344"/>
      <c r="P8" s="344"/>
      <c r="Q8" s="344"/>
      <c r="R8" s="344"/>
      <c r="S8" s="344"/>
      <c r="T8" s="344"/>
      <c r="U8" s="344"/>
      <c r="V8" s="344"/>
      <c r="W8" s="344"/>
      <c r="X8" s="344"/>
      <c r="Y8" s="344"/>
      <c r="Z8" s="344"/>
      <c r="AA8" s="344"/>
      <c r="AB8" s="344"/>
      <c r="AC8" s="344"/>
      <c r="AD8" s="344"/>
      <c r="AE8" s="344"/>
      <c r="AF8" s="344"/>
      <c r="AG8" s="344"/>
    </row>
    <row r="9">
      <c r="A9" s="350" t="s">
        <v>621</v>
      </c>
      <c r="B9" s="351"/>
      <c r="C9" s="352"/>
      <c r="D9" s="352"/>
      <c r="E9" s="352"/>
      <c r="F9" s="352"/>
      <c r="G9" s="344"/>
      <c r="H9" s="344"/>
      <c r="I9" s="344"/>
      <c r="J9" s="344"/>
      <c r="K9" s="344"/>
      <c r="L9" s="344"/>
      <c r="M9" s="344"/>
      <c r="N9" s="344"/>
      <c r="O9" s="344"/>
      <c r="P9" s="344"/>
      <c r="Q9" s="344"/>
      <c r="R9" s="344"/>
      <c r="S9" s="344"/>
      <c r="T9" s="344"/>
      <c r="U9" s="344"/>
      <c r="V9" s="344"/>
      <c r="W9" s="344"/>
      <c r="X9" s="344"/>
      <c r="Y9" s="344"/>
      <c r="Z9" s="344"/>
      <c r="AA9" s="344"/>
      <c r="AB9" s="344"/>
      <c r="AC9" s="344"/>
      <c r="AD9" s="344"/>
      <c r="AE9" s="344"/>
      <c r="AF9" s="344"/>
      <c r="AG9" s="344"/>
    </row>
    <row r="10">
      <c r="A10" s="350" t="s">
        <v>622</v>
      </c>
      <c r="B10" s="351"/>
      <c r="C10" s="352"/>
      <c r="D10" s="352"/>
      <c r="E10" s="352"/>
      <c r="F10" s="352"/>
      <c r="G10" s="344"/>
      <c r="H10" s="344"/>
      <c r="I10" s="344"/>
      <c r="J10" s="344"/>
      <c r="K10" s="344"/>
      <c r="L10" s="344"/>
      <c r="M10" s="344"/>
      <c r="N10" s="344"/>
      <c r="O10" s="344"/>
      <c r="P10" s="344"/>
      <c r="Q10" s="344"/>
      <c r="R10" s="344"/>
      <c r="S10" s="344"/>
      <c r="T10" s="344"/>
      <c r="U10" s="344"/>
      <c r="V10" s="344"/>
      <c r="W10" s="344"/>
      <c r="X10" s="344"/>
      <c r="Y10" s="344"/>
      <c r="Z10" s="344"/>
      <c r="AA10" s="344"/>
      <c r="AB10" s="344"/>
      <c r="AC10" s="344"/>
      <c r="AD10" s="344"/>
      <c r="AE10" s="344"/>
      <c r="AF10" s="344"/>
      <c r="AG10" s="344"/>
    </row>
    <row r="11">
      <c r="A11" s="353" t="s">
        <v>623</v>
      </c>
      <c r="B11" s="351"/>
      <c r="C11" s="352"/>
      <c r="D11" s="352"/>
      <c r="E11" s="352"/>
      <c r="F11" s="352"/>
      <c r="G11" s="344"/>
      <c r="H11" s="344"/>
      <c r="I11" s="344"/>
      <c r="J11" s="344"/>
      <c r="K11" s="344"/>
      <c r="L11" s="344"/>
      <c r="M11" s="344"/>
      <c r="N11" s="344"/>
      <c r="O11" s="344"/>
      <c r="P11" s="344"/>
      <c r="Q11" s="344"/>
      <c r="R11" s="344"/>
      <c r="S11" s="344"/>
      <c r="T11" s="344"/>
      <c r="U11" s="344"/>
      <c r="V11" s="344"/>
      <c r="W11" s="344"/>
      <c r="X11" s="344"/>
      <c r="Y11" s="344"/>
      <c r="Z11" s="344"/>
      <c r="AA11" s="344"/>
      <c r="AB11" s="344"/>
      <c r="AC11" s="344"/>
      <c r="AD11" s="344"/>
      <c r="AE11" s="344"/>
      <c r="AF11" s="344"/>
      <c r="AG11" s="344"/>
    </row>
    <row r="12">
      <c r="A12" s="350" t="s">
        <v>624</v>
      </c>
      <c r="B12" s="351"/>
      <c r="C12" s="352"/>
      <c r="D12" s="352"/>
      <c r="E12" s="352"/>
      <c r="F12" s="352"/>
      <c r="G12" s="344"/>
      <c r="H12" s="344"/>
      <c r="I12" s="344"/>
      <c r="J12" s="344"/>
      <c r="K12" s="344"/>
      <c r="L12" s="344"/>
      <c r="M12" s="344"/>
      <c r="N12" s="344"/>
      <c r="O12" s="344"/>
      <c r="P12" s="344"/>
      <c r="Q12" s="344"/>
      <c r="R12" s="344"/>
      <c r="S12" s="344"/>
      <c r="T12" s="344"/>
      <c r="U12" s="344"/>
      <c r="V12" s="344"/>
      <c r="W12" s="344"/>
      <c r="X12" s="344"/>
      <c r="Y12" s="344"/>
      <c r="Z12" s="344"/>
      <c r="AA12" s="344"/>
      <c r="AB12" s="344"/>
      <c r="AC12" s="344"/>
      <c r="AD12" s="344"/>
      <c r="AE12" s="344"/>
      <c r="AF12" s="344"/>
      <c r="AG12" s="344"/>
    </row>
    <row r="13">
      <c r="A13" s="350" t="s">
        <v>625</v>
      </c>
      <c r="B13" s="351"/>
      <c r="C13" s="352"/>
      <c r="D13" s="352"/>
      <c r="E13" s="352"/>
      <c r="F13" s="352"/>
      <c r="G13" s="344"/>
      <c r="H13" s="344"/>
      <c r="I13" s="344"/>
      <c r="J13" s="344"/>
      <c r="K13" s="344"/>
      <c r="L13" s="344"/>
      <c r="M13" s="344"/>
      <c r="N13" s="344"/>
      <c r="O13" s="344"/>
      <c r="P13" s="344"/>
      <c r="Q13" s="344"/>
      <c r="R13" s="344"/>
      <c r="S13" s="344"/>
      <c r="T13" s="344"/>
      <c r="U13" s="344"/>
      <c r="V13" s="344"/>
      <c r="W13" s="344"/>
      <c r="X13" s="344"/>
      <c r="Y13" s="344"/>
      <c r="Z13" s="344"/>
      <c r="AA13" s="344"/>
      <c r="AB13" s="344"/>
      <c r="AC13" s="344"/>
      <c r="AD13" s="344"/>
      <c r="AE13" s="344"/>
      <c r="AF13" s="344"/>
      <c r="AG13" s="344"/>
    </row>
    <row r="14">
      <c r="A14" s="341"/>
      <c r="B14" s="351"/>
      <c r="C14" s="352"/>
      <c r="D14" s="352"/>
      <c r="E14" s="352"/>
      <c r="F14" s="352"/>
      <c r="G14" s="344"/>
      <c r="H14" s="344"/>
      <c r="I14" s="344"/>
      <c r="J14" s="344"/>
      <c r="K14" s="344"/>
      <c r="L14" s="344"/>
      <c r="M14" s="344"/>
      <c r="N14" s="344"/>
      <c r="O14" s="344"/>
      <c r="P14" s="344"/>
      <c r="Q14" s="344"/>
      <c r="R14" s="344"/>
      <c r="S14" s="344"/>
      <c r="T14" s="344"/>
      <c r="U14" s="344"/>
      <c r="V14" s="344"/>
      <c r="W14" s="344"/>
      <c r="X14" s="344"/>
      <c r="Y14" s="344"/>
      <c r="Z14" s="344"/>
      <c r="AA14" s="344"/>
      <c r="AB14" s="344"/>
      <c r="AC14" s="344"/>
      <c r="AD14" s="344"/>
      <c r="AE14" s="344"/>
      <c r="AF14" s="344"/>
      <c r="AG14" s="344"/>
    </row>
    <row r="15">
      <c r="A15" s="341" t="s">
        <v>617</v>
      </c>
      <c r="B15" s="351"/>
      <c r="C15" s="352"/>
      <c r="D15" s="352"/>
      <c r="E15" s="352"/>
      <c r="F15" s="352"/>
      <c r="G15" s="344"/>
      <c r="H15" s="344"/>
      <c r="I15" s="344"/>
      <c r="J15" s="344"/>
      <c r="K15" s="344"/>
      <c r="L15" s="344"/>
      <c r="M15" s="344"/>
      <c r="N15" s="344"/>
      <c r="O15" s="344"/>
      <c r="P15" s="344"/>
      <c r="Q15" s="344"/>
      <c r="R15" s="344"/>
      <c r="S15" s="344"/>
      <c r="T15" s="344"/>
      <c r="U15" s="344"/>
      <c r="V15" s="344"/>
      <c r="W15" s="344"/>
      <c r="X15" s="344"/>
      <c r="Y15" s="344"/>
      <c r="Z15" s="344"/>
      <c r="AA15" s="344"/>
      <c r="AB15" s="344"/>
      <c r="AC15" s="344"/>
      <c r="AD15" s="344"/>
      <c r="AE15" s="344"/>
      <c r="AF15" s="344"/>
      <c r="AG15" s="344"/>
    </row>
    <row r="16">
      <c r="A16" s="354" t="s">
        <v>0</v>
      </c>
      <c r="B16" s="354" t="s">
        <v>270</v>
      </c>
      <c r="C16" s="355" t="s">
        <v>271</v>
      </c>
      <c r="D16" s="54"/>
      <c r="E16" s="54"/>
      <c r="F16" s="55"/>
      <c r="G16" s="344"/>
      <c r="H16" s="344"/>
      <c r="I16" s="344"/>
      <c r="J16" s="344"/>
      <c r="K16" s="344"/>
      <c r="L16" s="344"/>
      <c r="M16" s="344"/>
      <c r="N16" s="344"/>
      <c r="O16" s="344"/>
      <c r="P16" s="344"/>
      <c r="Q16" s="344"/>
      <c r="R16" s="344"/>
      <c r="S16" s="344"/>
      <c r="T16" s="344"/>
      <c r="U16" s="344"/>
      <c r="V16" s="344"/>
      <c r="W16" s="344"/>
      <c r="X16" s="344"/>
      <c r="Y16" s="344"/>
      <c r="Z16" s="344"/>
      <c r="AA16" s="344"/>
      <c r="AB16" s="344"/>
      <c r="AC16" s="344"/>
      <c r="AD16" s="344"/>
      <c r="AE16" s="344"/>
      <c r="AF16" s="344"/>
      <c r="AG16" s="344"/>
    </row>
    <row r="17">
      <c r="A17" s="56"/>
      <c r="B17" s="56"/>
      <c r="C17" s="356" t="s">
        <v>626</v>
      </c>
      <c r="D17" s="356" t="s">
        <v>627</v>
      </c>
      <c r="E17" s="356" t="s">
        <v>628</v>
      </c>
      <c r="F17" s="356" t="s">
        <v>629</v>
      </c>
      <c r="G17" s="344"/>
      <c r="H17" s="344"/>
      <c r="I17" s="344"/>
      <c r="J17" s="344"/>
      <c r="K17" s="344"/>
      <c r="L17" s="344"/>
      <c r="M17" s="344"/>
      <c r="N17" s="344"/>
      <c r="O17" s="344"/>
      <c r="P17" s="344"/>
      <c r="Q17" s="344"/>
      <c r="R17" s="344"/>
      <c r="S17" s="344"/>
      <c r="T17" s="344"/>
      <c r="U17" s="344"/>
      <c r="V17" s="344"/>
      <c r="W17" s="344"/>
      <c r="X17" s="344"/>
      <c r="Y17" s="344"/>
      <c r="Z17" s="344"/>
      <c r="AA17" s="344"/>
      <c r="AB17" s="344"/>
      <c r="AC17" s="344"/>
      <c r="AD17" s="344"/>
      <c r="AE17" s="344"/>
      <c r="AF17" s="344"/>
      <c r="AG17" s="344"/>
    </row>
    <row r="18">
      <c r="A18" s="357">
        <v>1.0</v>
      </c>
      <c r="B18" s="358" t="s">
        <v>535</v>
      </c>
      <c r="C18" s="144" t="s">
        <v>283</v>
      </c>
      <c r="D18" s="186"/>
      <c r="E18" s="186" t="s">
        <v>630</v>
      </c>
      <c r="F18" s="359">
        <v>42369.0</v>
      </c>
      <c r="G18" s="344"/>
      <c r="H18" s="344"/>
      <c r="I18" s="344"/>
      <c r="J18" s="344"/>
      <c r="K18" s="344"/>
      <c r="L18" s="344"/>
      <c r="M18" s="344"/>
      <c r="N18" s="344"/>
      <c r="O18" s="344"/>
      <c r="P18" s="344"/>
      <c r="Q18" s="344"/>
      <c r="R18" s="344"/>
      <c r="S18" s="344"/>
      <c r="T18" s="344"/>
      <c r="U18" s="344"/>
      <c r="V18" s="344"/>
      <c r="W18" s="344"/>
      <c r="X18" s="344"/>
      <c r="Y18" s="344"/>
      <c r="Z18" s="344"/>
      <c r="AA18" s="344"/>
      <c r="AB18" s="344"/>
      <c r="AC18" s="344"/>
      <c r="AD18" s="344"/>
      <c r="AE18" s="344"/>
      <c r="AF18" s="344"/>
      <c r="AG18" s="344"/>
    </row>
    <row r="19">
      <c r="A19" s="357">
        <v>2.0</v>
      </c>
      <c r="B19" s="358" t="s">
        <v>539</v>
      </c>
      <c r="C19" s="144" t="s">
        <v>283</v>
      </c>
      <c r="D19" s="186" t="s">
        <v>631</v>
      </c>
      <c r="E19" s="186" t="s">
        <v>632</v>
      </c>
      <c r="F19" s="360">
        <v>42538.0</v>
      </c>
      <c r="G19" s="361"/>
      <c r="H19" s="344"/>
      <c r="I19" s="344"/>
      <c r="J19" s="344"/>
      <c r="K19" s="344"/>
      <c r="L19" s="344"/>
      <c r="M19" s="344"/>
      <c r="N19" s="344"/>
      <c r="O19" s="344"/>
      <c r="P19" s="344"/>
      <c r="Q19" s="344"/>
      <c r="R19" s="344"/>
      <c r="S19" s="344"/>
      <c r="T19" s="344"/>
      <c r="U19" s="344"/>
      <c r="V19" s="344"/>
      <c r="W19" s="344"/>
      <c r="X19" s="344"/>
      <c r="Y19" s="344"/>
      <c r="Z19" s="344"/>
      <c r="AA19" s="344"/>
      <c r="AB19" s="344"/>
      <c r="AC19" s="344"/>
      <c r="AD19" s="344"/>
      <c r="AE19" s="344"/>
      <c r="AF19" s="344"/>
      <c r="AG19" s="344"/>
    </row>
    <row r="20">
      <c r="A20" s="357">
        <v>3.0</v>
      </c>
      <c r="B20" s="358" t="s">
        <v>540</v>
      </c>
      <c r="C20" s="144" t="s">
        <v>283</v>
      </c>
      <c r="D20" s="186" t="s">
        <v>633</v>
      </c>
      <c r="E20" s="186" t="s">
        <v>634</v>
      </c>
      <c r="F20" s="359">
        <v>42327.0</v>
      </c>
      <c r="G20" s="361"/>
      <c r="H20" s="344"/>
      <c r="I20" s="344"/>
      <c r="J20" s="344"/>
      <c r="K20" s="344"/>
      <c r="L20" s="344"/>
      <c r="M20" s="344"/>
      <c r="N20" s="344"/>
      <c r="O20" s="344"/>
      <c r="P20" s="344"/>
      <c r="Q20" s="344"/>
      <c r="R20" s="344"/>
      <c r="S20" s="344"/>
      <c r="T20" s="344"/>
      <c r="U20" s="344"/>
      <c r="V20" s="344"/>
      <c r="W20" s="344"/>
      <c r="X20" s="344"/>
      <c r="Y20" s="344"/>
      <c r="Z20" s="344"/>
      <c r="AA20" s="344"/>
      <c r="AB20" s="344"/>
      <c r="AC20" s="344"/>
      <c r="AD20" s="344"/>
      <c r="AE20" s="344"/>
      <c r="AF20" s="344"/>
      <c r="AG20" s="344"/>
    </row>
    <row r="21">
      <c r="A21" s="357">
        <v>4.0</v>
      </c>
      <c r="B21" s="358" t="s">
        <v>542</v>
      </c>
      <c r="C21" s="144" t="s">
        <v>283</v>
      </c>
      <c r="D21" s="186" t="s">
        <v>635</v>
      </c>
      <c r="E21" s="186" t="s">
        <v>636</v>
      </c>
      <c r="F21" s="360">
        <v>42865.0</v>
      </c>
      <c r="G21" s="344"/>
      <c r="H21" s="344"/>
      <c r="I21" s="344"/>
      <c r="J21" s="344"/>
      <c r="K21" s="344"/>
      <c r="L21" s="344"/>
      <c r="M21" s="344"/>
      <c r="N21" s="344"/>
      <c r="O21" s="344"/>
      <c r="P21" s="344"/>
      <c r="Q21" s="344"/>
      <c r="R21" s="344"/>
      <c r="S21" s="344"/>
      <c r="T21" s="344"/>
      <c r="U21" s="344"/>
      <c r="V21" s="344"/>
      <c r="W21" s="344"/>
      <c r="X21" s="344"/>
      <c r="Y21" s="344"/>
      <c r="Z21" s="344"/>
      <c r="AA21" s="344"/>
      <c r="AB21" s="344"/>
      <c r="AC21" s="344"/>
      <c r="AD21" s="344"/>
      <c r="AE21" s="344"/>
      <c r="AF21" s="344"/>
      <c r="AG21" s="344"/>
    </row>
    <row r="22">
      <c r="A22" s="357">
        <v>5.0</v>
      </c>
      <c r="B22" s="358" t="s">
        <v>637</v>
      </c>
      <c r="C22" s="144" t="s">
        <v>283</v>
      </c>
      <c r="D22" s="186" t="s">
        <v>638</v>
      </c>
      <c r="E22" s="186" t="s">
        <v>632</v>
      </c>
      <c r="F22" s="360">
        <v>43700.0</v>
      </c>
      <c r="G22" s="344"/>
      <c r="H22" s="344"/>
      <c r="I22" s="344"/>
      <c r="J22" s="344"/>
      <c r="K22" s="344"/>
      <c r="L22" s="344"/>
      <c r="M22" s="344"/>
      <c r="N22" s="344"/>
      <c r="O22" s="344"/>
      <c r="P22" s="344"/>
      <c r="Q22" s="344"/>
      <c r="R22" s="344"/>
      <c r="S22" s="344"/>
      <c r="T22" s="344"/>
      <c r="U22" s="344"/>
      <c r="V22" s="344"/>
      <c r="W22" s="344"/>
      <c r="X22" s="344"/>
      <c r="Y22" s="344"/>
      <c r="Z22" s="344"/>
      <c r="AA22" s="344"/>
      <c r="AB22" s="344"/>
      <c r="AC22" s="344"/>
      <c r="AD22" s="344"/>
      <c r="AE22" s="344"/>
      <c r="AF22" s="344"/>
      <c r="AG22" s="344"/>
    </row>
    <row r="23">
      <c r="A23" s="357">
        <v>6.0</v>
      </c>
      <c r="B23" s="358" t="s">
        <v>639</v>
      </c>
      <c r="C23" s="144" t="s">
        <v>283</v>
      </c>
      <c r="D23" s="186" t="s">
        <v>640</v>
      </c>
      <c r="E23" s="186" t="s">
        <v>641</v>
      </c>
      <c r="F23" s="360">
        <v>42275.0</v>
      </c>
      <c r="G23" s="344"/>
      <c r="H23" s="344"/>
      <c r="I23" s="344"/>
      <c r="J23" s="344"/>
      <c r="K23" s="344"/>
      <c r="L23" s="344"/>
      <c r="M23" s="344"/>
      <c r="N23" s="344"/>
      <c r="O23" s="344"/>
      <c r="P23" s="344"/>
      <c r="Q23" s="344"/>
      <c r="R23" s="344"/>
      <c r="S23" s="344"/>
      <c r="T23" s="344"/>
      <c r="U23" s="344"/>
      <c r="V23" s="344"/>
      <c r="W23" s="344"/>
      <c r="X23" s="344"/>
      <c r="Y23" s="344"/>
      <c r="Z23" s="344"/>
      <c r="AA23" s="344"/>
      <c r="AB23" s="344"/>
      <c r="AC23" s="344"/>
      <c r="AD23" s="344"/>
      <c r="AE23" s="344"/>
      <c r="AF23" s="344"/>
      <c r="AG23" s="344"/>
    </row>
    <row r="24">
      <c r="A24" s="357">
        <v>7.0</v>
      </c>
      <c r="B24" s="358" t="s">
        <v>642</v>
      </c>
      <c r="C24" s="144" t="s">
        <v>283</v>
      </c>
      <c r="D24" s="186" t="s">
        <v>633</v>
      </c>
      <c r="E24" s="186" t="s">
        <v>634</v>
      </c>
      <c r="F24" s="359">
        <v>42004.0</v>
      </c>
      <c r="G24" s="344"/>
      <c r="H24" s="344"/>
      <c r="I24" s="344"/>
      <c r="J24" s="344"/>
      <c r="K24" s="344"/>
      <c r="L24" s="344"/>
      <c r="M24" s="344"/>
      <c r="N24" s="344"/>
      <c r="O24" s="344"/>
      <c r="P24" s="344"/>
      <c r="Q24" s="344"/>
      <c r="R24" s="344"/>
      <c r="S24" s="344"/>
      <c r="T24" s="344"/>
      <c r="U24" s="344"/>
      <c r="V24" s="344"/>
      <c r="W24" s="344"/>
      <c r="X24" s="344"/>
      <c r="Y24" s="344"/>
      <c r="Z24" s="344"/>
      <c r="AA24" s="344"/>
      <c r="AB24" s="344"/>
      <c r="AC24" s="344"/>
      <c r="AD24" s="344"/>
      <c r="AE24" s="344"/>
      <c r="AF24" s="344"/>
      <c r="AG24" s="344"/>
    </row>
    <row r="25">
      <c r="A25" s="357">
        <v>8.0</v>
      </c>
      <c r="B25" s="358" t="s">
        <v>544</v>
      </c>
      <c r="C25" s="144" t="s">
        <v>283</v>
      </c>
      <c r="D25" s="186"/>
      <c r="E25" s="186" t="s">
        <v>643</v>
      </c>
      <c r="F25" s="359">
        <v>42735.0</v>
      </c>
      <c r="G25" s="344"/>
      <c r="H25" s="344"/>
      <c r="I25" s="344"/>
      <c r="J25" s="344"/>
      <c r="K25" s="344"/>
      <c r="L25" s="344"/>
      <c r="M25" s="344"/>
      <c r="N25" s="344"/>
      <c r="O25" s="344"/>
      <c r="P25" s="344"/>
      <c r="Q25" s="344"/>
      <c r="R25" s="344"/>
      <c r="S25" s="344"/>
      <c r="T25" s="344"/>
      <c r="U25" s="344"/>
      <c r="V25" s="344"/>
      <c r="W25" s="344"/>
      <c r="X25" s="344"/>
      <c r="Y25" s="344"/>
      <c r="Z25" s="344"/>
      <c r="AA25" s="344"/>
      <c r="AB25" s="344"/>
      <c r="AC25" s="344"/>
      <c r="AD25" s="344"/>
      <c r="AE25" s="344"/>
      <c r="AF25" s="344"/>
      <c r="AG25" s="344"/>
    </row>
    <row r="26">
      <c r="A26" s="357">
        <v>9.0</v>
      </c>
      <c r="B26" s="358" t="s">
        <v>545</v>
      </c>
      <c r="C26" s="144" t="s">
        <v>283</v>
      </c>
      <c r="D26" s="186" t="s">
        <v>631</v>
      </c>
      <c r="E26" s="186" t="s">
        <v>644</v>
      </c>
      <c r="F26" s="359">
        <v>40543.0</v>
      </c>
      <c r="G26" s="344"/>
      <c r="H26" s="344"/>
      <c r="I26" s="344"/>
      <c r="J26" s="344"/>
      <c r="K26" s="344"/>
      <c r="L26" s="344"/>
      <c r="M26" s="344"/>
      <c r="N26" s="344"/>
      <c r="O26" s="344"/>
      <c r="P26" s="344"/>
      <c r="Q26" s="344"/>
      <c r="R26" s="344"/>
      <c r="S26" s="344"/>
      <c r="T26" s="344"/>
      <c r="U26" s="344"/>
      <c r="V26" s="344"/>
      <c r="W26" s="344"/>
      <c r="X26" s="344"/>
      <c r="Y26" s="344"/>
      <c r="Z26" s="344"/>
      <c r="AA26" s="344"/>
      <c r="AB26" s="344"/>
      <c r="AC26" s="344"/>
      <c r="AD26" s="344"/>
      <c r="AE26" s="344"/>
      <c r="AF26" s="344"/>
      <c r="AG26" s="344"/>
    </row>
    <row r="27">
      <c r="A27" s="357">
        <v>10.0</v>
      </c>
      <c r="B27" s="358" t="s">
        <v>645</v>
      </c>
      <c r="C27" s="144" t="s">
        <v>283</v>
      </c>
      <c r="D27" s="186" t="s">
        <v>640</v>
      </c>
      <c r="E27" s="186" t="s">
        <v>646</v>
      </c>
      <c r="F27" s="360">
        <v>42030.0</v>
      </c>
      <c r="G27" s="344"/>
      <c r="H27" s="344"/>
      <c r="I27" s="344"/>
      <c r="J27" s="344"/>
      <c r="K27" s="344"/>
      <c r="L27" s="344"/>
      <c r="M27" s="344"/>
      <c r="N27" s="344"/>
      <c r="O27" s="344"/>
      <c r="P27" s="344"/>
      <c r="Q27" s="344"/>
      <c r="R27" s="344"/>
      <c r="S27" s="344"/>
      <c r="T27" s="344"/>
      <c r="U27" s="344"/>
      <c r="V27" s="344"/>
      <c r="W27" s="344"/>
      <c r="X27" s="344"/>
      <c r="Y27" s="344"/>
      <c r="Z27" s="344"/>
      <c r="AA27" s="344"/>
      <c r="AB27" s="344"/>
      <c r="AC27" s="344"/>
      <c r="AD27" s="344"/>
      <c r="AE27" s="344"/>
      <c r="AF27" s="344"/>
      <c r="AG27" s="344"/>
    </row>
    <row r="28">
      <c r="A28" s="357">
        <v>11.0</v>
      </c>
      <c r="B28" s="358" t="s">
        <v>647</v>
      </c>
      <c r="C28" s="144" t="s">
        <v>283</v>
      </c>
      <c r="D28" s="186" t="s">
        <v>648</v>
      </c>
      <c r="E28" s="186" t="s">
        <v>649</v>
      </c>
      <c r="F28" s="360">
        <v>42411.0</v>
      </c>
      <c r="G28" s="344"/>
      <c r="H28" s="344"/>
      <c r="I28" s="344"/>
      <c r="J28" s="344"/>
      <c r="K28" s="344"/>
      <c r="L28" s="344"/>
      <c r="M28" s="344"/>
      <c r="N28" s="344"/>
      <c r="O28" s="344"/>
      <c r="P28" s="344"/>
      <c r="Q28" s="344"/>
      <c r="R28" s="344"/>
      <c r="S28" s="344"/>
      <c r="T28" s="344"/>
      <c r="U28" s="344"/>
      <c r="V28" s="344"/>
      <c r="W28" s="344"/>
      <c r="X28" s="344"/>
      <c r="Y28" s="344"/>
      <c r="Z28" s="344"/>
      <c r="AA28" s="344"/>
      <c r="AB28" s="344"/>
      <c r="AC28" s="344"/>
      <c r="AD28" s="344"/>
      <c r="AE28" s="344"/>
      <c r="AF28" s="344"/>
      <c r="AG28" s="344"/>
    </row>
    <row r="29">
      <c r="A29" s="357">
        <v>12.0</v>
      </c>
      <c r="B29" s="358" t="s">
        <v>547</v>
      </c>
      <c r="C29" s="144" t="s">
        <v>283</v>
      </c>
      <c r="D29" s="186" t="s">
        <v>650</v>
      </c>
      <c r="E29" s="186" t="s">
        <v>651</v>
      </c>
      <c r="F29" s="360">
        <v>43745.0</v>
      </c>
      <c r="G29" s="344"/>
      <c r="H29" s="344"/>
      <c r="I29" s="344"/>
      <c r="J29" s="344"/>
      <c r="K29" s="344"/>
      <c r="L29" s="344"/>
      <c r="M29" s="344"/>
      <c r="N29" s="344"/>
      <c r="O29" s="344"/>
      <c r="P29" s="344"/>
      <c r="Q29" s="344"/>
      <c r="R29" s="344"/>
      <c r="S29" s="344"/>
      <c r="T29" s="344"/>
      <c r="U29" s="344"/>
      <c r="V29" s="344"/>
      <c r="W29" s="344"/>
      <c r="X29" s="344"/>
      <c r="Y29" s="344"/>
      <c r="Z29" s="344"/>
      <c r="AA29" s="344"/>
      <c r="AB29" s="344"/>
      <c r="AC29" s="344"/>
      <c r="AD29" s="344"/>
      <c r="AE29" s="344"/>
      <c r="AF29" s="344"/>
      <c r="AG29" s="344"/>
    </row>
    <row r="30">
      <c r="A30" s="357">
        <v>13.0</v>
      </c>
      <c r="B30" s="358" t="s">
        <v>548</v>
      </c>
      <c r="C30" s="144" t="s">
        <v>283</v>
      </c>
      <c r="D30" s="186" t="s">
        <v>652</v>
      </c>
      <c r="E30" s="186" t="s">
        <v>653</v>
      </c>
      <c r="F30" s="359">
        <v>40526.0</v>
      </c>
      <c r="G30" s="344"/>
      <c r="H30" s="344"/>
      <c r="I30" s="344"/>
      <c r="J30" s="344"/>
      <c r="K30" s="344"/>
      <c r="L30" s="344"/>
      <c r="M30" s="344"/>
      <c r="N30" s="344"/>
      <c r="O30" s="344"/>
      <c r="P30" s="344"/>
      <c r="Q30" s="344"/>
      <c r="R30" s="344"/>
      <c r="S30" s="344"/>
      <c r="T30" s="344"/>
      <c r="U30" s="344"/>
      <c r="V30" s="344"/>
      <c r="W30" s="344"/>
      <c r="X30" s="344"/>
      <c r="Y30" s="344"/>
      <c r="Z30" s="344"/>
      <c r="AA30" s="344"/>
      <c r="AB30" s="344"/>
      <c r="AC30" s="344"/>
      <c r="AD30" s="344"/>
      <c r="AE30" s="344"/>
      <c r="AF30" s="344"/>
      <c r="AG30" s="344"/>
    </row>
    <row r="31">
      <c r="A31" s="357">
        <v>14.0</v>
      </c>
      <c r="B31" s="358" t="s">
        <v>549</v>
      </c>
      <c r="C31" s="144" t="s">
        <v>283</v>
      </c>
      <c r="D31" s="186" t="s">
        <v>633</v>
      </c>
      <c r="E31" s="186" t="s">
        <v>634</v>
      </c>
      <c r="F31" s="359">
        <v>43465.0</v>
      </c>
      <c r="G31" s="344"/>
      <c r="H31" s="344"/>
      <c r="I31" s="344"/>
      <c r="J31" s="344"/>
      <c r="K31" s="344"/>
      <c r="L31" s="344"/>
      <c r="M31" s="344"/>
      <c r="N31" s="344"/>
      <c r="O31" s="344"/>
      <c r="P31" s="344"/>
      <c r="Q31" s="344"/>
      <c r="R31" s="344"/>
      <c r="S31" s="344"/>
      <c r="T31" s="344"/>
      <c r="U31" s="344"/>
      <c r="V31" s="344"/>
      <c r="W31" s="344"/>
      <c r="X31" s="344"/>
      <c r="Y31" s="344"/>
      <c r="Z31" s="344"/>
      <c r="AA31" s="344"/>
      <c r="AB31" s="344"/>
      <c r="AC31" s="344"/>
      <c r="AD31" s="344"/>
      <c r="AE31" s="344"/>
      <c r="AF31" s="344"/>
      <c r="AG31" s="344"/>
    </row>
    <row r="32">
      <c r="A32" s="357">
        <v>15.0</v>
      </c>
      <c r="B32" s="358" t="s">
        <v>561</v>
      </c>
      <c r="C32" s="144" t="s">
        <v>304</v>
      </c>
      <c r="D32" s="186" t="s">
        <v>654</v>
      </c>
      <c r="E32" s="186" t="s">
        <v>655</v>
      </c>
      <c r="F32" s="360">
        <v>43979.0</v>
      </c>
      <c r="G32" s="344"/>
      <c r="H32" s="344"/>
      <c r="I32" s="344"/>
      <c r="J32" s="344"/>
      <c r="K32" s="344"/>
      <c r="L32" s="344"/>
      <c r="M32" s="344"/>
      <c r="N32" s="344"/>
      <c r="O32" s="344"/>
      <c r="P32" s="344"/>
      <c r="Q32" s="344"/>
      <c r="R32" s="344"/>
      <c r="S32" s="344"/>
      <c r="T32" s="344"/>
      <c r="U32" s="344"/>
      <c r="V32" s="344"/>
      <c r="W32" s="344"/>
      <c r="X32" s="344"/>
      <c r="Y32" s="344"/>
      <c r="Z32" s="344"/>
      <c r="AA32" s="344"/>
      <c r="AB32" s="344"/>
      <c r="AC32" s="344"/>
      <c r="AD32" s="344"/>
      <c r="AE32" s="344"/>
      <c r="AF32" s="344"/>
      <c r="AG32" s="344"/>
    </row>
    <row r="33">
      <c r="A33" s="357">
        <v>16.0</v>
      </c>
      <c r="B33" s="358" t="s">
        <v>551</v>
      </c>
      <c r="C33" s="144" t="s">
        <v>283</v>
      </c>
      <c r="D33" s="186" t="s">
        <v>656</v>
      </c>
      <c r="E33" s="186" t="s">
        <v>657</v>
      </c>
      <c r="F33" s="359">
        <v>40178.0</v>
      </c>
      <c r="G33" s="344"/>
      <c r="H33" s="344"/>
      <c r="I33" s="344"/>
      <c r="J33" s="344"/>
      <c r="K33" s="344"/>
      <c r="L33" s="344"/>
      <c r="M33" s="344"/>
      <c r="N33" s="344"/>
      <c r="O33" s="344"/>
      <c r="P33" s="344"/>
      <c r="Q33" s="344"/>
      <c r="R33" s="344"/>
      <c r="S33" s="344"/>
      <c r="T33" s="344"/>
      <c r="U33" s="344"/>
      <c r="V33" s="344"/>
      <c r="W33" s="344"/>
      <c r="X33" s="344"/>
      <c r="Y33" s="344"/>
      <c r="Z33" s="344"/>
      <c r="AA33" s="344"/>
      <c r="AB33" s="344"/>
      <c r="AC33" s="344"/>
      <c r="AD33" s="344"/>
      <c r="AE33" s="344"/>
      <c r="AF33" s="344"/>
      <c r="AG33" s="344"/>
    </row>
    <row r="34">
      <c r="A34" s="357">
        <v>17.0</v>
      </c>
      <c r="B34" s="358" t="s">
        <v>592</v>
      </c>
      <c r="C34" s="144" t="s">
        <v>304</v>
      </c>
      <c r="D34" s="186" t="s">
        <v>658</v>
      </c>
      <c r="E34" s="186" t="s">
        <v>659</v>
      </c>
      <c r="F34" s="360">
        <v>41541.0</v>
      </c>
      <c r="G34" s="344"/>
      <c r="H34" s="344"/>
      <c r="I34" s="344"/>
      <c r="J34" s="344"/>
      <c r="K34" s="344"/>
      <c r="L34" s="344"/>
      <c r="M34" s="344"/>
      <c r="N34" s="344"/>
      <c r="O34" s="344"/>
      <c r="P34" s="344"/>
      <c r="Q34" s="344"/>
      <c r="R34" s="344"/>
      <c r="S34" s="344"/>
      <c r="T34" s="344"/>
      <c r="U34" s="344"/>
      <c r="V34" s="344"/>
      <c r="W34" s="344"/>
      <c r="X34" s="344"/>
      <c r="Y34" s="344"/>
      <c r="Z34" s="344"/>
      <c r="AA34" s="344"/>
      <c r="AB34" s="344"/>
      <c r="AC34" s="344"/>
      <c r="AD34" s="344"/>
      <c r="AE34" s="344"/>
      <c r="AF34" s="344"/>
      <c r="AG34" s="344"/>
    </row>
    <row r="35">
      <c r="A35" s="357">
        <v>18.0</v>
      </c>
      <c r="B35" s="358" t="s">
        <v>552</v>
      </c>
      <c r="C35" s="144" t="s">
        <v>283</v>
      </c>
      <c r="D35" s="186" t="s">
        <v>660</v>
      </c>
      <c r="E35" s="186" t="s">
        <v>661</v>
      </c>
      <c r="F35" s="359">
        <v>43100.0</v>
      </c>
      <c r="G35" s="344"/>
      <c r="H35" s="344"/>
      <c r="I35" s="344"/>
      <c r="J35" s="344"/>
      <c r="K35" s="344"/>
      <c r="L35" s="344"/>
      <c r="M35" s="344"/>
      <c r="N35" s="344"/>
      <c r="O35" s="344"/>
      <c r="P35" s="344"/>
      <c r="Q35" s="344"/>
      <c r="R35" s="344"/>
      <c r="S35" s="344"/>
      <c r="T35" s="344"/>
      <c r="U35" s="344"/>
      <c r="V35" s="344"/>
      <c r="W35" s="344"/>
      <c r="X35" s="344"/>
      <c r="Y35" s="344"/>
      <c r="Z35" s="344"/>
      <c r="AA35" s="344"/>
      <c r="AB35" s="344"/>
      <c r="AC35" s="344"/>
      <c r="AD35" s="344"/>
      <c r="AE35" s="344"/>
      <c r="AF35" s="344"/>
      <c r="AG35" s="344"/>
    </row>
    <row r="36">
      <c r="A36" s="357">
        <v>19.0</v>
      </c>
      <c r="B36" s="358" t="s">
        <v>553</v>
      </c>
      <c r="C36" s="144" t="s">
        <v>283</v>
      </c>
      <c r="D36" s="186" t="s">
        <v>662</v>
      </c>
      <c r="E36" s="186" t="s">
        <v>634</v>
      </c>
      <c r="F36" s="360">
        <v>42548.0</v>
      </c>
      <c r="G36" s="344"/>
      <c r="H36" s="344"/>
      <c r="I36" s="344"/>
      <c r="J36" s="344"/>
      <c r="K36" s="344"/>
      <c r="L36" s="344"/>
      <c r="M36" s="344"/>
      <c r="N36" s="344"/>
      <c r="O36" s="344"/>
      <c r="P36" s="344"/>
      <c r="Q36" s="344"/>
      <c r="R36" s="344"/>
      <c r="S36" s="344"/>
      <c r="T36" s="344"/>
      <c r="U36" s="344"/>
      <c r="V36" s="344"/>
      <c r="W36" s="344"/>
      <c r="X36" s="344"/>
      <c r="Y36" s="344"/>
      <c r="Z36" s="344"/>
      <c r="AA36" s="344"/>
      <c r="AB36" s="344"/>
      <c r="AC36" s="344"/>
      <c r="AD36" s="344"/>
      <c r="AE36" s="344"/>
      <c r="AF36" s="344"/>
      <c r="AG36" s="344"/>
    </row>
    <row r="37">
      <c r="A37" s="357">
        <v>20.0</v>
      </c>
      <c r="B37" s="358" t="s">
        <v>576</v>
      </c>
      <c r="C37" s="144" t="s">
        <v>283</v>
      </c>
      <c r="D37" s="186"/>
      <c r="E37" s="186" t="s">
        <v>657</v>
      </c>
      <c r="F37" s="360">
        <v>39902.0</v>
      </c>
      <c r="G37" s="344"/>
      <c r="H37" s="344"/>
      <c r="I37" s="344"/>
      <c r="J37" s="344"/>
      <c r="K37" s="344"/>
      <c r="L37" s="344"/>
      <c r="M37" s="344"/>
      <c r="N37" s="344"/>
      <c r="O37" s="344"/>
      <c r="P37" s="344"/>
      <c r="Q37" s="344"/>
      <c r="R37" s="344"/>
      <c r="S37" s="344"/>
      <c r="T37" s="344"/>
      <c r="U37" s="344"/>
      <c r="V37" s="344"/>
      <c r="W37" s="344"/>
      <c r="X37" s="344"/>
      <c r="Y37" s="344"/>
      <c r="Z37" s="344"/>
      <c r="AA37" s="344"/>
      <c r="AB37" s="344"/>
      <c r="AC37" s="344"/>
      <c r="AD37" s="344"/>
      <c r="AE37" s="344"/>
      <c r="AF37" s="344"/>
      <c r="AG37" s="344"/>
    </row>
    <row r="38">
      <c r="A38" s="357">
        <v>21.0</v>
      </c>
      <c r="B38" s="358" t="s">
        <v>554</v>
      </c>
      <c r="C38" s="144" t="s">
        <v>283</v>
      </c>
      <c r="D38" s="186" t="s">
        <v>663</v>
      </c>
      <c r="E38" s="186" t="s">
        <v>634</v>
      </c>
      <c r="F38" s="360">
        <v>41134.0</v>
      </c>
      <c r="G38" s="344"/>
      <c r="H38" s="344"/>
      <c r="I38" s="344"/>
      <c r="J38" s="344"/>
      <c r="K38" s="344"/>
      <c r="L38" s="344"/>
      <c r="M38" s="344"/>
      <c r="N38" s="344"/>
      <c r="O38" s="344"/>
      <c r="P38" s="344"/>
      <c r="Q38" s="344"/>
      <c r="R38" s="344"/>
      <c r="S38" s="344"/>
      <c r="T38" s="344"/>
      <c r="U38" s="344"/>
      <c r="V38" s="344"/>
      <c r="W38" s="344"/>
      <c r="X38" s="344"/>
      <c r="Y38" s="344"/>
      <c r="Z38" s="344"/>
      <c r="AA38" s="344"/>
      <c r="AB38" s="344"/>
      <c r="AC38" s="344"/>
      <c r="AD38" s="344"/>
      <c r="AE38" s="344"/>
      <c r="AF38" s="344"/>
      <c r="AG38" s="344"/>
    </row>
    <row r="39">
      <c r="A39" s="357">
        <v>22.0</v>
      </c>
      <c r="B39" s="358" t="s">
        <v>555</v>
      </c>
      <c r="C39" s="144" t="s">
        <v>283</v>
      </c>
      <c r="D39" s="186" t="s">
        <v>660</v>
      </c>
      <c r="E39" s="186" t="s">
        <v>649</v>
      </c>
      <c r="F39" s="360">
        <v>42240.0</v>
      </c>
      <c r="G39" s="344"/>
      <c r="H39" s="344"/>
      <c r="I39" s="344"/>
      <c r="J39" s="344"/>
      <c r="K39" s="344"/>
      <c r="L39" s="344"/>
      <c r="M39" s="344"/>
      <c r="N39" s="344"/>
      <c r="O39" s="344"/>
      <c r="P39" s="344"/>
      <c r="Q39" s="344"/>
      <c r="R39" s="344"/>
      <c r="S39" s="344"/>
      <c r="T39" s="344"/>
      <c r="U39" s="344"/>
      <c r="V39" s="344"/>
      <c r="W39" s="344"/>
      <c r="X39" s="344"/>
      <c r="Y39" s="344"/>
      <c r="Z39" s="344"/>
      <c r="AA39" s="344"/>
      <c r="AB39" s="344"/>
      <c r="AC39" s="344"/>
      <c r="AD39" s="344"/>
      <c r="AE39" s="344"/>
      <c r="AF39" s="344"/>
      <c r="AG39" s="344"/>
    </row>
    <row r="40">
      <c r="A40" s="357">
        <v>23.0</v>
      </c>
      <c r="B40" s="358" t="s">
        <v>556</v>
      </c>
      <c r="C40" s="144" t="s">
        <v>283</v>
      </c>
      <c r="D40" s="186" t="s">
        <v>664</v>
      </c>
      <c r="E40" s="186" t="s">
        <v>665</v>
      </c>
      <c r="F40" s="359">
        <v>42333.0</v>
      </c>
      <c r="G40" s="344"/>
      <c r="H40" s="344"/>
      <c r="I40" s="344"/>
      <c r="J40" s="344"/>
      <c r="K40" s="344"/>
      <c r="L40" s="344"/>
      <c r="M40" s="344"/>
      <c r="N40" s="344"/>
      <c r="O40" s="344"/>
      <c r="P40" s="344"/>
      <c r="Q40" s="344"/>
      <c r="R40" s="344"/>
      <c r="S40" s="344"/>
      <c r="T40" s="344"/>
      <c r="U40" s="344"/>
      <c r="V40" s="344"/>
      <c r="W40" s="344"/>
      <c r="X40" s="344"/>
      <c r="Y40" s="344"/>
      <c r="Z40" s="344"/>
      <c r="AA40" s="344"/>
      <c r="AB40" s="344"/>
      <c r="AC40" s="344"/>
      <c r="AD40" s="344"/>
      <c r="AE40" s="344"/>
      <c r="AF40" s="344"/>
      <c r="AG40" s="344"/>
    </row>
    <row r="41">
      <c r="A41" s="357">
        <v>24.0</v>
      </c>
      <c r="B41" s="358" t="s">
        <v>557</v>
      </c>
      <c r="C41" s="144" t="s">
        <v>283</v>
      </c>
      <c r="D41" s="186" t="s">
        <v>660</v>
      </c>
      <c r="E41" s="186" t="s">
        <v>649</v>
      </c>
      <c r="F41" s="360">
        <v>42775.0</v>
      </c>
      <c r="G41" s="344"/>
      <c r="H41" s="344"/>
      <c r="I41" s="344"/>
      <c r="J41" s="344"/>
      <c r="K41" s="344"/>
      <c r="L41" s="344"/>
      <c r="M41" s="344"/>
      <c r="N41" s="344"/>
      <c r="O41" s="344"/>
      <c r="P41" s="344"/>
      <c r="Q41" s="344"/>
      <c r="R41" s="344"/>
      <c r="S41" s="344"/>
      <c r="T41" s="344"/>
      <c r="U41" s="344"/>
      <c r="V41" s="344"/>
      <c r="W41" s="344"/>
      <c r="X41" s="344"/>
      <c r="Y41" s="344"/>
      <c r="Z41" s="344"/>
      <c r="AA41" s="344"/>
      <c r="AB41" s="344"/>
      <c r="AC41" s="344"/>
      <c r="AD41" s="344"/>
      <c r="AE41" s="344"/>
      <c r="AF41" s="344"/>
      <c r="AG41" s="344"/>
    </row>
    <row r="42">
      <c r="A42" s="357">
        <v>25.0</v>
      </c>
      <c r="B42" s="358" t="s">
        <v>558</v>
      </c>
      <c r="C42" s="144" t="s">
        <v>283</v>
      </c>
      <c r="D42" s="186" t="s">
        <v>633</v>
      </c>
      <c r="E42" s="186" t="s">
        <v>634</v>
      </c>
      <c r="F42" s="360">
        <v>41673.0</v>
      </c>
      <c r="G42" s="344"/>
      <c r="H42" s="344"/>
      <c r="I42" s="344"/>
      <c r="J42" s="344"/>
      <c r="K42" s="344"/>
      <c r="L42" s="344"/>
      <c r="M42" s="344"/>
      <c r="N42" s="344"/>
      <c r="O42" s="344"/>
      <c r="P42" s="344"/>
      <c r="Q42" s="344"/>
      <c r="R42" s="344"/>
      <c r="S42" s="344"/>
      <c r="T42" s="344"/>
      <c r="U42" s="344"/>
      <c r="V42" s="344"/>
      <c r="W42" s="344"/>
      <c r="X42" s="344"/>
      <c r="Y42" s="344"/>
      <c r="Z42" s="344"/>
      <c r="AA42" s="344"/>
      <c r="AB42" s="344"/>
      <c r="AC42" s="344"/>
      <c r="AD42" s="344"/>
      <c r="AE42" s="344"/>
      <c r="AF42" s="344"/>
      <c r="AG42" s="344"/>
    </row>
    <row r="43">
      <c r="A43" s="357">
        <v>26.0</v>
      </c>
      <c r="B43" s="358" t="s">
        <v>559</v>
      </c>
      <c r="C43" s="144" t="s">
        <v>283</v>
      </c>
      <c r="D43" s="186" t="s">
        <v>664</v>
      </c>
      <c r="E43" s="186" t="s">
        <v>665</v>
      </c>
      <c r="F43" s="359">
        <v>42333.0</v>
      </c>
      <c r="G43" s="344"/>
      <c r="H43" s="344"/>
      <c r="I43" s="344"/>
      <c r="J43" s="344"/>
      <c r="K43" s="344"/>
      <c r="L43" s="344"/>
      <c r="M43" s="344"/>
      <c r="N43" s="344"/>
      <c r="O43" s="344"/>
      <c r="P43" s="344"/>
      <c r="Q43" s="344"/>
      <c r="R43" s="344"/>
      <c r="S43" s="344"/>
      <c r="T43" s="344"/>
      <c r="U43" s="344"/>
      <c r="V43" s="344"/>
      <c r="W43" s="344"/>
      <c r="X43" s="344"/>
      <c r="Y43" s="344"/>
      <c r="Z43" s="344"/>
      <c r="AA43" s="344"/>
      <c r="AB43" s="344"/>
      <c r="AC43" s="344"/>
      <c r="AD43" s="344"/>
      <c r="AE43" s="344"/>
      <c r="AF43" s="344"/>
      <c r="AG43" s="344"/>
    </row>
    <row r="44">
      <c r="A44" s="357">
        <v>27.0</v>
      </c>
      <c r="B44" s="358" t="s">
        <v>565</v>
      </c>
      <c r="C44" s="144" t="s">
        <v>283</v>
      </c>
      <c r="D44" s="186" t="s">
        <v>633</v>
      </c>
      <c r="E44" s="186" t="s">
        <v>634</v>
      </c>
      <c r="F44" s="360">
        <v>41677.0</v>
      </c>
      <c r="G44" s="344"/>
      <c r="H44" s="344"/>
      <c r="I44" s="344"/>
      <c r="J44" s="344"/>
      <c r="K44" s="344"/>
      <c r="L44" s="344"/>
      <c r="M44" s="344"/>
      <c r="N44" s="344"/>
      <c r="O44" s="344"/>
      <c r="P44" s="344"/>
      <c r="Q44" s="344"/>
      <c r="R44" s="344"/>
      <c r="S44" s="344"/>
      <c r="T44" s="344"/>
      <c r="U44" s="344"/>
      <c r="V44" s="344"/>
      <c r="W44" s="344"/>
      <c r="X44" s="344"/>
      <c r="Y44" s="344"/>
      <c r="Z44" s="344"/>
      <c r="AA44" s="344"/>
      <c r="AB44" s="344"/>
      <c r="AC44" s="344"/>
      <c r="AD44" s="344"/>
      <c r="AE44" s="344"/>
      <c r="AF44" s="344"/>
      <c r="AG44" s="344"/>
    </row>
    <row r="45">
      <c r="A45" s="357">
        <v>28.0</v>
      </c>
      <c r="B45" s="358" t="s">
        <v>566</v>
      </c>
      <c r="C45" s="144" t="s">
        <v>283</v>
      </c>
      <c r="D45" s="186" t="s">
        <v>633</v>
      </c>
      <c r="E45" s="186" t="s">
        <v>634</v>
      </c>
      <c r="F45" s="359">
        <v>41274.0</v>
      </c>
      <c r="G45" s="344"/>
      <c r="H45" s="344"/>
      <c r="I45" s="344"/>
      <c r="J45" s="344"/>
      <c r="K45" s="344"/>
      <c r="L45" s="344"/>
      <c r="M45" s="344"/>
      <c r="N45" s="344"/>
      <c r="O45" s="344"/>
      <c r="P45" s="344"/>
      <c r="Q45" s="344"/>
      <c r="R45" s="344"/>
      <c r="S45" s="344"/>
      <c r="T45" s="344"/>
      <c r="U45" s="344"/>
      <c r="V45" s="344"/>
      <c r="W45" s="344"/>
      <c r="X45" s="344"/>
      <c r="Y45" s="344"/>
      <c r="Z45" s="344"/>
      <c r="AA45" s="344"/>
      <c r="AB45" s="344"/>
      <c r="AC45" s="344"/>
      <c r="AD45" s="344"/>
      <c r="AE45" s="344"/>
      <c r="AF45" s="344"/>
      <c r="AG45" s="344"/>
    </row>
    <row r="46">
      <c r="A46" s="357">
        <v>29.0</v>
      </c>
      <c r="B46" s="358" t="s">
        <v>560</v>
      </c>
      <c r="C46" s="144" t="s">
        <v>304</v>
      </c>
      <c r="D46" s="186" t="s">
        <v>666</v>
      </c>
      <c r="E46" s="186" t="s">
        <v>634</v>
      </c>
      <c r="F46" s="360">
        <v>44930.0</v>
      </c>
      <c r="G46" s="344"/>
      <c r="H46" s="344"/>
      <c r="I46" s="344"/>
      <c r="J46" s="344"/>
      <c r="K46" s="344"/>
      <c r="L46" s="344"/>
      <c r="M46" s="344"/>
      <c r="N46" s="344"/>
      <c r="O46" s="344"/>
      <c r="P46" s="344"/>
      <c r="Q46" s="344"/>
      <c r="R46" s="344"/>
      <c r="S46" s="344"/>
      <c r="T46" s="344"/>
      <c r="U46" s="344"/>
      <c r="V46" s="344"/>
      <c r="W46" s="344"/>
      <c r="X46" s="344"/>
      <c r="Y46" s="344"/>
      <c r="Z46" s="344"/>
      <c r="AA46" s="344"/>
      <c r="AB46" s="344"/>
      <c r="AC46" s="344"/>
      <c r="AD46" s="344"/>
      <c r="AE46" s="344"/>
      <c r="AF46" s="344"/>
      <c r="AG46" s="344"/>
    </row>
    <row r="47">
      <c r="A47" s="357">
        <v>30.0</v>
      </c>
      <c r="B47" s="358" t="s">
        <v>567</v>
      </c>
      <c r="C47" s="144" t="s">
        <v>283</v>
      </c>
      <c r="D47" s="186" t="s">
        <v>667</v>
      </c>
      <c r="E47" s="186" t="s">
        <v>649</v>
      </c>
      <c r="F47" s="360">
        <v>43511.0</v>
      </c>
      <c r="G47" s="344"/>
      <c r="H47" s="344"/>
      <c r="I47" s="344"/>
      <c r="J47" s="344"/>
      <c r="K47" s="344"/>
      <c r="L47" s="344"/>
      <c r="M47" s="344"/>
      <c r="N47" s="344"/>
      <c r="O47" s="344"/>
      <c r="P47" s="344"/>
      <c r="Q47" s="344"/>
      <c r="R47" s="344"/>
      <c r="S47" s="344"/>
      <c r="T47" s="344"/>
      <c r="U47" s="344"/>
      <c r="V47" s="344"/>
      <c r="W47" s="344"/>
      <c r="X47" s="344"/>
      <c r="Y47" s="344"/>
      <c r="Z47" s="344"/>
      <c r="AA47" s="344"/>
      <c r="AB47" s="344"/>
      <c r="AC47" s="344"/>
      <c r="AD47" s="344"/>
      <c r="AE47" s="344"/>
      <c r="AF47" s="344"/>
      <c r="AG47" s="344"/>
    </row>
    <row r="48">
      <c r="A48" s="357">
        <v>31.0</v>
      </c>
      <c r="B48" s="358" t="s">
        <v>568</v>
      </c>
      <c r="C48" s="144" t="s">
        <v>304</v>
      </c>
      <c r="D48" s="186" t="s">
        <v>668</v>
      </c>
      <c r="E48" s="186" t="s">
        <v>669</v>
      </c>
      <c r="F48" s="359">
        <v>42004.0</v>
      </c>
      <c r="G48" s="344"/>
      <c r="H48" s="344"/>
      <c r="I48" s="344"/>
      <c r="J48" s="344"/>
      <c r="K48" s="344"/>
      <c r="L48" s="344"/>
      <c r="M48" s="344"/>
      <c r="N48" s="344"/>
      <c r="O48" s="344"/>
      <c r="P48" s="344"/>
      <c r="Q48" s="344"/>
      <c r="R48" s="344"/>
      <c r="S48" s="344"/>
      <c r="T48" s="344"/>
      <c r="U48" s="344"/>
      <c r="V48" s="344"/>
      <c r="W48" s="344"/>
      <c r="X48" s="344"/>
      <c r="Y48" s="344"/>
      <c r="Z48" s="344"/>
      <c r="AA48" s="344"/>
      <c r="AB48" s="344"/>
      <c r="AC48" s="344"/>
      <c r="AD48" s="344"/>
      <c r="AE48" s="344"/>
      <c r="AF48" s="344"/>
      <c r="AG48" s="344"/>
    </row>
    <row r="49">
      <c r="A49" s="357">
        <v>32.0</v>
      </c>
      <c r="B49" s="358" t="s">
        <v>670</v>
      </c>
      <c r="C49" s="144" t="s">
        <v>283</v>
      </c>
      <c r="D49" s="186" t="s">
        <v>671</v>
      </c>
      <c r="E49" s="186" t="s">
        <v>653</v>
      </c>
      <c r="F49" s="359">
        <v>43465.0</v>
      </c>
      <c r="G49" s="344"/>
      <c r="H49" s="344"/>
      <c r="I49" s="344"/>
      <c r="J49" s="344"/>
      <c r="K49" s="344"/>
      <c r="L49" s="344"/>
      <c r="M49" s="344"/>
      <c r="N49" s="344"/>
      <c r="O49" s="344"/>
      <c r="P49" s="344"/>
      <c r="Q49" s="344"/>
      <c r="R49" s="344"/>
      <c r="S49" s="344"/>
      <c r="T49" s="344"/>
      <c r="U49" s="344"/>
      <c r="V49" s="344"/>
      <c r="W49" s="344"/>
      <c r="X49" s="344"/>
      <c r="Y49" s="344"/>
      <c r="Z49" s="344"/>
      <c r="AA49" s="344"/>
      <c r="AB49" s="344"/>
      <c r="AC49" s="344"/>
      <c r="AD49" s="344"/>
      <c r="AE49" s="344"/>
      <c r="AF49" s="344"/>
      <c r="AG49" s="344"/>
    </row>
    <row r="50">
      <c r="A50" s="357">
        <v>33.0</v>
      </c>
      <c r="B50" s="358" t="s">
        <v>569</v>
      </c>
      <c r="C50" s="144" t="s">
        <v>283</v>
      </c>
      <c r="D50" s="186" t="s">
        <v>667</v>
      </c>
      <c r="E50" s="186" t="s">
        <v>649</v>
      </c>
      <c r="F50" s="360">
        <v>43140.0</v>
      </c>
      <c r="G50" s="344"/>
      <c r="H50" s="344"/>
      <c r="I50" s="344"/>
      <c r="J50" s="344"/>
      <c r="K50" s="344"/>
      <c r="L50" s="344"/>
      <c r="M50" s="344"/>
      <c r="N50" s="344"/>
      <c r="O50" s="344"/>
      <c r="P50" s="344"/>
      <c r="Q50" s="344"/>
      <c r="R50" s="344"/>
      <c r="S50" s="344"/>
      <c r="T50" s="344"/>
      <c r="U50" s="344"/>
      <c r="V50" s="344"/>
      <c r="W50" s="344"/>
      <c r="X50" s="344"/>
      <c r="Y50" s="344"/>
      <c r="Z50" s="344"/>
      <c r="AA50" s="344"/>
      <c r="AB50" s="344"/>
      <c r="AC50" s="344"/>
      <c r="AD50" s="344"/>
      <c r="AE50" s="344"/>
      <c r="AF50" s="344"/>
      <c r="AG50" s="344"/>
    </row>
    <row r="51">
      <c r="A51" s="357">
        <v>34.0</v>
      </c>
      <c r="B51" s="358" t="s">
        <v>570</v>
      </c>
      <c r="C51" s="144" t="s">
        <v>283</v>
      </c>
      <c r="D51" s="186" t="s">
        <v>671</v>
      </c>
      <c r="E51" s="186" t="s">
        <v>653</v>
      </c>
      <c r="F51" s="360">
        <v>41103.0</v>
      </c>
      <c r="G51" s="344"/>
      <c r="H51" s="344"/>
      <c r="I51" s="344"/>
      <c r="J51" s="344"/>
      <c r="K51" s="344"/>
      <c r="L51" s="344"/>
      <c r="M51" s="344"/>
      <c r="N51" s="344"/>
      <c r="O51" s="344"/>
      <c r="P51" s="344"/>
      <c r="Q51" s="344"/>
      <c r="R51" s="344"/>
      <c r="S51" s="344"/>
      <c r="T51" s="344"/>
      <c r="U51" s="344"/>
      <c r="V51" s="344"/>
      <c r="W51" s="344"/>
      <c r="X51" s="344"/>
      <c r="Y51" s="344"/>
      <c r="Z51" s="344"/>
      <c r="AA51" s="344"/>
      <c r="AB51" s="344"/>
      <c r="AC51" s="344"/>
      <c r="AD51" s="344"/>
      <c r="AE51" s="344"/>
      <c r="AF51" s="344"/>
      <c r="AG51" s="344"/>
    </row>
    <row r="52">
      <c r="A52" s="357">
        <v>35.0</v>
      </c>
      <c r="B52" s="358" t="s">
        <v>672</v>
      </c>
      <c r="C52" s="144" t="s">
        <v>304</v>
      </c>
      <c r="D52" s="186" t="s">
        <v>668</v>
      </c>
      <c r="E52" s="186" t="s">
        <v>673</v>
      </c>
      <c r="F52" s="360">
        <v>43592.0</v>
      </c>
      <c r="G52" s="344"/>
      <c r="H52" s="344"/>
      <c r="I52" s="344"/>
      <c r="J52" s="344"/>
      <c r="K52" s="344"/>
      <c r="L52" s="344"/>
      <c r="M52" s="344"/>
      <c r="N52" s="344"/>
      <c r="O52" s="344"/>
      <c r="P52" s="344"/>
      <c r="Q52" s="344"/>
      <c r="R52" s="344"/>
      <c r="S52" s="344"/>
      <c r="T52" s="344"/>
      <c r="U52" s="344"/>
      <c r="V52" s="344"/>
      <c r="W52" s="344"/>
      <c r="X52" s="344"/>
      <c r="Y52" s="344"/>
      <c r="Z52" s="344"/>
      <c r="AA52" s="344"/>
      <c r="AB52" s="344"/>
      <c r="AC52" s="344"/>
      <c r="AD52" s="344"/>
      <c r="AE52" s="344"/>
      <c r="AF52" s="344"/>
      <c r="AG52" s="344"/>
    </row>
    <row r="53">
      <c r="A53" s="357">
        <v>36.0</v>
      </c>
      <c r="B53" s="358" t="s">
        <v>571</v>
      </c>
      <c r="C53" s="144" t="s">
        <v>283</v>
      </c>
      <c r="D53" s="186" t="s">
        <v>660</v>
      </c>
      <c r="E53" s="186" t="s">
        <v>661</v>
      </c>
      <c r="F53" s="360">
        <v>43301.0</v>
      </c>
      <c r="G53" s="344"/>
      <c r="H53" s="344"/>
      <c r="I53" s="344"/>
      <c r="J53" s="344"/>
      <c r="K53" s="344"/>
      <c r="L53" s="344"/>
      <c r="M53" s="344"/>
      <c r="N53" s="344"/>
      <c r="O53" s="344"/>
      <c r="P53" s="344"/>
      <c r="Q53" s="344"/>
      <c r="R53" s="344"/>
      <c r="S53" s="344"/>
      <c r="T53" s="344"/>
      <c r="U53" s="344"/>
      <c r="V53" s="344"/>
      <c r="W53" s="344"/>
      <c r="X53" s="344"/>
      <c r="Y53" s="344"/>
      <c r="Z53" s="344"/>
      <c r="AA53" s="344"/>
      <c r="AB53" s="344"/>
      <c r="AC53" s="344"/>
      <c r="AD53" s="344"/>
      <c r="AE53" s="344"/>
      <c r="AF53" s="344"/>
      <c r="AG53" s="344"/>
    </row>
    <row r="54">
      <c r="A54" s="357">
        <v>37.0</v>
      </c>
      <c r="B54" s="358" t="s">
        <v>572</v>
      </c>
      <c r="C54" s="144" t="s">
        <v>283</v>
      </c>
      <c r="D54" s="186"/>
      <c r="E54" s="186" t="s">
        <v>674</v>
      </c>
      <c r="F54" s="359">
        <v>40543.0</v>
      </c>
      <c r="G54" s="344"/>
      <c r="H54" s="344"/>
      <c r="I54" s="344"/>
      <c r="J54" s="344"/>
      <c r="K54" s="344"/>
      <c r="L54" s="344"/>
      <c r="M54" s="344"/>
      <c r="N54" s="344"/>
      <c r="O54" s="344"/>
      <c r="P54" s="344"/>
      <c r="Q54" s="344"/>
      <c r="R54" s="344"/>
      <c r="S54" s="344"/>
      <c r="T54" s="344"/>
      <c r="U54" s="344"/>
      <c r="V54" s="344"/>
      <c r="W54" s="344"/>
      <c r="X54" s="344"/>
      <c r="Y54" s="344"/>
      <c r="Z54" s="344"/>
      <c r="AA54" s="344"/>
      <c r="AB54" s="344"/>
      <c r="AC54" s="344"/>
      <c r="AD54" s="344"/>
      <c r="AE54" s="344"/>
      <c r="AF54" s="344"/>
      <c r="AG54" s="344"/>
    </row>
    <row r="55">
      <c r="A55" s="357">
        <v>38.0</v>
      </c>
      <c r="B55" s="358" t="s">
        <v>675</v>
      </c>
      <c r="C55" s="144" t="s">
        <v>283</v>
      </c>
      <c r="D55" s="186" t="s">
        <v>676</v>
      </c>
      <c r="E55" s="186" t="s">
        <v>634</v>
      </c>
      <c r="F55" s="360">
        <v>42769.0</v>
      </c>
      <c r="G55" s="344"/>
      <c r="H55" s="344"/>
      <c r="I55" s="344"/>
      <c r="J55" s="344"/>
      <c r="K55" s="344"/>
      <c r="L55" s="344"/>
      <c r="M55" s="344"/>
      <c r="N55" s="344"/>
      <c r="O55" s="344"/>
      <c r="P55" s="344"/>
      <c r="Q55" s="344"/>
      <c r="R55" s="344"/>
      <c r="S55" s="344"/>
      <c r="T55" s="344"/>
      <c r="U55" s="344"/>
      <c r="V55" s="344"/>
      <c r="W55" s="344"/>
      <c r="X55" s="344"/>
      <c r="Y55" s="344"/>
      <c r="Z55" s="344"/>
      <c r="AA55" s="344"/>
      <c r="AB55" s="344"/>
      <c r="AC55" s="344"/>
      <c r="AD55" s="344"/>
      <c r="AE55" s="344"/>
      <c r="AF55" s="344"/>
      <c r="AG55" s="344"/>
    </row>
    <row r="56">
      <c r="A56" s="357">
        <v>39.0</v>
      </c>
      <c r="B56" s="358" t="s">
        <v>574</v>
      </c>
      <c r="C56" s="144" t="s">
        <v>283</v>
      </c>
      <c r="D56" s="186" t="s">
        <v>633</v>
      </c>
      <c r="E56" s="186" t="s">
        <v>634</v>
      </c>
      <c r="F56" s="359">
        <v>41274.0</v>
      </c>
      <c r="G56" s="344"/>
      <c r="H56" s="344"/>
      <c r="I56" s="344"/>
      <c r="J56" s="344"/>
      <c r="K56" s="344"/>
      <c r="L56" s="344"/>
      <c r="M56" s="344"/>
      <c r="N56" s="344"/>
      <c r="O56" s="344"/>
      <c r="P56" s="344"/>
      <c r="Q56" s="344"/>
      <c r="R56" s="344"/>
      <c r="S56" s="344"/>
      <c r="T56" s="344"/>
      <c r="U56" s="344"/>
      <c r="V56" s="344"/>
      <c r="W56" s="344"/>
      <c r="X56" s="344"/>
      <c r="Y56" s="344"/>
      <c r="Z56" s="344"/>
      <c r="AA56" s="344"/>
      <c r="AB56" s="344"/>
      <c r="AC56" s="344"/>
      <c r="AD56" s="344"/>
      <c r="AE56" s="344"/>
      <c r="AF56" s="344"/>
      <c r="AG56" s="344"/>
    </row>
    <row r="57">
      <c r="A57" s="357">
        <v>40.0</v>
      </c>
      <c r="B57" s="358" t="s">
        <v>677</v>
      </c>
      <c r="C57" s="144" t="s">
        <v>304</v>
      </c>
      <c r="D57" s="186" t="s">
        <v>678</v>
      </c>
      <c r="E57" s="186" t="s">
        <v>634</v>
      </c>
      <c r="F57" s="360">
        <v>45714.0</v>
      </c>
      <c r="G57" s="344"/>
      <c r="H57" s="344"/>
      <c r="I57" s="344"/>
      <c r="J57" s="344"/>
      <c r="K57" s="344"/>
      <c r="L57" s="344"/>
      <c r="M57" s="344"/>
      <c r="N57" s="344"/>
      <c r="O57" s="344"/>
      <c r="P57" s="344"/>
      <c r="Q57" s="344"/>
      <c r="R57" s="344"/>
      <c r="S57" s="344"/>
      <c r="T57" s="344"/>
      <c r="U57" s="344"/>
      <c r="V57" s="344"/>
      <c r="W57" s="344"/>
      <c r="X57" s="344"/>
      <c r="Y57" s="344"/>
      <c r="Z57" s="344"/>
      <c r="AA57" s="344"/>
      <c r="AB57" s="344"/>
      <c r="AC57" s="344"/>
      <c r="AD57" s="344"/>
      <c r="AE57" s="344"/>
      <c r="AF57" s="344"/>
      <c r="AG57" s="344"/>
    </row>
    <row r="58">
      <c r="A58" s="357">
        <v>41.0</v>
      </c>
      <c r="B58" s="358" t="s">
        <v>579</v>
      </c>
      <c r="C58" s="144" t="s">
        <v>283</v>
      </c>
      <c r="D58" s="186" t="s">
        <v>631</v>
      </c>
      <c r="E58" s="186" t="s">
        <v>649</v>
      </c>
      <c r="F58" s="360">
        <v>41876.0</v>
      </c>
      <c r="G58" s="344"/>
      <c r="H58" s="344"/>
      <c r="I58" s="344"/>
      <c r="J58" s="344"/>
      <c r="K58" s="344"/>
      <c r="L58" s="344"/>
      <c r="M58" s="344"/>
      <c r="N58" s="344"/>
      <c r="O58" s="344"/>
      <c r="P58" s="344"/>
      <c r="Q58" s="344"/>
      <c r="R58" s="344"/>
      <c r="S58" s="344"/>
      <c r="T58" s="344"/>
      <c r="U58" s="344"/>
      <c r="V58" s="344"/>
      <c r="W58" s="344"/>
      <c r="X58" s="344"/>
      <c r="Y58" s="344"/>
      <c r="Z58" s="344"/>
      <c r="AA58" s="344"/>
      <c r="AB58" s="344"/>
      <c r="AC58" s="344"/>
      <c r="AD58" s="344"/>
      <c r="AE58" s="344"/>
      <c r="AF58" s="344"/>
      <c r="AG58" s="344"/>
    </row>
    <row r="59">
      <c r="A59" s="357">
        <v>42.0</v>
      </c>
      <c r="B59" s="358" t="s">
        <v>679</v>
      </c>
      <c r="C59" s="144" t="s">
        <v>283</v>
      </c>
      <c r="D59" s="186" t="s">
        <v>680</v>
      </c>
      <c r="E59" s="186" t="s">
        <v>634</v>
      </c>
      <c r="F59" s="360">
        <v>42373.0</v>
      </c>
      <c r="G59" s="344"/>
      <c r="H59" s="344"/>
      <c r="I59" s="344"/>
      <c r="J59" s="344"/>
      <c r="K59" s="344"/>
      <c r="L59" s="344"/>
      <c r="M59" s="344"/>
      <c r="N59" s="344"/>
      <c r="O59" s="344"/>
      <c r="P59" s="344"/>
      <c r="Q59" s="344"/>
      <c r="R59" s="344"/>
      <c r="S59" s="344"/>
      <c r="T59" s="344"/>
      <c r="U59" s="344"/>
      <c r="V59" s="344"/>
      <c r="W59" s="344"/>
      <c r="X59" s="344"/>
      <c r="Y59" s="344"/>
      <c r="Z59" s="344"/>
      <c r="AA59" s="344"/>
      <c r="AB59" s="344"/>
      <c r="AC59" s="344"/>
      <c r="AD59" s="344"/>
      <c r="AE59" s="344"/>
      <c r="AF59" s="344"/>
      <c r="AG59" s="344"/>
    </row>
    <row r="60">
      <c r="A60" s="357">
        <v>43.0</v>
      </c>
      <c r="B60" s="358" t="s">
        <v>580</v>
      </c>
      <c r="C60" s="144" t="s">
        <v>283</v>
      </c>
      <c r="D60" s="186" t="s">
        <v>290</v>
      </c>
      <c r="E60" s="186" t="s">
        <v>290</v>
      </c>
      <c r="F60" s="144" t="s">
        <v>290</v>
      </c>
      <c r="G60" s="344"/>
      <c r="H60" s="344"/>
      <c r="I60" s="344"/>
      <c r="J60" s="344"/>
      <c r="K60" s="344"/>
      <c r="L60" s="344"/>
      <c r="M60" s="344"/>
      <c r="N60" s="344"/>
      <c r="O60" s="344"/>
      <c r="P60" s="344"/>
      <c r="Q60" s="344"/>
      <c r="R60" s="344"/>
      <c r="S60" s="344"/>
      <c r="T60" s="344"/>
      <c r="U60" s="344"/>
      <c r="V60" s="344"/>
      <c r="W60" s="344"/>
      <c r="X60" s="344"/>
      <c r="Y60" s="344"/>
      <c r="Z60" s="344"/>
      <c r="AA60" s="344"/>
      <c r="AB60" s="344"/>
      <c r="AC60" s="344"/>
      <c r="AD60" s="344"/>
      <c r="AE60" s="344"/>
      <c r="AF60" s="344"/>
      <c r="AG60" s="344"/>
    </row>
    <row r="61">
      <c r="A61" s="357">
        <v>44.0</v>
      </c>
      <c r="B61" s="358" t="s">
        <v>681</v>
      </c>
      <c r="C61" s="144" t="s">
        <v>283</v>
      </c>
      <c r="D61" s="186" t="s">
        <v>682</v>
      </c>
      <c r="E61" s="186" t="s">
        <v>683</v>
      </c>
      <c r="F61" s="360">
        <v>40451.0</v>
      </c>
      <c r="G61" s="344"/>
      <c r="H61" s="344"/>
      <c r="I61" s="344"/>
      <c r="J61" s="344"/>
      <c r="K61" s="344"/>
      <c r="L61" s="344"/>
      <c r="M61" s="344"/>
      <c r="N61" s="344"/>
      <c r="O61" s="344"/>
      <c r="P61" s="344"/>
      <c r="Q61" s="344"/>
      <c r="R61" s="344"/>
      <c r="S61" s="344"/>
      <c r="T61" s="344"/>
      <c r="U61" s="344"/>
      <c r="V61" s="344"/>
      <c r="W61" s="344"/>
      <c r="X61" s="344"/>
      <c r="Y61" s="344"/>
      <c r="Z61" s="344"/>
      <c r="AA61" s="344"/>
      <c r="AB61" s="344"/>
      <c r="AC61" s="344"/>
      <c r="AD61" s="344"/>
      <c r="AE61" s="344"/>
      <c r="AF61" s="344"/>
      <c r="AG61" s="344"/>
    </row>
    <row r="62">
      <c r="A62" s="357">
        <v>45.0</v>
      </c>
      <c r="B62" s="358" t="s">
        <v>581</v>
      </c>
      <c r="C62" s="144" t="s">
        <v>283</v>
      </c>
      <c r="D62" s="186" t="s">
        <v>640</v>
      </c>
      <c r="E62" s="186" t="s">
        <v>646</v>
      </c>
      <c r="F62" s="360">
        <v>42601.0</v>
      </c>
      <c r="G62" s="344"/>
      <c r="H62" s="344"/>
      <c r="I62" s="344"/>
      <c r="J62" s="344"/>
      <c r="K62" s="344"/>
      <c r="L62" s="344"/>
      <c r="M62" s="344"/>
      <c r="N62" s="344"/>
      <c r="O62" s="344"/>
      <c r="P62" s="344"/>
      <c r="Q62" s="344"/>
      <c r="R62" s="344"/>
      <c r="S62" s="344"/>
      <c r="T62" s="344"/>
      <c r="U62" s="344"/>
      <c r="V62" s="344"/>
      <c r="W62" s="344"/>
      <c r="X62" s="344"/>
      <c r="Y62" s="344"/>
      <c r="Z62" s="344"/>
      <c r="AA62" s="344"/>
      <c r="AB62" s="344"/>
      <c r="AC62" s="344"/>
      <c r="AD62" s="344"/>
      <c r="AE62" s="344"/>
      <c r="AF62" s="344"/>
      <c r="AG62" s="344"/>
    </row>
    <row r="63">
      <c r="A63" s="357">
        <v>46.0</v>
      </c>
      <c r="B63" s="358" t="s">
        <v>582</v>
      </c>
      <c r="C63" s="144" t="s">
        <v>283</v>
      </c>
      <c r="D63" s="186" t="s">
        <v>684</v>
      </c>
      <c r="E63" s="186" t="s">
        <v>653</v>
      </c>
      <c r="F63" s="360">
        <v>39258.0</v>
      </c>
      <c r="G63" s="344"/>
      <c r="H63" s="344"/>
      <c r="I63" s="344"/>
      <c r="J63" s="344"/>
      <c r="K63" s="344"/>
      <c r="L63" s="344"/>
      <c r="M63" s="344"/>
      <c r="N63" s="344"/>
      <c r="O63" s="344"/>
      <c r="P63" s="344"/>
      <c r="Q63" s="344"/>
      <c r="R63" s="344"/>
      <c r="S63" s="344"/>
      <c r="T63" s="344"/>
      <c r="U63" s="344"/>
      <c r="V63" s="344"/>
      <c r="W63" s="344"/>
      <c r="X63" s="344"/>
      <c r="Y63" s="344"/>
      <c r="Z63" s="344"/>
      <c r="AA63" s="344"/>
      <c r="AB63" s="344"/>
      <c r="AC63" s="344"/>
      <c r="AD63" s="344"/>
      <c r="AE63" s="344"/>
      <c r="AF63" s="344"/>
      <c r="AG63" s="344"/>
    </row>
    <row r="64">
      <c r="A64" s="357">
        <v>47.0</v>
      </c>
      <c r="B64" s="358" t="s">
        <v>584</v>
      </c>
      <c r="C64" s="144" t="s">
        <v>283</v>
      </c>
      <c r="D64" s="186" t="s">
        <v>685</v>
      </c>
      <c r="E64" s="186" t="s">
        <v>686</v>
      </c>
      <c r="F64" s="360">
        <v>40628.0</v>
      </c>
      <c r="G64" s="344"/>
      <c r="H64" s="344"/>
      <c r="I64" s="344"/>
      <c r="J64" s="344"/>
      <c r="K64" s="344"/>
      <c r="L64" s="344"/>
      <c r="M64" s="344"/>
      <c r="N64" s="344"/>
      <c r="O64" s="344"/>
      <c r="P64" s="344"/>
      <c r="Q64" s="344"/>
      <c r="R64" s="344"/>
      <c r="S64" s="344"/>
      <c r="T64" s="344"/>
      <c r="U64" s="344"/>
      <c r="V64" s="344"/>
      <c r="W64" s="344"/>
      <c r="X64" s="344"/>
      <c r="Y64" s="344"/>
      <c r="Z64" s="344"/>
      <c r="AA64" s="344"/>
      <c r="AB64" s="344"/>
      <c r="AC64" s="344"/>
      <c r="AD64" s="344"/>
      <c r="AE64" s="344"/>
      <c r="AF64" s="344"/>
      <c r="AG64" s="344"/>
    </row>
    <row r="65">
      <c r="A65" s="357">
        <v>48.0</v>
      </c>
      <c r="B65" s="358" t="s">
        <v>687</v>
      </c>
      <c r="C65" s="144" t="s">
        <v>283</v>
      </c>
      <c r="D65" s="186" t="s">
        <v>640</v>
      </c>
      <c r="E65" s="186" t="s">
        <v>646</v>
      </c>
      <c r="F65" s="360">
        <v>42030.0</v>
      </c>
      <c r="G65" s="344"/>
      <c r="H65" s="344"/>
      <c r="I65" s="344"/>
      <c r="J65" s="344"/>
      <c r="K65" s="344"/>
      <c r="L65" s="344"/>
      <c r="M65" s="344"/>
      <c r="N65" s="344"/>
      <c r="O65" s="344"/>
      <c r="P65" s="344"/>
      <c r="Q65" s="344"/>
      <c r="R65" s="344"/>
      <c r="S65" s="344"/>
      <c r="T65" s="344"/>
      <c r="U65" s="344"/>
      <c r="V65" s="344"/>
      <c r="W65" s="344"/>
      <c r="X65" s="344"/>
      <c r="Y65" s="344"/>
      <c r="Z65" s="344"/>
      <c r="AA65" s="344"/>
      <c r="AB65" s="344"/>
      <c r="AC65" s="344"/>
      <c r="AD65" s="344"/>
      <c r="AE65" s="344"/>
      <c r="AF65" s="344"/>
      <c r="AG65" s="344"/>
    </row>
    <row r="66">
      <c r="A66" s="357">
        <v>49.0</v>
      </c>
      <c r="B66" s="358" t="s">
        <v>585</v>
      </c>
      <c r="C66" s="144" t="s">
        <v>283</v>
      </c>
      <c r="D66" s="186" t="s">
        <v>631</v>
      </c>
      <c r="E66" s="186" t="s">
        <v>649</v>
      </c>
      <c r="F66" s="360">
        <v>43321.0</v>
      </c>
      <c r="G66" s="344"/>
      <c r="H66" s="344"/>
      <c r="I66" s="344"/>
      <c r="J66" s="344"/>
      <c r="K66" s="344"/>
      <c r="L66" s="344"/>
      <c r="M66" s="344"/>
      <c r="N66" s="344"/>
      <c r="O66" s="344"/>
      <c r="P66" s="344"/>
      <c r="Q66" s="344"/>
      <c r="R66" s="344"/>
      <c r="S66" s="344"/>
      <c r="T66" s="344"/>
      <c r="U66" s="344"/>
      <c r="V66" s="344"/>
      <c r="W66" s="344"/>
      <c r="X66" s="344"/>
      <c r="Y66" s="344"/>
      <c r="Z66" s="344"/>
      <c r="AA66" s="344"/>
      <c r="AB66" s="344"/>
      <c r="AC66" s="344"/>
      <c r="AD66" s="344"/>
      <c r="AE66" s="344"/>
      <c r="AF66" s="344"/>
      <c r="AG66" s="344"/>
    </row>
    <row r="67">
      <c r="A67" s="357">
        <v>50.0</v>
      </c>
      <c r="B67" s="358" t="s">
        <v>586</v>
      </c>
      <c r="C67" s="144" t="s">
        <v>283</v>
      </c>
      <c r="D67" s="186" t="s">
        <v>633</v>
      </c>
      <c r="E67" s="186" t="s">
        <v>649</v>
      </c>
      <c r="F67" s="360">
        <v>43140.0</v>
      </c>
      <c r="G67" s="344"/>
      <c r="H67" s="344"/>
      <c r="I67" s="344"/>
      <c r="J67" s="344"/>
      <c r="K67" s="344"/>
      <c r="L67" s="344"/>
      <c r="M67" s="344"/>
      <c r="N67" s="344"/>
      <c r="O67" s="344"/>
      <c r="P67" s="344"/>
      <c r="Q67" s="344"/>
      <c r="R67" s="344"/>
      <c r="S67" s="344"/>
      <c r="T67" s="344"/>
      <c r="U67" s="344"/>
      <c r="V67" s="344"/>
      <c r="W67" s="344"/>
      <c r="X67" s="344"/>
      <c r="Y67" s="344"/>
      <c r="Z67" s="344"/>
      <c r="AA67" s="344"/>
      <c r="AB67" s="344"/>
      <c r="AC67" s="344"/>
      <c r="AD67" s="344"/>
      <c r="AE67" s="344"/>
      <c r="AF67" s="344"/>
      <c r="AG67" s="344"/>
    </row>
    <row r="68">
      <c r="A68" s="357">
        <v>51.0</v>
      </c>
      <c r="B68" s="358" t="s">
        <v>688</v>
      </c>
      <c r="C68" s="144" t="s">
        <v>283</v>
      </c>
      <c r="D68" s="186" t="s">
        <v>631</v>
      </c>
      <c r="E68" s="186" t="s">
        <v>649</v>
      </c>
      <c r="F68" s="360">
        <v>42593.0</v>
      </c>
      <c r="G68" s="344"/>
      <c r="H68" s="344"/>
      <c r="I68" s="344"/>
      <c r="J68" s="344"/>
      <c r="K68" s="344"/>
      <c r="L68" s="344"/>
      <c r="M68" s="344"/>
      <c r="N68" s="344"/>
      <c r="O68" s="344"/>
      <c r="P68" s="344"/>
      <c r="Q68" s="344"/>
      <c r="R68" s="344"/>
      <c r="S68" s="344"/>
      <c r="T68" s="344"/>
      <c r="U68" s="344"/>
      <c r="V68" s="344"/>
      <c r="W68" s="344"/>
      <c r="X68" s="344"/>
      <c r="Y68" s="344"/>
      <c r="Z68" s="344"/>
      <c r="AA68" s="344"/>
      <c r="AB68" s="344"/>
      <c r="AC68" s="344"/>
      <c r="AD68" s="344"/>
      <c r="AE68" s="344"/>
      <c r="AF68" s="344"/>
      <c r="AG68" s="344"/>
    </row>
    <row r="69">
      <c r="A69" s="357">
        <v>52.0</v>
      </c>
      <c r="B69" s="358" t="s">
        <v>587</v>
      </c>
      <c r="C69" s="144" t="s">
        <v>283</v>
      </c>
      <c r="D69" s="186" t="s">
        <v>689</v>
      </c>
      <c r="E69" s="186" t="s">
        <v>690</v>
      </c>
      <c r="F69" s="359">
        <v>43100.0</v>
      </c>
      <c r="G69" s="344"/>
      <c r="H69" s="344"/>
      <c r="I69" s="344"/>
      <c r="J69" s="344"/>
      <c r="K69" s="344"/>
      <c r="L69" s="344"/>
      <c r="M69" s="344"/>
      <c r="N69" s="344"/>
      <c r="O69" s="344"/>
      <c r="P69" s="344"/>
      <c r="Q69" s="344"/>
      <c r="R69" s="344"/>
      <c r="S69" s="344"/>
      <c r="T69" s="344"/>
      <c r="U69" s="344"/>
      <c r="V69" s="344"/>
      <c r="W69" s="344"/>
      <c r="X69" s="344"/>
      <c r="Y69" s="344"/>
      <c r="Z69" s="344"/>
      <c r="AA69" s="344"/>
      <c r="AB69" s="344"/>
      <c r="AC69" s="344"/>
      <c r="AD69" s="344"/>
      <c r="AE69" s="344"/>
      <c r="AF69" s="344"/>
      <c r="AG69" s="344"/>
    </row>
    <row r="70">
      <c r="A70" s="357">
        <v>53.0</v>
      </c>
      <c r="B70" s="358" t="s">
        <v>588</v>
      </c>
      <c r="C70" s="144" t="s">
        <v>283</v>
      </c>
      <c r="D70" s="186" t="s">
        <v>640</v>
      </c>
      <c r="E70" s="186" t="s">
        <v>646</v>
      </c>
      <c r="F70" s="360">
        <v>41124.0</v>
      </c>
      <c r="G70" s="344"/>
      <c r="H70" s="344"/>
      <c r="I70" s="344"/>
      <c r="J70" s="344"/>
      <c r="K70" s="344"/>
      <c r="L70" s="344"/>
      <c r="M70" s="344"/>
      <c r="N70" s="344"/>
      <c r="O70" s="344"/>
      <c r="P70" s="344"/>
      <c r="Q70" s="344"/>
      <c r="R70" s="344"/>
      <c r="S70" s="344"/>
      <c r="T70" s="344"/>
      <c r="U70" s="344"/>
      <c r="V70" s="344"/>
      <c r="W70" s="344"/>
      <c r="X70" s="344"/>
      <c r="Y70" s="344"/>
      <c r="Z70" s="344"/>
      <c r="AA70" s="344"/>
      <c r="AB70" s="344"/>
      <c r="AC70" s="344"/>
      <c r="AD70" s="344"/>
      <c r="AE70" s="344"/>
      <c r="AF70" s="344"/>
      <c r="AG70" s="344"/>
    </row>
    <row r="71">
      <c r="A71" s="357">
        <v>54.0</v>
      </c>
      <c r="B71" s="358" t="s">
        <v>691</v>
      </c>
      <c r="C71" s="144" t="s">
        <v>283</v>
      </c>
      <c r="D71" s="186" t="s">
        <v>631</v>
      </c>
      <c r="E71" s="186" t="s">
        <v>649</v>
      </c>
      <c r="F71" s="360">
        <v>41876.0</v>
      </c>
      <c r="G71" s="344"/>
      <c r="H71" s="344"/>
      <c r="I71" s="344"/>
      <c r="J71" s="344"/>
      <c r="K71" s="344"/>
      <c r="L71" s="344"/>
      <c r="M71" s="344"/>
      <c r="N71" s="344"/>
      <c r="O71" s="344"/>
      <c r="P71" s="344"/>
      <c r="Q71" s="344"/>
      <c r="R71" s="344"/>
      <c r="S71" s="344"/>
      <c r="T71" s="344"/>
      <c r="U71" s="344"/>
      <c r="V71" s="344"/>
      <c r="W71" s="344"/>
      <c r="X71" s="344"/>
      <c r="Y71" s="344"/>
      <c r="Z71" s="344"/>
      <c r="AA71" s="344"/>
      <c r="AB71" s="344"/>
      <c r="AC71" s="344"/>
      <c r="AD71" s="344"/>
      <c r="AE71" s="344"/>
      <c r="AF71" s="344"/>
      <c r="AG71" s="344"/>
    </row>
    <row r="72">
      <c r="A72" s="357">
        <v>55.0</v>
      </c>
      <c r="B72" s="358" t="s">
        <v>692</v>
      </c>
      <c r="C72" s="144" t="s">
        <v>283</v>
      </c>
      <c r="D72" s="186" t="s">
        <v>633</v>
      </c>
      <c r="E72" s="186" t="s">
        <v>693</v>
      </c>
      <c r="F72" s="359">
        <v>43026.0</v>
      </c>
      <c r="G72" s="344"/>
      <c r="H72" s="344"/>
      <c r="I72" s="344"/>
      <c r="J72" s="344"/>
      <c r="K72" s="344"/>
      <c r="L72" s="344"/>
      <c r="M72" s="344"/>
      <c r="N72" s="344"/>
      <c r="O72" s="344"/>
      <c r="P72" s="344"/>
      <c r="Q72" s="344"/>
      <c r="R72" s="344"/>
      <c r="S72" s="344"/>
      <c r="T72" s="344"/>
      <c r="U72" s="344"/>
      <c r="V72" s="344"/>
      <c r="W72" s="344"/>
      <c r="X72" s="344"/>
      <c r="Y72" s="344"/>
      <c r="Z72" s="344"/>
      <c r="AA72" s="344"/>
      <c r="AB72" s="344"/>
      <c r="AC72" s="344"/>
      <c r="AD72" s="344"/>
      <c r="AE72" s="344"/>
      <c r="AF72" s="344"/>
      <c r="AG72" s="344"/>
    </row>
    <row r="73">
      <c r="A73" s="357">
        <v>56.0</v>
      </c>
      <c r="B73" s="358" t="s">
        <v>589</v>
      </c>
      <c r="C73" s="144" t="s">
        <v>283</v>
      </c>
      <c r="D73" s="186" t="s">
        <v>694</v>
      </c>
      <c r="E73" s="186" t="s">
        <v>653</v>
      </c>
      <c r="F73" s="360">
        <v>41789.0</v>
      </c>
      <c r="G73" s="344"/>
      <c r="H73" s="344"/>
      <c r="I73" s="344"/>
      <c r="J73" s="344"/>
      <c r="K73" s="344"/>
      <c r="L73" s="344"/>
      <c r="M73" s="344"/>
      <c r="N73" s="344"/>
      <c r="O73" s="344"/>
      <c r="P73" s="344"/>
      <c r="Q73" s="344"/>
      <c r="R73" s="344"/>
      <c r="S73" s="344"/>
      <c r="T73" s="344"/>
      <c r="U73" s="344"/>
      <c r="V73" s="344"/>
      <c r="W73" s="344"/>
      <c r="X73" s="344"/>
      <c r="Y73" s="344"/>
      <c r="Z73" s="344"/>
      <c r="AA73" s="344"/>
      <c r="AB73" s="344"/>
      <c r="AC73" s="344"/>
      <c r="AD73" s="344"/>
      <c r="AE73" s="344"/>
      <c r="AF73" s="344"/>
      <c r="AG73" s="344"/>
    </row>
    <row r="74">
      <c r="A74" s="357">
        <v>57.0</v>
      </c>
      <c r="B74" s="358" t="s">
        <v>590</v>
      </c>
      <c r="C74" s="144" t="s">
        <v>283</v>
      </c>
      <c r="D74" s="186" t="s">
        <v>695</v>
      </c>
      <c r="E74" s="186" t="s">
        <v>696</v>
      </c>
      <c r="F74" s="360">
        <v>41683.0</v>
      </c>
      <c r="G74" s="344"/>
      <c r="H74" s="344"/>
      <c r="I74" s="344"/>
      <c r="J74" s="344"/>
      <c r="K74" s="344"/>
      <c r="L74" s="344"/>
      <c r="M74" s="344"/>
      <c r="N74" s="344"/>
      <c r="O74" s="344"/>
      <c r="P74" s="344"/>
      <c r="Q74" s="344"/>
      <c r="R74" s="344"/>
      <c r="S74" s="344"/>
      <c r="T74" s="344"/>
      <c r="U74" s="344"/>
      <c r="V74" s="344"/>
      <c r="W74" s="344"/>
      <c r="X74" s="344"/>
      <c r="Y74" s="344"/>
      <c r="Z74" s="344"/>
      <c r="AA74" s="344"/>
      <c r="AB74" s="344"/>
      <c r="AC74" s="344"/>
      <c r="AD74" s="344"/>
      <c r="AE74" s="344"/>
      <c r="AF74" s="344"/>
      <c r="AG74" s="344"/>
    </row>
    <row r="75">
      <c r="A75" s="357">
        <v>58.0</v>
      </c>
      <c r="B75" s="358" t="s">
        <v>591</v>
      </c>
      <c r="C75" s="144" t="s">
        <v>283</v>
      </c>
      <c r="D75" s="186" t="s">
        <v>631</v>
      </c>
      <c r="E75" s="186" t="s">
        <v>632</v>
      </c>
      <c r="F75" s="360">
        <v>42005.0</v>
      </c>
      <c r="G75" s="344"/>
      <c r="H75" s="344"/>
      <c r="I75" s="344"/>
      <c r="J75" s="344"/>
      <c r="K75" s="344"/>
      <c r="L75" s="344"/>
      <c r="M75" s="344"/>
      <c r="N75" s="344"/>
      <c r="O75" s="344"/>
      <c r="P75" s="344"/>
      <c r="Q75" s="344"/>
      <c r="R75" s="344"/>
      <c r="S75" s="344"/>
      <c r="T75" s="344"/>
      <c r="U75" s="344"/>
      <c r="V75" s="344"/>
      <c r="W75" s="344"/>
      <c r="X75" s="344"/>
      <c r="Y75" s="344"/>
      <c r="Z75" s="344"/>
      <c r="AA75" s="344"/>
      <c r="AB75" s="344"/>
      <c r="AC75" s="344"/>
      <c r="AD75" s="344"/>
      <c r="AE75" s="344"/>
      <c r="AF75" s="344"/>
      <c r="AG75" s="344"/>
    </row>
    <row r="76">
      <c r="A76" s="357">
        <v>59.0</v>
      </c>
      <c r="B76" s="358" t="s">
        <v>697</v>
      </c>
      <c r="C76" s="144" t="s">
        <v>283</v>
      </c>
      <c r="D76" s="186" t="s">
        <v>648</v>
      </c>
      <c r="E76" s="186" t="s">
        <v>698</v>
      </c>
      <c r="F76" s="359">
        <v>41639.0</v>
      </c>
      <c r="G76" s="344"/>
      <c r="H76" s="344"/>
      <c r="I76" s="344"/>
      <c r="J76" s="344"/>
      <c r="K76" s="344"/>
      <c r="L76" s="344"/>
      <c r="M76" s="344"/>
      <c r="N76" s="344"/>
      <c r="O76" s="344"/>
      <c r="P76" s="344"/>
      <c r="Q76" s="344"/>
      <c r="R76" s="344"/>
      <c r="S76" s="344"/>
      <c r="T76" s="344"/>
      <c r="U76" s="344"/>
      <c r="V76" s="344"/>
      <c r="W76" s="344"/>
      <c r="X76" s="344"/>
      <c r="Y76" s="344"/>
      <c r="Z76" s="344"/>
      <c r="AA76" s="344"/>
      <c r="AB76" s="344"/>
      <c r="AC76" s="344"/>
      <c r="AD76" s="344"/>
      <c r="AE76" s="344"/>
      <c r="AF76" s="344"/>
      <c r="AG76" s="344"/>
    </row>
    <row r="77">
      <c r="A77" s="357">
        <v>60.0</v>
      </c>
      <c r="B77" s="358" t="s">
        <v>562</v>
      </c>
      <c r="C77" s="144" t="s">
        <v>304</v>
      </c>
      <c r="D77" s="186" t="s">
        <v>640</v>
      </c>
      <c r="E77" s="186" t="s">
        <v>630</v>
      </c>
      <c r="F77" s="359">
        <v>44526.0</v>
      </c>
      <c r="G77" s="344"/>
      <c r="H77" s="344"/>
      <c r="I77" s="344"/>
      <c r="J77" s="344"/>
      <c r="K77" s="344"/>
      <c r="L77" s="344"/>
      <c r="M77" s="344"/>
      <c r="N77" s="344"/>
      <c r="O77" s="344"/>
      <c r="P77" s="344"/>
      <c r="Q77" s="344"/>
      <c r="R77" s="344"/>
      <c r="S77" s="344"/>
      <c r="T77" s="344"/>
      <c r="U77" s="344"/>
      <c r="V77" s="344"/>
      <c r="W77" s="344"/>
      <c r="X77" s="344"/>
      <c r="Y77" s="344"/>
      <c r="Z77" s="344"/>
      <c r="AA77" s="344"/>
      <c r="AB77" s="344"/>
      <c r="AC77" s="344"/>
      <c r="AD77" s="344"/>
      <c r="AE77" s="344"/>
      <c r="AF77" s="344"/>
      <c r="AG77" s="344"/>
    </row>
    <row r="78">
      <c r="A78" s="357">
        <v>61.0</v>
      </c>
      <c r="B78" s="358" t="s">
        <v>594</v>
      </c>
      <c r="C78" s="144" t="s">
        <v>283</v>
      </c>
      <c r="D78" s="186" t="s">
        <v>290</v>
      </c>
      <c r="E78" s="186" t="s">
        <v>290</v>
      </c>
      <c r="F78" s="144" t="s">
        <v>290</v>
      </c>
      <c r="G78" s="344"/>
      <c r="H78" s="344"/>
      <c r="I78" s="344"/>
      <c r="J78" s="344"/>
      <c r="K78" s="344"/>
      <c r="L78" s="344"/>
      <c r="M78" s="344"/>
      <c r="N78" s="344"/>
      <c r="O78" s="344"/>
      <c r="P78" s="344"/>
      <c r="Q78" s="344"/>
      <c r="R78" s="344"/>
      <c r="S78" s="344"/>
      <c r="T78" s="344"/>
      <c r="U78" s="344"/>
      <c r="V78" s="344"/>
      <c r="W78" s="344"/>
      <c r="X78" s="344"/>
      <c r="Y78" s="344"/>
      <c r="Z78" s="344"/>
      <c r="AA78" s="344"/>
      <c r="AB78" s="344"/>
      <c r="AC78" s="344"/>
      <c r="AD78" s="344"/>
      <c r="AE78" s="344"/>
      <c r="AF78" s="344"/>
      <c r="AG78" s="344"/>
    </row>
    <row r="79">
      <c r="A79" s="357">
        <v>62.0</v>
      </c>
      <c r="B79" s="358" t="s">
        <v>595</v>
      </c>
      <c r="C79" s="144" t="s">
        <v>283</v>
      </c>
      <c r="D79" s="186" t="s">
        <v>633</v>
      </c>
      <c r="E79" s="186" t="s">
        <v>634</v>
      </c>
      <c r="F79" s="359">
        <v>43098.0</v>
      </c>
      <c r="G79" s="344"/>
      <c r="H79" s="344"/>
      <c r="I79" s="344"/>
      <c r="J79" s="344"/>
      <c r="K79" s="344"/>
      <c r="L79" s="344"/>
      <c r="M79" s="344"/>
      <c r="N79" s="344"/>
      <c r="O79" s="344"/>
      <c r="P79" s="344"/>
      <c r="Q79" s="344"/>
      <c r="R79" s="344"/>
      <c r="S79" s="344"/>
      <c r="T79" s="344"/>
      <c r="U79" s="344"/>
      <c r="V79" s="344"/>
      <c r="W79" s="344"/>
      <c r="X79" s="344"/>
      <c r="Y79" s="344"/>
      <c r="Z79" s="344"/>
      <c r="AA79" s="344"/>
      <c r="AB79" s="344"/>
      <c r="AC79" s="344"/>
      <c r="AD79" s="344"/>
      <c r="AE79" s="344"/>
      <c r="AF79" s="344"/>
      <c r="AG79" s="344"/>
    </row>
    <row r="80">
      <c r="A80" s="357">
        <v>63.0</v>
      </c>
      <c r="B80" s="358" t="s">
        <v>699</v>
      </c>
      <c r="C80" s="144" t="s">
        <v>304</v>
      </c>
      <c r="D80" s="186" t="s">
        <v>700</v>
      </c>
      <c r="E80" s="186" t="s">
        <v>701</v>
      </c>
      <c r="F80" s="360">
        <v>45719.0</v>
      </c>
      <c r="G80" s="344"/>
      <c r="H80" s="344"/>
      <c r="I80" s="344"/>
      <c r="J80" s="344"/>
      <c r="K80" s="344"/>
      <c r="L80" s="344"/>
      <c r="M80" s="344"/>
      <c r="N80" s="344"/>
      <c r="O80" s="344"/>
      <c r="P80" s="344"/>
      <c r="Q80" s="344"/>
      <c r="R80" s="344"/>
      <c r="S80" s="344"/>
      <c r="T80" s="344"/>
      <c r="U80" s="344"/>
      <c r="V80" s="344"/>
      <c r="W80" s="344"/>
      <c r="X80" s="344"/>
      <c r="Y80" s="344"/>
      <c r="Z80" s="344"/>
      <c r="AA80" s="344"/>
      <c r="AB80" s="344"/>
      <c r="AC80" s="344"/>
      <c r="AD80" s="344"/>
      <c r="AE80" s="344"/>
      <c r="AF80" s="344"/>
      <c r="AG80" s="344"/>
    </row>
    <row r="81">
      <c r="A81" s="357">
        <v>64.0</v>
      </c>
      <c r="B81" s="358" t="s">
        <v>702</v>
      </c>
      <c r="C81" s="144" t="s">
        <v>283</v>
      </c>
      <c r="D81" s="186" t="s">
        <v>633</v>
      </c>
      <c r="E81" s="186" t="s">
        <v>634</v>
      </c>
      <c r="F81" s="360">
        <v>37987.0</v>
      </c>
      <c r="G81" s="344"/>
      <c r="H81" s="344"/>
      <c r="I81" s="344"/>
      <c r="J81" s="344"/>
      <c r="K81" s="344"/>
      <c r="L81" s="344"/>
      <c r="M81" s="344"/>
      <c r="N81" s="344"/>
      <c r="O81" s="344"/>
      <c r="P81" s="344"/>
      <c r="Q81" s="344"/>
      <c r="R81" s="344"/>
      <c r="S81" s="344"/>
      <c r="T81" s="344"/>
      <c r="U81" s="344"/>
      <c r="V81" s="344"/>
      <c r="W81" s="344"/>
      <c r="X81" s="344"/>
      <c r="Y81" s="344"/>
      <c r="Z81" s="344"/>
      <c r="AA81" s="344"/>
      <c r="AB81" s="344"/>
      <c r="AC81" s="344"/>
      <c r="AD81" s="344"/>
      <c r="AE81" s="344"/>
      <c r="AF81" s="344"/>
      <c r="AG81" s="344"/>
    </row>
    <row r="82">
      <c r="A82" s="357">
        <v>65.0</v>
      </c>
      <c r="B82" s="358" t="s">
        <v>597</v>
      </c>
      <c r="C82" s="144" t="s">
        <v>283</v>
      </c>
      <c r="D82" s="186" t="s">
        <v>703</v>
      </c>
      <c r="E82" s="186" t="s">
        <v>653</v>
      </c>
      <c r="F82" s="360">
        <v>42514.0</v>
      </c>
      <c r="G82" s="344"/>
      <c r="H82" s="344"/>
      <c r="I82" s="344"/>
      <c r="J82" s="344"/>
      <c r="K82" s="344"/>
      <c r="L82" s="344"/>
      <c r="M82" s="344"/>
      <c r="N82" s="344"/>
      <c r="O82" s="344"/>
      <c r="P82" s="344"/>
      <c r="Q82" s="344"/>
      <c r="R82" s="344"/>
      <c r="S82" s="344"/>
      <c r="T82" s="344"/>
      <c r="U82" s="344"/>
      <c r="V82" s="344"/>
      <c r="W82" s="344"/>
      <c r="X82" s="344"/>
      <c r="Y82" s="344"/>
      <c r="Z82" s="344"/>
      <c r="AA82" s="344"/>
      <c r="AB82" s="344"/>
      <c r="AC82" s="344"/>
      <c r="AD82" s="344"/>
      <c r="AE82" s="344"/>
      <c r="AF82" s="344"/>
      <c r="AG82" s="344"/>
    </row>
    <row r="83">
      <c r="A83" s="357">
        <v>66.0</v>
      </c>
      <c r="B83" s="358" t="s">
        <v>704</v>
      </c>
      <c r="C83" s="144" t="s">
        <v>283</v>
      </c>
      <c r="D83" s="186" t="s">
        <v>705</v>
      </c>
      <c r="E83" s="186" t="s">
        <v>634</v>
      </c>
      <c r="F83" s="360">
        <v>42041.0</v>
      </c>
      <c r="G83" s="344"/>
      <c r="H83" s="344"/>
      <c r="I83" s="344"/>
      <c r="J83" s="344"/>
      <c r="K83" s="344"/>
      <c r="L83" s="344"/>
      <c r="M83" s="344"/>
      <c r="N83" s="344"/>
      <c r="O83" s="344"/>
      <c r="P83" s="344"/>
      <c r="Q83" s="344"/>
      <c r="R83" s="344"/>
      <c r="S83" s="344"/>
      <c r="T83" s="344"/>
      <c r="U83" s="344"/>
      <c r="V83" s="344"/>
      <c r="W83" s="344"/>
      <c r="X83" s="344"/>
      <c r="Y83" s="344"/>
      <c r="Z83" s="344"/>
      <c r="AA83" s="344"/>
      <c r="AB83" s="344"/>
      <c r="AC83" s="344"/>
      <c r="AD83" s="344"/>
      <c r="AE83" s="344"/>
      <c r="AF83" s="344"/>
      <c r="AG83" s="344"/>
    </row>
    <row r="84">
      <c r="A84" s="357">
        <v>67.0</v>
      </c>
      <c r="B84" s="358" t="s">
        <v>598</v>
      </c>
      <c r="C84" s="144" t="s">
        <v>283</v>
      </c>
      <c r="D84" s="186" t="s">
        <v>631</v>
      </c>
      <c r="E84" s="186" t="s">
        <v>661</v>
      </c>
      <c r="F84" s="360">
        <v>42090.0</v>
      </c>
      <c r="G84" s="344"/>
      <c r="H84" s="344"/>
      <c r="I84" s="344"/>
      <c r="J84" s="344"/>
      <c r="K84" s="344"/>
      <c r="L84" s="344"/>
      <c r="M84" s="344"/>
      <c r="N84" s="344"/>
      <c r="O84" s="344"/>
      <c r="P84" s="344"/>
      <c r="Q84" s="344"/>
      <c r="R84" s="344"/>
      <c r="S84" s="344"/>
      <c r="T84" s="344"/>
      <c r="U84" s="344"/>
      <c r="V84" s="344"/>
      <c r="W84" s="344"/>
      <c r="X84" s="344"/>
      <c r="Y84" s="344"/>
      <c r="Z84" s="344"/>
      <c r="AA84" s="344"/>
      <c r="AB84" s="344"/>
      <c r="AC84" s="344"/>
      <c r="AD84" s="344"/>
      <c r="AE84" s="344"/>
      <c r="AF84" s="344"/>
      <c r="AG84" s="344"/>
    </row>
    <row r="85">
      <c r="A85" s="357">
        <v>68.0</v>
      </c>
      <c r="B85" s="358" t="s">
        <v>593</v>
      </c>
      <c r="C85" s="144" t="s">
        <v>304</v>
      </c>
      <c r="D85" s="186" t="s">
        <v>706</v>
      </c>
      <c r="E85" s="186" t="s">
        <v>659</v>
      </c>
      <c r="F85" s="359">
        <v>41639.0</v>
      </c>
      <c r="G85" s="344"/>
      <c r="H85" s="344"/>
      <c r="I85" s="344"/>
      <c r="J85" s="344"/>
      <c r="K85" s="344"/>
      <c r="L85" s="344"/>
      <c r="M85" s="344"/>
      <c r="N85" s="344"/>
      <c r="O85" s="344"/>
      <c r="P85" s="344"/>
      <c r="Q85" s="344"/>
      <c r="R85" s="344"/>
      <c r="S85" s="344"/>
      <c r="T85" s="344"/>
      <c r="U85" s="344"/>
      <c r="V85" s="344"/>
      <c r="W85" s="344"/>
      <c r="X85" s="344"/>
      <c r="Y85" s="344"/>
      <c r="Z85" s="344"/>
      <c r="AA85" s="344"/>
      <c r="AB85" s="344"/>
      <c r="AC85" s="344"/>
      <c r="AD85" s="344"/>
      <c r="AE85" s="344"/>
      <c r="AF85" s="344"/>
      <c r="AG85" s="344"/>
    </row>
    <row r="86">
      <c r="A86" s="357">
        <v>69.0</v>
      </c>
      <c r="B86" s="358" t="s">
        <v>577</v>
      </c>
      <c r="C86" s="144" t="s">
        <v>283</v>
      </c>
      <c r="D86" s="186" t="s">
        <v>707</v>
      </c>
      <c r="E86" s="186" t="s">
        <v>708</v>
      </c>
      <c r="F86" s="360">
        <v>45518.0</v>
      </c>
      <c r="G86" s="344"/>
      <c r="H86" s="344"/>
      <c r="I86" s="344"/>
      <c r="J86" s="344"/>
      <c r="K86" s="344"/>
      <c r="L86" s="344"/>
      <c r="M86" s="344"/>
      <c r="N86" s="344"/>
      <c r="O86" s="344"/>
      <c r="P86" s="344"/>
      <c r="Q86" s="344"/>
      <c r="R86" s="344"/>
      <c r="S86" s="344"/>
      <c r="T86" s="344"/>
      <c r="U86" s="344"/>
      <c r="V86" s="344"/>
      <c r="W86" s="344"/>
      <c r="X86" s="344"/>
      <c r="Y86" s="344"/>
      <c r="Z86" s="344"/>
      <c r="AA86" s="344"/>
      <c r="AB86" s="344"/>
      <c r="AC86" s="344"/>
      <c r="AD86" s="344"/>
      <c r="AE86" s="344"/>
      <c r="AF86" s="344"/>
      <c r="AG86" s="344"/>
    </row>
    <row r="87">
      <c r="A87" s="357">
        <v>70.0</v>
      </c>
      <c r="B87" s="358" t="s">
        <v>599</v>
      </c>
      <c r="C87" s="144" t="s">
        <v>283</v>
      </c>
      <c r="D87" s="186" t="s">
        <v>671</v>
      </c>
      <c r="E87" s="186" t="s">
        <v>653</v>
      </c>
      <c r="F87" s="360">
        <v>42944.0</v>
      </c>
      <c r="G87" s="344"/>
      <c r="H87" s="344"/>
      <c r="I87" s="344"/>
      <c r="J87" s="344"/>
      <c r="K87" s="344"/>
      <c r="L87" s="344"/>
      <c r="M87" s="344"/>
      <c r="N87" s="344"/>
      <c r="O87" s="344"/>
      <c r="P87" s="344"/>
      <c r="Q87" s="344"/>
      <c r="R87" s="344"/>
      <c r="S87" s="344"/>
      <c r="T87" s="344"/>
      <c r="U87" s="344"/>
      <c r="V87" s="344"/>
      <c r="W87" s="344"/>
      <c r="X87" s="344"/>
      <c r="Y87" s="344"/>
      <c r="Z87" s="344"/>
      <c r="AA87" s="344"/>
      <c r="AB87" s="344"/>
      <c r="AC87" s="344"/>
      <c r="AD87" s="344"/>
      <c r="AE87" s="344"/>
      <c r="AF87" s="344"/>
      <c r="AG87" s="344"/>
    </row>
    <row r="88">
      <c r="A88" s="357">
        <v>71.0</v>
      </c>
      <c r="B88" s="358" t="s">
        <v>709</v>
      </c>
      <c r="C88" s="144" t="s">
        <v>283</v>
      </c>
      <c r="D88" s="186" t="s">
        <v>633</v>
      </c>
      <c r="E88" s="186" t="s">
        <v>649</v>
      </c>
      <c r="F88" s="360">
        <v>42048.0</v>
      </c>
      <c r="G88" s="344"/>
      <c r="H88" s="344"/>
      <c r="I88" s="344"/>
      <c r="J88" s="344"/>
      <c r="K88" s="344"/>
      <c r="L88" s="344"/>
      <c r="M88" s="344"/>
      <c r="N88" s="344"/>
      <c r="O88" s="344"/>
      <c r="P88" s="344"/>
      <c r="Q88" s="344"/>
      <c r="R88" s="344"/>
      <c r="S88" s="344"/>
      <c r="T88" s="344"/>
      <c r="U88" s="344"/>
      <c r="V88" s="344"/>
      <c r="W88" s="344"/>
      <c r="X88" s="344"/>
      <c r="Y88" s="344"/>
      <c r="Z88" s="344"/>
      <c r="AA88" s="344"/>
      <c r="AB88" s="344"/>
      <c r="AC88" s="344"/>
      <c r="AD88" s="344"/>
      <c r="AE88" s="344"/>
      <c r="AF88" s="344"/>
      <c r="AG88" s="344"/>
    </row>
    <row r="89">
      <c r="A89" s="357">
        <v>72.0</v>
      </c>
      <c r="B89" s="358" t="s">
        <v>600</v>
      </c>
      <c r="C89" s="144" t="s">
        <v>283</v>
      </c>
      <c r="D89" s="186" t="s">
        <v>648</v>
      </c>
      <c r="E89" s="186" t="s">
        <v>698</v>
      </c>
      <c r="F89" s="360">
        <v>42048.0</v>
      </c>
      <c r="G89" s="344"/>
      <c r="H89" s="344"/>
      <c r="I89" s="344"/>
      <c r="J89" s="344"/>
      <c r="K89" s="344"/>
      <c r="L89" s="344"/>
      <c r="M89" s="344"/>
      <c r="N89" s="344"/>
      <c r="O89" s="344"/>
      <c r="P89" s="344"/>
      <c r="Q89" s="344"/>
      <c r="R89" s="344"/>
      <c r="S89" s="344"/>
      <c r="T89" s="344"/>
      <c r="U89" s="344"/>
      <c r="V89" s="344"/>
      <c r="W89" s="344"/>
      <c r="X89" s="344"/>
      <c r="Y89" s="344"/>
      <c r="Z89" s="344"/>
      <c r="AA89" s="344"/>
      <c r="AB89" s="344"/>
      <c r="AC89" s="344"/>
      <c r="AD89" s="344"/>
      <c r="AE89" s="344"/>
      <c r="AF89" s="344"/>
      <c r="AG89" s="344"/>
    </row>
    <row r="90">
      <c r="A90" s="357">
        <v>73.0</v>
      </c>
      <c r="B90" s="358" t="s">
        <v>710</v>
      </c>
      <c r="C90" s="144" t="s">
        <v>283</v>
      </c>
      <c r="D90" s="186" t="s">
        <v>695</v>
      </c>
      <c r="E90" s="186" t="s">
        <v>711</v>
      </c>
      <c r="F90" s="360">
        <v>44778.0</v>
      </c>
      <c r="G90" s="344"/>
      <c r="H90" s="344"/>
      <c r="I90" s="344"/>
      <c r="J90" s="344"/>
      <c r="K90" s="344"/>
      <c r="L90" s="344"/>
      <c r="M90" s="344"/>
      <c r="N90" s="344"/>
      <c r="O90" s="344"/>
      <c r="P90" s="344"/>
      <c r="Q90" s="344"/>
      <c r="R90" s="344"/>
      <c r="S90" s="344"/>
      <c r="T90" s="344"/>
      <c r="U90" s="344"/>
      <c r="V90" s="344"/>
      <c r="W90" s="344"/>
      <c r="X90" s="344"/>
      <c r="Y90" s="344"/>
      <c r="Z90" s="344"/>
      <c r="AA90" s="344"/>
      <c r="AB90" s="344"/>
      <c r="AC90" s="344"/>
      <c r="AD90" s="344"/>
      <c r="AE90" s="344"/>
      <c r="AF90" s="344"/>
      <c r="AG90" s="344"/>
    </row>
    <row r="91">
      <c r="A91" s="357">
        <v>74.0</v>
      </c>
      <c r="B91" s="358" t="s">
        <v>712</v>
      </c>
      <c r="C91" s="144" t="s">
        <v>283</v>
      </c>
      <c r="D91" s="186" t="s">
        <v>713</v>
      </c>
      <c r="E91" s="186" t="s">
        <v>661</v>
      </c>
      <c r="F91" s="360">
        <v>39515.0</v>
      </c>
      <c r="G91" s="344"/>
      <c r="H91" s="344"/>
      <c r="I91" s="344"/>
      <c r="J91" s="344"/>
      <c r="K91" s="344"/>
      <c r="L91" s="344"/>
      <c r="M91" s="344"/>
      <c r="N91" s="344"/>
      <c r="O91" s="344"/>
      <c r="P91" s="344"/>
      <c r="Q91" s="344"/>
      <c r="R91" s="344"/>
      <c r="S91" s="344"/>
      <c r="T91" s="344"/>
      <c r="U91" s="344"/>
      <c r="V91" s="344"/>
      <c r="W91" s="344"/>
      <c r="X91" s="344"/>
      <c r="Y91" s="344"/>
      <c r="Z91" s="344"/>
      <c r="AA91" s="344"/>
      <c r="AB91" s="344"/>
      <c r="AC91" s="344"/>
      <c r="AD91" s="344"/>
      <c r="AE91" s="344"/>
      <c r="AF91" s="344"/>
      <c r="AG91" s="344"/>
    </row>
    <row r="92">
      <c r="A92" s="357">
        <v>75.0</v>
      </c>
      <c r="B92" s="358" t="s">
        <v>563</v>
      </c>
      <c r="C92" s="144" t="s">
        <v>304</v>
      </c>
      <c r="D92" s="186" t="s">
        <v>633</v>
      </c>
      <c r="E92" s="186" t="s">
        <v>649</v>
      </c>
      <c r="F92" s="360">
        <v>44263.0</v>
      </c>
      <c r="G92" s="344"/>
      <c r="H92" s="344"/>
      <c r="I92" s="344"/>
      <c r="J92" s="344"/>
      <c r="K92" s="344"/>
      <c r="L92" s="344"/>
      <c r="M92" s="344"/>
      <c r="N92" s="344"/>
      <c r="O92" s="344"/>
      <c r="P92" s="344"/>
      <c r="Q92" s="344"/>
      <c r="R92" s="344"/>
      <c r="S92" s="344"/>
      <c r="T92" s="344"/>
      <c r="U92" s="344"/>
      <c r="V92" s="344"/>
      <c r="W92" s="344"/>
      <c r="X92" s="344"/>
      <c r="Y92" s="344"/>
      <c r="Z92" s="344"/>
      <c r="AA92" s="344"/>
      <c r="AB92" s="344"/>
      <c r="AC92" s="344"/>
      <c r="AD92" s="344"/>
      <c r="AE92" s="344"/>
      <c r="AF92" s="344"/>
      <c r="AG92" s="344"/>
    </row>
    <row r="93">
      <c r="A93" s="357">
        <v>76.0</v>
      </c>
      <c r="B93" s="358" t="s">
        <v>602</v>
      </c>
      <c r="C93" s="144" t="s">
        <v>283</v>
      </c>
      <c r="D93" s="186" t="s">
        <v>633</v>
      </c>
      <c r="E93" s="186" t="s">
        <v>634</v>
      </c>
      <c r="F93" s="360">
        <v>41677.0</v>
      </c>
      <c r="G93" s="344"/>
      <c r="H93" s="344"/>
      <c r="I93" s="344"/>
      <c r="J93" s="344"/>
      <c r="K93" s="344"/>
      <c r="L93" s="344"/>
      <c r="M93" s="344"/>
      <c r="N93" s="344"/>
      <c r="O93" s="344"/>
      <c r="P93" s="344"/>
      <c r="Q93" s="344"/>
      <c r="R93" s="344"/>
      <c r="S93" s="344"/>
      <c r="T93" s="344"/>
      <c r="U93" s="344"/>
      <c r="V93" s="344"/>
      <c r="W93" s="344"/>
      <c r="X93" s="344"/>
      <c r="Y93" s="344"/>
      <c r="Z93" s="344"/>
      <c r="AA93" s="344"/>
      <c r="AB93" s="344"/>
      <c r="AC93" s="344"/>
      <c r="AD93" s="344"/>
      <c r="AE93" s="344"/>
      <c r="AF93" s="344"/>
      <c r="AG93" s="344"/>
    </row>
    <row r="94">
      <c r="A94" s="357">
        <v>77.0</v>
      </c>
      <c r="B94" s="358" t="s">
        <v>603</v>
      </c>
      <c r="C94" s="144" t="s">
        <v>283</v>
      </c>
      <c r="D94" s="186" t="s">
        <v>633</v>
      </c>
      <c r="E94" s="186" t="s">
        <v>661</v>
      </c>
      <c r="F94" s="360">
        <v>42825.0</v>
      </c>
      <c r="G94" s="344"/>
      <c r="H94" s="344"/>
      <c r="I94" s="344"/>
      <c r="J94" s="344"/>
      <c r="K94" s="344"/>
      <c r="L94" s="344"/>
      <c r="M94" s="344"/>
      <c r="N94" s="344"/>
      <c r="O94" s="344"/>
      <c r="P94" s="344"/>
      <c r="Q94" s="344"/>
      <c r="R94" s="344"/>
      <c r="S94" s="344"/>
      <c r="T94" s="344"/>
      <c r="U94" s="344"/>
      <c r="V94" s="344"/>
      <c r="W94" s="344"/>
      <c r="X94" s="344"/>
      <c r="Y94" s="344"/>
      <c r="Z94" s="344"/>
      <c r="AA94" s="344"/>
      <c r="AB94" s="344"/>
      <c r="AC94" s="344"/>
      <c r="AD94" s="344"/>
      <c r="AE94" s="344"/>
      <c r="AF94" s="344"/>
      <c r="AG94" s="344"/>
    </row>
    <row r="95">
      <c r="A95" s="357">
        <v>78.0</v>
      </c>
      <c r="B95" s="358" t="s">
        <v>604</v>
      </c>
      <c r="C95" s="144" t="s">
        <v>283</v>
      </c>
      <c r="D95" s="186" t="s">
        <v>631</v>
      </c>
      <c r="E95" s="186" t="s">
        <v>649</v>
      </c>
      <c r="F95" s="360">
        <v>43328.0</v>
      </c>
      <c r="G95" s="344"/>
      <c r="H95" s="344"/>
      <c r="I95" s="344"/>
      <c r="J95" s="344"/>
      <c r="K95" s="344"/>
      <c r="L95" s="344"/>
      <c r="M95" s="344"/>
      <c r="N95" s="344"/>
      <c r="O95" s="344"/>
      <c r="P95" s="344"/>
      <c r="Q95" s="344"/>
      <c r="R95" s="344"/>
      <c r="S95" s="344"/>
      <c r="T95" s="344"/>
      <c r="U95" s="344"/>
      <c r="V95" s="344"/>
      <c r="W95" s="344"/>
      <c r="X95" s="344"/>
      <c r="Y95" s="344"/>
      <c r="Z95" s="344"/>
      <c r="AA95" s="344"/>
      <c r="AB95" s="344"/>
      <c r="AC95" s="344"/>
      <c r="AD95" s="344"/>
      <c r="AE95" s="344"/>
      <c r="AF95" s="344"/>
      <c r="AG95" s="344"/>
    </row>
    <row r="96">
      <c r="A96" s="357">
        <v>79.0</v>
      </c>
      <c r="B96" s="358" t="s">
        <v>605</v>
      </c>
      <c r="C96" s="144" t="s">
        <v>283</v>
      </c>
      <c r="D96" s="186" t="s">
        <v>640</v>
      </c>
      <c r="E96" s="186" t="s">
        <v>634</v>
      </c>
      <c r="F96" s="360">
        <v>42762.0</v>
      </c>
      <c r="G96" s="344"/>
      <c r="H96" s="344"/>
      <c r="I96" s="344"/>
      <c r="J96" s="344"/>
      <c r="K96" s="344"/>
      <c r="L96" s="344"/>
      <c r="M96" s="344"/>
      <c r="N96" s="344"/>
      <c r="O96" s="344"/>
      <c r="P96" s="344"/>
      <c r="Q96" s="344"/>
      <c r="R96" s="344"/>
      <c r="S96" s="344"/>
      <c r="T96" s="344"/>
      <c r="U96" s="344"/>
      <c r="V96" s="344"/>
      <c r="W96" s="344"/>
      <c r="X96" s="344"/>
      <c r="Y96" s="344"/>
      <c r="Z96" s="344"/>
      <c r="AA96" s="344"/>
      <c r="AB96" s="344"/>
      <c r="AC96" s="344"/>
      <c r="AD96" s="344"/>
      <c r="AE96" s="344"/>
      <c r="AF96" s="344"/>
      <c r="AG96" s="344"/>
    </row>
    <row r="97">
      <c r="A97" s="357">
        <v>80.0</v>
      </c>
      <c r="B97" s="358" t="s">
        <v>714</v>
      </c>
      <c r="C97" s="144" t="s">
        <v>283</v>
      </c>
      <c r="D97" s="186" t="s">
        <v>640</v>
      </c>
      <c r="E97" s="186" t="s">
        <v>634</v>
      </c>
      <c r="F97" s="359">
        <v>43100.0</v>
      </c>
      <c r="G97" s="344"/>
      <c r="H97" s="344"/>
      <c r="I97" s="344"/>
      <c r="J97" s="344"/>
      <c r="K97" s="344"/>
      <c r="L97" s="344"/>
      <c r="M97" s="344"/>
      <c r="N97" s="344"/>
      <c r="O97" s="344"/>
      <c r="P97" s="344"/>
      <c r="Q97" s="344"/>
      <c r="R97" s="344"/>
      <c r="S97" s="344"/>
      <c r="T97" s="344"/>
      <c r="U97" s="344"/>
      <c r="V97" s="344"/>
      <c r="W97" s="344"/>
      <c r="X97" s="344"/>
      <c r="Y97" s="344"/>
      <c r="Z97" s="344"/>
      <c r="AA97" s="344"/>
      <c r="AB97" s="344"/>
      <c r="AC97" s="344"/>
      <c r="AD97" s="344"/>
      <c r="AE97" s="344"/>
      <c r="AF97" s="344"/>
      <c r="AG97" s="344"/>
    </row>
    <row r="98">
      <c r="A98" s="357">
        <v>81.0</v>
      </c>
      <c r="B98" s="358" t="s">
        <v>564</v>
      </c>
      <c r="C98" s="144" t="s">
        <v>304</v>
      </c>
      <c r="D98" s="186" t="s">
        <v>715</v>
      </c>
      <c r="E98" s="186" t="s">
        <v>634</v>
      </c>
      <c r="F98" s="360">
        <v>45169.0</v>
      </c>
      <c r="G98" s="344"/>
      <c r="H98" s="344"/>
      <c r="I98" s="344"/>
      <c r="J98" s="344"/>
      <c r="K98" s="344"/>
      <c r="L98" s="344"/>
      <c r="M98" s="344"/>
      <c r="N98" s="344"/>
      <c r="O98" s="344"/>
      <c r="P98" s="344"/>
      <c r="Q98" s="344"/>
      <c r="R98" s="344"/>
      <c r="S98" s="344"/>
      <c r="T98" s="344"/>
      <c r="U98" s="344"/>
      <c r="V98" s="344"/>
      <c r="W98" s="344"/>
      <c r="X98" s="344"/>
      <c r="Y98" s="344"/>
      <c r="Z98" s="344"/>
      <c r="AA98" s="344"/>
      <c r="AB98" s="344"/>
      <c r="AC98" s="344"/>
      <c r="AD98" s="344"/>
      <c r="AE98" s="344"/>
      <c r="AF98" s="344"/>
      <c r="AG98" s="344"/>
    </row>
    <row r="99">
      <c r="A99" s="357">
        <v>82.0</v>
      </c>
      <c r="B99" s="358" t="s">
        <v>606</v>
      </c>
      <c r="C99" s="144" t="s">
        <v>283</v>
      </c>
      <c r="D99" s="186" t="s">
        <v>631</v>
      </c>
      <c r="E99" s="186" t="s">
        <v>649</v>
      </c>
      <c r="F99" s="360">
        <v>42240.0</v>
      </c>
      <c r="G99" s="344"/>
      <c r="H99" s="344"/>
      <c r="I99" s="344"/>
      <c r="J99" s="344"/>
      <c r="K99" s="344"/>
      <c r="L99" s="344"/>
      <c r="M99" s="344"/>
      <c r="N99" s="344"/>
      <c r="O99" s="344"/>
      <c r="P99" s="344"/>
      <c r="Q99" s="344"/>
      <c r="R99" s="344"/>
      <c r="S99" s="344"/>
      <c r="T99" s="344"/>
      <c r="U99" s="344"/>
      <c r="V99" s="344"/>
      <c r="W99" s="344"/>
      <c r="X99" s="344"/>
      <c r="Y99" s="344"/>
      <c r="Z99" s="344"/>
      <c r="AA99" s="344"/>
      <c r="AB99" s="344"/>
      <c r="AC99" s="344"/>
      <c r="AD99" s="344"/>
      <c r="AE99" s="344"/>
      <c r="AF99" s="344"/>
      <c r="AG99" s="344"/>
    </row>
    <row r="100">
      <c r="A100" s="357">
        <v>83.0</v>
      </c>
      <c r="B100" s="358" t="s">
        <v>716</v>
      </c>
      <c r="C100" s="144" t="s">
        <v>304</v>
      </c>
      <c r="D100" s="186" t="s">
        <v>717</v>
      </c>
      <c r="E100" s="186" t="s">
        <v>718</v>
      </c>
      <c r="F100" s="360">
        <v>44463.0</v>
      </c>
      <c r="G100" s="344"/>
      <c r="H100" s="344"/>
      <c r="I100" s="344"/>
      <c r="J100" s="344"/>
      <c r="K100" s="344"/>
      <c r="L100" s="344"/>
      <c r="M100" s="344"/>
      <c r="N100" s="344"/>
      <c r="O100" s="344"/>
      <c r="P100" s="344"/>
      <c r="Q100" s="344"/>
      <c r="R100" s="344"/>
      <c r="S100" s="344"/>
      <c r="T100" s="344"/>
      <c r="U100" s="344"/>
      <c r="V100" s="344"/>
      <c r="W100" s="344"/>
      <c r="X100" s="344"/>
      <c r="Y100" s="344"/>
      <c r="Z100" s="344"/>
      <c r="AA100" s="344"/>
      <c r="AB100" s="344"/>
      <c r="AC100" s="344"/>
      <c r="AD100" s="344"/>
      <c r="AE100" s="344"/>
      <c r="AF100" s="344"/>
      <c r="AG100" s="344"/>
    </row>
    <row r="101">
      <c r="A101" s="357">
        <v>84.0</v>
      </c>
      <c r="B101" s="358" t="s">
        <v>607</v>
      </c>
      <c r="C101" s="144" t="s">
        <v>283</v>
      </c>
      <c r="D101" s="186"/>
      <c r="E101" s="186" t="s">
        <v>719</v>
      </c>
      <c r="F101" s="359">
        <v>42735.0</v>
      </c>
      <c r="G101" s="344"/>
      <c r="H101" s="344"/>
      <c r="I101" s="344"/>
      <c r="J101" s="344"/>
      <c r="K101" s="344"/>
      <c r="L101" s="344"/>
      <c r="M101" s="344"/>
      <c r="N101" s="344"/>
      <c r="O101" s="344"/>
      <c r="P101" s="344"/>
      <c r="Q101" s="344"/>
      <c r="R101" s="344"/>
      <c r="S101" s="344"/>
      <c r="T101" s="344"/>
      <c r="U101" s="344"/>
      <c r="V101" s="344"/>
      <c r="W101" s="344"/>
      <c r="X101" s="344"/>
      <c r="Y101" s="344"/>
      <c r="Z101" s="344"/>
      <c r="AA101" s="344"/>
      <c r="AB101" s="344"/>
      <c r="AC101" s="344"/>
      <c r="AD101" s="344"/>
      <c r="AE101" s="344"/>
      <c r="AF101" s="344"/>
      <c r="AG101" s="344"/>
    </row>
    <row r="102">
      <c r="A102" s="357">
        <v>85.0</v>
      </c>
      <c r="B102" s="358" t="s">
        <v>720</v>
      </c>
      <c r="C102" s="144" t="s">
        <v>304</v>
      </c>
      <c r="D102" s="186" t="s">
        <v>721</v>
      </c>
      <c r="E102" s="186" t="s">
        <v>653</v>
      </c>
      <c r="F102" s="359">
        <v>45989.0</v>
      </c>
      <c r="G102" s="344"/>
      <c r="H102" s="344"/>
      <c r="I102" s="344"/>
      <c r="J102" s="344"/>
      <c r="K102" s="344"/>
      <c r="L102" s="344"/>
      <c r="M102" s="344"/>
      <c r="N102" s="344"/>
      <c r="O102" s="344"/>
      <c r="P102" s="344"/>
      <c r="Q102" s="344"/>
      <c r="R102" s="344"/>
      <c r="S102" s="344"/>
      <c r="T102" s="344"/>
      <c r="U102" s="344"/>
      <c r="V102" s="344"/>
      <c r="W102" s="344"/>
      <c r="X102" s="344"/>
      <c r="Y102" s="344"/>
      <c r="Z102" s="344"/>
      <c r="AA102" s="344"/>
      <c r="AB102" s="344"/>
      <c r="AC102" s="344"/>
      <c r="AD102" s="344"/>
      <c r="AE102" s="344"/>
      <c r="AF102" s="344"/>
      <c r="AG102" s="344"/>
    </row>
    <row r="103">
      <c r="A103" s="357">
        <v>86.0</v>
      </c>
      <c r="B103" s="358" t="s">
        <v>609</v>
      </c>
      <c r="C103" s="144" t="s">
        <v>283</v>
      </c>
      <c r="D103" s="186" t="s">
        <v>667</v>
      </c>
      <c r="E103" s="186" t="s">
        <v>722</v>
      </c>
      <c r="F103" s="359">
        <v>37205.0</v>
      </c>
      <c r="G103" s="344"/>
      <c r="H103" s="344"/>
      <c r="I103" s="344"/>
      <c r="J103" s="344"/>
      <c r="K103" s="344"/>
      <c r="L103" s="344"/>
      <c r="M103" s="344"/>
      <c r="N103" s="344"/>
      <c r="O103" s="344"/>
      <c r="P103" s="344"/>
      <c r="Q103" s="344"/>
      <c r="R103" s="344"/>
      <c r="S103" s="344"/>
      <c r="T103" s="344"/>
      <c r="U103" s="344"/>
      <c r="V103" s="344"/>
      <c r="W103" s="344"/>
      <c r="X103" s="344"/>
      <c r="Y103" s="344"/>
      <c r="Z103" s="344"/>
      <c r="AA103" s="344"/>
      <c r="AB103" s="344"/>
      <c r="AC103" s="344"/>
      <c r="AD103" s="344"/>
      <c r="AE103" s="344"/>
      <c r="AF103" s="344"/>
      <c r="AG103" s="344"/>
    </row>
    <row r="104">
      <c r="B104" s="362" t="s">
        <v>723</v>
      </c>
      <c r="C104" s="344"/>
      <c r="D104" s="344"/>
      <c r="E104" s="344"/>
      <c r="F104" s="348"/>
      <c r="G104" s="344"/>
      <c r="H104" s="344"/>
      <c r="I104" s="344"/>
      <c r="J104" s="344"/>
      <c r="K104" s="344"/>
      <c r="L104" s="344"/>
      <c r="M104" s="344"/>
      <c r="N104" s="344"/>
      <c r="O104" s="344"/>
      <c r="P104" s="344"/>
      <c r="Q104" s="344"/>
      <c r="R104" s="344"/>
      <c r="S104" s="344"/>
      <c r="T104" s="344"/>
      <c r="U104" s="344"/>
      <c r="V104" s="344"/>
      <c r="W104" s="344"/>
      <c r="X104" s="344"/>
      <c r="Y104" s="344"/>
      <c r="Z104" s="344"/>
      <c r="AA104" s="344"/>
      <c r="AB104" s="344"/>
      <c r="AC104" s="344"/>
      <c r="AD104" s="344"/>
      <c r="AE104" s="344"/>
      <c r="AF104" s="344"/>
      <c r="AG104" s="344"/>
    </row>
    <row r="105">
      <c r="A105" s="344"/>
      <c r="B105" s="344"/>
      <c r="C105" s="344"/>
      <c r="D105" s="344"/>
      <c r="E105" s="344"/>
      <c r="F105" s="348"/>
      <c r="G105" s="344"/>
      <c r="H105" s="344"/>
      <c r="I105" s="344"/>
      <c r="J105" s="344"/>
      <c r="K105" s="344"/>
      <c r="L105" s="344"/>
      <c r="M105" s="344"/>
      <c r="N105" s="344"/>
      <c r="O105" s="344"/>
      <c r="P105" s="344"/>
      <c r="Q105" s="344"/>
      <c r="R105" s="344"/>
      <c r="S105" s="344"/>
      <c r="T105" s="344"/>
      <c r="U105" s="344"/>
      <c r="V105" s="344"/>
      <c r="W105" s="344"/>
      <c r="X105" s="344"/>
      <c r="Y105" s="344"/>
      <c r="Z105" s="344"/>
      <c r="AA105" s="344"/>
      <c r="AB105" s="344"/>
      <c r="AC105" s="344"/>
      <c r="AD105" s="344"/>
      <c r="AE105" s="344"/>
      <c r="AF105" s="344"/>
      <c r="AG105" s="344"/>
    </row>
    <row r="106">
      <c r="A106" s="341" t="s">
        <v>724</v>
      </c>
      <c r="B106" s="344"/>
      <c r="C106" s="344"/>
      <c r="D106" s="344"/>
      <c r="E106" s="344"/>
      <c r="F106" s="348"/>
      <c r="G106" s="344"/>
      <c r="H106" s="344"/>
      <c r="I106" s="344"/>
      <c r="J106" s="344"/>
      <c r="K106" s="344"/>
      <c r="L106" s="344"/>
      <c r="M106" s="344"/>
      <c r="N106" s="344"/>
      <c r="O106" s="344"/>
      <c r="P106" s="344"/>
      <c r="Q106" s="344"/>
      <c r="R106" s="344"/>
      <c r="S106" s="344"/>
      <c r="T106" s="344"/>
      <c r="U106" s="344"/>
      <c r="V106" s="344"/>
      <c r="W106" s="344"/>
      <c r="X106" s="344"/>
      <c r="Y106" s="344"/>
      <c r="Z106" s="344"/>
      <c r="AA106" s="344"/>
      <c r="AB106" s="344"/>
      <c r="AC106" s="344"/>
      <c r="AD106" s="344"/>
      <c r="AE106" s="344"/>
      <c r="AF106" s="344"/>
      <c r="AG106" s="344"/>
    </row>
    <row r="107">
      <c r="A107" s="363" t="s">
        <v>0</v>
      </c>
      <c r="B107" s="363" t="s">
        <v>270</v>
      </c>
      <c r="C107" s="364" t="s">
        <v>272</v>
      </c>
      <c r="D107" s="55"/>
      <c r="E107" s="364" t="s">
        <v>725</v>
      </c>
      <c r="F107" s="55"/>
      <c r="G107" s="344"/>
      <c r="H107" s="344"/>
      <c r="I107" s="344"/>
      <c r="J107" s="344"/>
      <c r="K107" s="344"/>
      <c r="L107" s="344"/>
      <c r="M107" s="344"/>
      <c r="N107" s="344"/>
      <c r="O107" s="344"/>
      <c r="P107" s="344"/>
      <c r="Q107" s="344"/>
      <c r="R107" s="344"/>
      <c r="S107" s="344"/>
      <c r="T107" s="344"/>
      <c r="U107" s="344"/>
      <c r="V107" s="344"/>
      <c r="W107" s="344"/>
      <c r="X107" s="344"/>
      <c r="Y107" s="344"/>
      <c r="Z107" s="344"/>
      <c r="AA107" s="344"/>
      <c r="AB107" s="344"/>
      <c r="AC107" s="344"/>
      <c r="AD107" s="344"/>
      <c r="AE107" s="344"/>
      <c r="AF107" s="344"/>
      <c r="AG107" s="344"/>
    </row>
    <row r="108">
      <c r="A108" s="56"/>
      <c r="B108" s="56"/>
      <c r="C108" s="365" t="s">
        <v>726</v>
      </c>
      <c r="D108" s="365" t="s">
        <v>727</v>
      </c>
      <c r="E108" s="365" t="s">
        <v>726</v>
      </c>
      <c r="F108" s="365" t="s">
        <v>728</v>
      </c>
      <c r="G108" s="344"/>
      <c r="H108" s="344"/>
      <c r="I108" s="344"/>
      <c r="J108" s="344"/>
      <c r="K108" s="344"/>
      <c r="L108" s="344"/>
      <c r="M108" s="344"/>
      <c r="N108" s="344"/>
      <c r="O108" s="344"/>
      <c r="P108" s="344"/>
      <c r="Q108" s="344"/>
      <c r="R108" s="344"/>
      <c r="S108" s="344"/>
      <c r="T108" s="344"/>
      <c r="U108" s="344"/>
      <c r="V108" s="344"/>
      <c r="W108" s="344"/>
      <c r="X108" s="344"/>
      <c r="Y108" s="344"/>
      <c r="Z108" s="344"/>
      <c r="AA108" s="344"/>
      <c r="AB108" s="344"/>
      <c r="AC108" s="344"/>
      <c r="AD108" s="344"/>
      <c r="AE108" s="344"/>
      <c r="AF108" s="344"/>
      <c r="AG108" s="344"/>
    </row>
    <row r="109">
      <c r="A109" s="366">
        <v>1.0</v>
      </c>
      <c r="B109" s="367" t="s">
        <v>535</v>
      </c>
      <c r="C109" s="186" t="s">
        <v>284</v>
      </c>
      <c r="D109" s="368">
        <v>2023.0</v>
      </c>
      <c r="E109" s="369" t="s">
        <v>729</v>
      </c>
      <c r="F109" s="370" t="s">
        <v>730</v>
      </c>
      <c r="G109" s="344"/>
      <c r="H109" s="344"/>
      <c r="I109" s="344"/>
      <c r="J109" s="344"/>
      <c r="K109" s="344"/>
      <c r="L109" s="344"/>
      <c r="M109" s="344"/>
      <c r="N109" s="344"/>
      <c r="O109" s="344"/>
      <c r="P109" s="344"/>
      <c r="Q109" s="344"/>
      <c r="R109" s="344"/>
      <c r="S109" s="344"/>
      <c r="T109" s="344"/>
      <c r="U109" s="344"/>
      <c r="V109" s="344"/>
      <c r="W109" s="344"/>
      <c r="X109" s="344"/>
      <c r="Y109" s="344"/>
      <c r="Z109" s="344"/>
      <c r="AA109" s="344"/>
      <c r="AB109" s="344"/>
      <c r="AC109" s="344"/>
      <c r="AD109" s="344"/>
      <c r="AE109" s="344"/>
      <c r="AF109" s="344"/>
      <c r="AG109" s="344"/>
    </row>
    <row r="110">
      <c r="A110" s="366">
        <v>2.0</v>
      </c>
      <c r="B110" s="367" t="s">
        <v>731</v>
      </c>
      <c r="C110" s="186" t="s">
        <v>290</v>
      </c>
      <c r="D110" s="371"/>
      <c r="E110" s="369" t="s">
        <v>729</v>
      </c>
      <c r="F110" s="370" t="s">
        <v>730</v>
      </c>
      <c r="G110" s="344"/>
      <c r="H110" s="344"/>
      <c r="I110" s="344"/>
      <c r="J110" s="344"/>
      <c r="K110" s="344"/>
      <c r="L110" s="344"/>
      <c r="M110" s="344"/>
      <c r="N110" s="344"/>
      <c r="O110" s="344"/>
      <c r="P110" s="344"/>
      <c r="Q110" s="344"/>
      <c r="R110" s="344"/>
      <c r="S110" s="344"/>
      <c r="T110" s="344"/>
      <c r="U110" s="344"/>
      <c r="V110" s="344"/>
      <c r="W110" s="344"/>
      <c r="X110" s="344"/>
      <c r="Y110" s="344"/>
      <c r="Z110" s="344"/>
      <c r="AA110" s="344"/>
      <c r="AB110" s="344"/>
      <c r="AC110" s="344"/>
      <c r="AD110" s="344"/>
      <c r="AE110" s="344"/>
      <c r="AF110" s="344"/>
      <c r="AG110" s="344"/>
    </row>
    <row r="111">
      <c r="A111" s="366">
        <v>3.0</v>
      </c>
      <c r="B111" s="367" t="s">
        <v>540</v>
      </c>
      <c r="C111" s="186" t="s">
        <v>284</v>
      </c>
      <c r="D111" s="371">
        <v>2023.0</v>
      </c>
      <c r="E111" s="369" t="s">
        <v>732</v>
      </c>
      <c r="F111" s="372">
        <v>2023.0</v>
      </c>
      <c r="G111" s="344"/>
      <c r="H111" s="344"/>
      <c r="I111" s="344"/>
      <c r="J111" s="344"/>
      <c r="K111" s="344"/>
      <c r="L111" s="344"/>
      <c r="M111" s="344"/>
      <c r="N111" s="344"/>
      <c r="O111" s="344"/>
      <c r="P111" s="344"/>
      <c r="Q111" s="344"/>
      <c r="R111" s="344"/>
      <c r="S111" s="344"/>
      <c r="T111" s="344"/>
      <c r="U111" s="344"/>
      <c r="V111" s="344"/>
      <c r="W111" s="344"/>
      <c r="X111" s="344"/>
      <c r="Y111" s="344"/>
      <c r="Z111" s="344"/>
      <c r="AA111" s="344"/>
      <c r="AB111" s="344"/>
      <c r="AC111" s="344"/>
      <c r="AD111" s="344"/>
      <c r="AE111" s="344"/>
      <c r="AF111" s="344"/>
      <c r="AG111" s="344"/>
    </row>
    <row r="112">
      <c r="A112" s="373">
        <v>4.0</v>
      </c>
      <c r="B112" s="374" t="s">
        <v>733</v>
      </c>
      <c r="C112" s="186" t="s">
        <v>284</v>
      </c>
      <c r="D112" s="371">
        <v>2018.0</v>
      </c>
      <c r="E112" s="186" t="s">
        <v>734</v>
      </c>
      <c r="F112" s="144" t="s">
        <v>735</v>
      </c>
      <c r="G112" s="361"/>
      <c r="H112" s="344"/>
      <c r="I112" s="344"/>
      <c r="J112" s="344"/>
      <c r="K112" s="344"/>
      <c r="L112" s="344"/>
      <c r="M112" s="344"/>
      <c r="N112" s="344"/>
      <c r="O112" s="344"/>
      <c r="P112" s="344"/>
      <c r="Q112" s="344"/>
      <c r="R112" s="344"/>
      <c r="S112" s="344"/>
      <c r="T112" s="344"/>
      <c r="U112" s="344"/>
      <c r="V112" s="344"/>
      <c r="W112" s="344"/>
      <c r="X112" s="344"/>
      <c r="Y112" s="344"/>
      <c r="Z112" s="344"/>
      <c r="AA112" s="344"/>
      <c r="AB112" s="344"/>
      <c r="AC112" s="344"/>
      <c r="AD112" s="344"/>
      <c r="AE112" s="344"/>
      <c r="AF112" s="344"/>
      <c r="AG112" s="344"/>
    </row>
    <row r="113">
      <c r="A113" s="56"/>
      <c r="B113" s="56"/>
      <c r="C113" s="186"/>
      <c r="D113" s="371"/>
      <c r="E113" s="375" t="s">
        <v>736</v>
      </c>
      <c r="F113" s="173">
        <v>2023.0</v>
      </c>
      <c r="G113" s="361"/>
      <c r="H113" s="344"/>
      <c r="I113" s="344"/>
      <c r="J113" s="344"/>
      <c r="K113" s="344"/>
      <c r="L113" s="344"/>
      <c r="M113" s="344"/>
      <c r="N113" s="344"/>
      <c r="O113" s="344"/>
      <c r="P113" s="344"/>
      <c r="Q113" s="344"/>
      <c r="R113" s="344"/>
      <c r="S113" s="344"/>
      <c r="T113" s="344"/>
      <c r="U113" s="344"/>
      <c r="V113" s="344"/>
      <c r="W113" s="344"/>
      <c r="X113" s="344"/>
      <c r="Y113" s="344"/>
      <c r="Z113" s="344"/>
      <c r="AA113" s="344"/>
      <c r="AB113" s="344"/>
      <c r="AC113" s="344"/>
      <c r="AD113" s="344"/>
      <c r="AE113" s="344"/>
      <c r="AF113" s="344"/>
      <c r="AG113" s="344"/>
    </row>
    <row r="114">
      <c r="A114" s="366">
        <v>5.0</v>
      </c>
      <c r="B114" s="367" t="s">
        <v>639</v>
      </c>
      <c r="C114" s="186" t="s">
        <v>284</v>
      </c>
      <c r="D114" s="371">
        <v>2023.0</v>
      </c>
      <c r="E114" s="376"/>
      <c r="F114" s="377"/>
      <c r="G114" s="344"/>
      <c r="H114" s="344"/>
      <c r="I114" s="361"/>
      <c r="J114" s="361"/>
      <c r="K114" s="378"/>
      <c r="L114" s="344"/>
      <c r="M114" s="344"/>
      <c r="N114" s="344"/>
      <c r="O114" s="344"/>
      <c r="P114" s="344"/>
      <c r="Q114" s="344"/>
      <c r="R114" s="344"/>
      <c r="S114" s="344"/>
      <c r="T114" s="344"/>
      <c r="U114" s="344"/>
      <c r="V114" s="344"/>
      <c r="W114" s="344"/>
      <c r="X114" s="344"/>
      <c r="Y114" s="344"/>
      <c r="Z114" s="344"/>
      <c r="AA114" s="344"/>
      <c r="AB114" s="344"/>
      <c r="AC114" s="344"/>
      <c r="AD114" s="344"/>
      <c r="AE114" s="344"/>
      <c r="AF114" s="344"/>
      <c r="AG114" s="344"/>
    </row>
    <row r="115">
      <c r="A115" s="366">
        <v>6.0</v>
      </c>
      <c r="B115" s="367" t="s">
        <v>737</v>
      </c>
      <c r="C115" s="186" t="s">
        <v>289</v>
      </c>
      <c r="D115" s="371">
        <v>2022.0</v>
      </c>
      <c r="E115" s="376"/>
      <c r="F115" s="379"/>
      <c r="G115" s="344"/>
      <c r="H115" s="344"/>
      <c r="I115" s="344"/>
      <c r="J115" s="344"/>
      <c r="K115" s="344"/>
      <c r="L115" s="344"/>
      <c r="M115" s="344"/>
      <c r="N115" s="344"/>
      <c r="O115" s="344"/>
      <c r="P115" s="344"/>
      <c r="Q115" s="344"/>
      <c r="R115" s="344"/>
      <c r="S115" s="344"/>
      <c r="T115" s="344"/>
      <c r="U115" s="344"/>
      <c r="V115" s="344"/>
      <c r="W115" s="344"/>
      <c r="X115" s="344"/>
      <c r="Y115" s="344"/>
      <c r="Z115" s="344"/>
      <c r="AA115" s="344"/>
      <c r="AB115" s="344"/>
      <c r="AC115" s="344"/>
      <c r="AD115" s="344"/>
      <c r="AE115" s="344"/>
      <c r="AF115" s="344"/>
      <c r="AG115" s="344"/>
    </row>
    <row r="116">
      <c r="A116" s="366">
        <v>7.0</v>
      </c>
      <c r="B116" s="367" t="s">
        <v>738</v>
      </c>
      <c r="C116" s="186" t="s">
        <v>289</v>
      </c>
      <c r="D116" s="371">
        <v>2023.0</v>
      </c>
      <c r="E116" s="369" t="s">
        <v>729</v>
      </c>
      <c r="F116" s="370" t="s">
        <v>730</v>
      </c>
      <c r="G116" s="344"/>
      <c r="H116" s="344"/>
      <c r="I116" s="344"/>
      <c r="J116" s="344"/>
      <c r="K116" s="344"/>
      <c r="L116" s="344"/>
      <c r="M116" s="344"/>
      <c r="N116" s="344"/>
      <c r="O116" s="344"/>
      <c r="P116" s="344"/>
      <c r="Q116" s="344"/>
      <c r="R116" s="344"/>
      <c r="S116" s="344"/>
      <c r="T116" s="344"/>
      <c r="U116" s="344"/>
      <c r="V116" s="344"/>
      <c r="W116" s="344"/>
      <c r="X116" s="344"/>
      <c r="Y116" s="344"/>
      <c r="Z116" s="344"/>
      <c r="AA116" s="344"/>
      <c r="AB116" s="344"/>
      <c r="AC116" s="344"/>
      <c r="AD116" s="344"/>
      <c r="AE116" s="344"/>
      <c r="AF116" s="344"/>
      <c r="AG116" s="344"/>
    </row>
    <row r="117">
      <c r="A117" s="366">
        <v>8.0</v>
      </c>
      <c r="B117" s="367" t="s">
        <v>739</v>
      </c>
      <c r="C117" s="186" t="s">
        <v>284</v>
      </c>
      <c r="D117" s="371">
        <v>2011.0</v>
      </c>
      <c r="E117" s="376"/>
      <c r="F117" s="379" t="s">
        <v>730</v>
      </c>
      <c r="G117" s="344"/>
      <c r="H117" s="344"/>
      <c r="I117" s="344"/>
      <c r="J117" s="344"/>
      <c r="K117" s="344"/>
      <c r="L117" s="344"/>
      <c r="M117" s="344"/>
      <c r="N117" s="344"/>
      <c r="O117" s="344"/>
      <c r="P117" s="344"/>
      <c r="Q117" s="344"/>
      <c r="R117" s="344"/>
      <c r="S117" s="344"/>
      <c r="T117" s="344"/>
      <c r="U117" s="344"/>
      <c r="V117" s="344"/>
      <c r="W117" s="344"/>
      <c r="X117" s="344"/>
      <c r="Y117" s="344"/>
      <c r="Z117" s="344"/>
      <c r="AA117" s="344"/>
      <c r="AB117" s="344"/>
      <c r="AC117" s="344"/>
      <c r="AD117" s="344"/>
      <c r="AE117" s="344"/>
      <c r="AF117" s="344"/>
      <c r="AG117" s="344"/>
    </row>
    <row r="118">
      <c r="A118" s="366">
        <v>9.0</v>
      </c>
      <c r="B118" s="367" t="s">
        <v>647</v>
      </c>
      <c r="C118" s="380" t="s">
        <v>284</v>
      </c>
      <c r="D118" s="368">
        <v>2023.0</v>
      </c>
      <c r="E118" s="186" t="s">
        <v>734</v>
      </c>
      <c r="F118" s="144" t="s">
        <v>735</v>
      </c>
      <c r="G118" s="344"/>
      <c r="H118" s="344"/>
      <c r="I118" s="344"/>
      <c r="J118" s="344"/>
      <c r="K118" s="344"/>
      <c r="L118" s="344"/>
      <c r="M118" s="344"/>
      <c r="N118" s="344"/>
      <c r="O118" s="344"/>
      <c r="P118" s="344"/>
      <c r="Q118" s="344"/>
      <c r="R118" s="344"/>
      <c r="S118" s="344"/>
      <c r="T118" s="344"/>
      <c r="U118" s="344"/>
      <c r="V118" s="344"/>
      <c r="W118" s="344"/>
      <c r="X118" s="344"/>
      <c r="Y118" s="344"/>
      <c r="Z118" s="344"/>
      <c r="AA118" s="344"/>
      <c r="AB118" s="344"/>
      <c r="AC118" s="344"/>
      <c r="AD118" s="344"/>
      <c r="AE118" s="344"/>
      <c r="AF118" s="344"/>
      <c r="AG118" s="344"/>
    </row>
    <row r="119">
      <c r="A119" s="366">
        <v>10.0</v>
      </c>
      <c r="B119" s="367" t="s">
        <v>740</v>
      </c>
      <c r="C119" s="186" t="s">
        <v>289</v>
      </c>
      <c r="D119" s="371">
        <v>2024.0</v>
      </c>
      <c r="E119" s="369" t="s">
        <v>729</v>
      </c>
      <c r="F119" s="370" t="s">
        <v>730</v>
      </c>
      <c r="G119" s="344"/>
      <c r="H119" s="344"/>
      <c r="I119" s="344"/>
      <c r="J119" s="344"/>
      <c r="K119" s="344"/>
      <c r="L119" s="344"/>
      <c r="M119" s="344"/>
      <c r="N119" s="344"/>
      <c r="O119" s="344"/>
      <c r="P119" s="344"/>
      <c r="Q119" s="344"/>
      <c r="R119" s="344"/>
      <c r="S119" s="344"/>
      <c r="T119" s="344"/>
      <c r="U119" s="344"/>
      <c r="V119" s="344"/>
      <c r="W119" s="344"/>
      <c r="X119" s="344"/>
      <c r="Y119" s="344"/>
      <c r="Z119" s="344"/>
      <c r="AA119" s="344"/>
      <c r="AB119" s="344"/>
      <c r="AC119" s="344"/>
      <c r="AD119" s="344"/>
      <c r="AE119" s="344"/>
      <c r="AF119" s="344"/>
      <c r="AG119" s="344"/>
    </row>
    <row r="120">
      <c r="A120" s="373">
        <v>11.0</v>
      </c>
      <c r="B120" s="374" t="s">
        <v>548</v>
      </c>
      <c r="C120" s="186" t="s">
        <v>284</v>
      </c>
      <c r="D120" s="371">
        <v>2016.0</v>
      </c>
      <c r="E120" s="186" t="s">
        <v>741</v>
      </c>
      <c r="F120" s="144" t="s">
        <v>742</v>
      </c>
      <c r="G120" s="344"/>
      <c r="H120" s="344"/>
      <c r="I120" s="344"/>
      <c r="J120" s="344"/>
      <c r="K120" s="344"/>
      <c r="L120" s="344"/>
      <c r="M120" s="344"/>
      <c r="N120" s="344"/>
      <c r="O120" s="344"/>
      <c r="P120" s="344"/>
      <c r="Q120" s="344"/>
      <c r="R120" s="344"/>
      <c r="S120" s="344"/>
      <c r="T120" s="344"/>
      <c r="U120" s="344"/>
      <c r="V120" s="344"/>
      <c r="W120" s="344"/>
      <c r="X120" s="344"/>
      <c r="Y120" s="344"/>
      <c r="Z120" s="344"/>
      <c r="AA120" s="344"/>
      <c r="AB120" s="344"/>
      <c r="AC120" s="344"/>
      <c r="AD120" s="344"/>
      <c r="AE120" s="344"/>
      <c r="AF120" s="344"/>
      <c r="AG120" s="344"/>
    </row>
    <row r="121">
      <c r="A121" s="56"/>
      <c r="B121" s="56"/>
      <c r="C121" s="186"/>
      <c r="D121" s="371"/>
      <c r="E121" s="369" t="s">
        <v>729</v>
      </c>
      <c r="F121" s="370" t="s">
        <v>730</v>
      </c>
      <c r="G121" s="344"/>
      <c r="H121" s="344"/>
      <c r="I121" s="344"/>
      <c r="J121" s="344"/>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row>
    <row r="122">
      <c r="A122" s="366">
        <v>12.0</v>
      </c>
      <c r="B122" s="367" t="s">
        <v>549</v>
      </c>
      <c r="C122" s="186" t="s">
        <v>289</v>
      </c>
      <c r="D122" s="371">
        <v>2023.0</v>
      </c>
      <c r="E122" s="369" t="s">
        <v>729</v>
      </c>
      <c r="F122" s="370" t="s">
        <v>730</v>
      </c>
      <c r="G122" s="344"/>
      <c r="H122" s="344"/>
      <c r="I122" s="344"/>
      <c r="J122" s="344"/>
      <c r="K122" s="344"/>
      <c r="L122" s="344"/>
      <c r="M122" s="344"/>
      <c r="N122" s="344"/>
      <c r="O122" s="344"/>
      <c r="P122" s="344"/>
      <c r="Q122" s="344"/>
      <c r="R122" s="344"/>
      <c r="S122" s="344"/>
      <c r="T122" s="344"/>
      <c r="U122" s="344"/>
      <c r="V122" s="344"/>
      <c r="W122" s="344"/>
      <c r="X122" s="344"/>
      <c r="Y122" s="344"/>
      <c r="Z122" s="344"/>
      <c r="AA122" s="344"/>
      <c r="AB122" s="344"/>
      <c r="AC122" s="344"/>
      <c r="AD122" s="344"/>
      <c r="AE122" s="344"/>
      <c r="AF122" s="344"/>
      <c r="AG122" s="344"/>
    </row>
    <row r="123">
      <c r="A123" s="366">
        <v>13.0</v>
      </c>
      <c r="B123" s="367" t="s">
        <v>743</v>
      </c>
      <c r="C123" s="186" t="s">
        <v>284</v>
      </c>
      <c r="D123" s="371">
        <v>2015.0</v>
      </c>
      <c r="E123" s="186" t="s">
        <v>744</v>
      </c>
      <c r="F123" s="144" t="s">
        <v>742</v>
      </c>
      <c r="G123" s="344"/>
      <c r="H123" s="344"/>
      <c r="I123" s="344"/>
      <c r="J123" s="344"/>
      <c r="K123" s="344"/>
      <c r="L123" s="344"/>
      <c r="M123" s="344"/>
      <c r="N123" s="344"/>
      <c r="O123" s="344"/>
      <c r="P123" s="344"/>
      <c r="Q123" s="344"/>
      <c r="R123" s="344"/>
      <c r="S123" s="344"/>
      <c r="T123" s="344"/>
      <c r="U123" s="344"/>
      <c r="V123" s="344"/>
      <c r="W123" s="344"/>
      <c r="X123" s="344"/>
      <c r="Y123" s="344"/>
      <c r="Z123" s="344"/>
      <c r="AA123" s="344"/>
      <c r="AB123" s="344"/>
      <c r="AC123" s="344"/>
      <c r="AD123" s="344"/>
      <c r="AE123" s="344"/>
      <c r="AF123" s="344"/>
      <c r="AG123" s="344"/>
    </row>
    <row r="124">
      <c r="A124" s="366">
        <v>14.0</v>
      </c>
      <c r="B124" s="367" t="s">
        <v>745</v>
      </c>
      <c r="C124" s="186" t="s">
        <v>305</v>
      </c>
      <c r="D124" s="371">
        <v>2013.0</v>
      </c>
      <c r="E124" s="376"/>
      <c r="F124" s="379"/>
      <c r="G124" s="344"/>
      <c r="H124" s="344"/>
      <c r="I124" s="344"/>
      <c r="J124" s="344"/>
      <c r="K124" s="344"/>
      <c r="L124" s="344"/>
      <c r="M124" s="344"/>
      <c r="N124" s="344"/>
      <c r="O124" s="344"/>
      <c r="P124" s="344"/>
      <c r="Q124" s="344"/>
      <c r="R124" s="344"/>
      <c r="S124" s="344"/>
      <c r="T124" s="344"/>
      <c r="U124" s="344"/>
      <c r="V124" s="344"/>
      <c r="W124" s="344"/>
      <c r="X124" s="344"/>
      <c r="Y124" s="344"/>
      <c r="Z124" s="344"/>
      <c r="AA124" s="344"/>
      <c r="AB124" s="344"/>
      <c r="AC124" s="344"/>
      <c r="AD124" s="344"/>
      <c r="AE124" s="344"/>
      <c r="AF124" s="344"/>
      <c r="AG124" s="344"/>
    </row>
    <row r="125">
      <c r="A125" s="373">
        <v>15.0</v>
      </c>
      <c r="B125" s="374" t="s">
        <v>746</v>
      </c>
      <c r="C125" s="186" t="s">
        <v>308</v>
      </c>
      <c r="D125" s="371">
        <v>2023.0</v>
      </c>
      <c r="E125" s="381" t="s">
        <v>747</v>
      </c>
      <c r="F125" s="382">
        <v>2023.0</v>
      </c>
      <c r="G125" s="344"/>
      <c r="H125" s="344"/>
      <c r="I125" s="344"/>
      <c r="J125" s="344"/>
      <c r="K125" s="344"/>
      <c r="L125" s="344"/>
      <c r="M125" s="344"/>
      <c r="N125" s="344"/>
      <c r="O125" s="344"/>
      <c r="P125" s="344"/>
      <c r="Q125" s="344"/>
      <c r="R125" s="344"/>
      <c r="S125" s="344"/>
      <c r="T125" s="344"/>
      <c r="U125" s="344"/>
      <c r="V125" s="344"/>
      <c r="W125" s="344"/>
      <c r="X125" s="344"/>
      <c r="Y125" s="344"/>
      <c r="Z125" s="344"/>
      <c r="AA125" s="344"/>
      <c r="AB125" s="344"/>
      <c r="AC125" s="344"/>
      <c r="AD125" s="344"/>
      <c r="AE125" s="344"/>
      <c r="AF125" s="344"/>
      <c r="AG125" s="344"/>
    </row>
    <row r="126">
      <c r="A126" s="129"/>
      <c r="B126" s="129"/>
      <c r="C126" s="186"/>
      <c r="D126" s="371"/>
      <c r="E126" s="381" t="s">
        <v>748</v>
      </c>
      <c r="F126" s="382">
        <v>2023.0</v>
      </c>
      <c r="G126" s="344"/>
      <c r="H126" s="344"/>
      <c r="I126" s="344"/>
      <c r="J126" s="344"/>
      <c r="K126" s="344"/>
      <c r="L126" s="344"/>
      <c r="M126" s="344"/>
      <c r="N126" s="344"/>
      <c r="O126" s="344"/>
      <c r="P126" s="344"/>
      <c r="Q126" s="344"/>
      <c r="R126" s="344"/>
      <c r="S126" s="344"/>
      <c r="T126" s="344"/>
      <c r="U126" s="344"/>
      <c r="V126" s="344"/>
      <c r="W126" s="344"/>
      <c r="X126" s="344"/>
      <c r="Y126" s="344"/>
      <c r="Z126" s="344"/>
      <c r="AA126" s="344"/>
      <c r="AB126" s="344"/>
      <c r="AC126" s="344"/>
      <c r="AD126" s="344"/>
      <c r="AE126" s="344"/>
      <c r="AF126" s="344"/>
      <c r="AG126" s="344"/>
    </row>
    <row r="127">
      <c r="A127" s="129"/>
      <c r="B127" s="129"/>
      <c r="C127" s="186"/>
      <c r="D127" s="371"/>
      <c r="E127" s="376" t="s">
        <v>749</v>
      </c>
      <c r="F127" s="382">
        <v>2024.0</v>
      </c>
      <c r="G127" s="344"/>
      <c r="H127" s="344"/>
      <c r="I127" s="344"/>
      <c r="J127" s="344"/>
      <c r="K127" s="344"/>
      <c r="L127" s="344"/>
      <c r="M127" s="344"/>
      <c r="N127" s="344"/>
      <c r="O127" s="344"/>
      <c r="P127" s="344"/>
      <c r="Q127" s="344"/>
      <c r="R127" s="344"/>
      <c r="S127" s="344"/>
      <c r="T127" s="344"/>
      <c r="U127" s="344"/>
      <c r="V127" s="344"/>
      <c r="W127" s="344"/>
      <c r="X127" s="344"/>
      <c r="Y127" s="344"/>
      <c r="Z127" s="344"/>
      <c r="AA127" s="344"/>
      <c r="AB127" s="344"/>
      <c r="AC127" s="344"/>
      <c r="AD127" s="344"/>
      <c r="AE127" s="344"/>
      <c r="AF127" s="344"/>
      <c r="AG127" s="344"/>
    </row>
    <row r="128">
      <c r="A128" s="56"/>
      <c r="B128" s="56"/>
      <c r="C128" s="186"/>
      <c r="D128" s="371"/>
      <c r="E128" s="369" t="s">
        <v>729</v>
      </c>
      <c r="F128" s="379" t="s">
        <v>730</v>
      </c>
      <c r="G128" s="344"/>
      <c r="H128" s="344"/>
      <c r="I128" s="344"/>
      <c r="J128" s="344"/>
      <c r="K128" s="344"/>
      <c r="L128" s="344"/>
      <c r="M128" s="344"/>
      <c r="N128" s="344"/>
      <c r="O128" s="344"/>
      <c r="P128" s="344"/>
      <c r="Q128" s="344"/>
      <c r="R128" s="344"/>
      <c r="S128" s="344"/>
      <c r="T128" s="344"/>
      <c r="U128" s="344"/>
      <c r="V128" s="344"/>
      <c r="W128" s="344"/>
      <c r="X128" s="344"/>
      <c r="Y128" s="344"/>
      <c r="Z128" s="344"/>
      <c r="AA128" s="344"/>
      <c r="AB128" s="344"/>
      <c r="AC128" s="344"/>
      <c r="AD128" s="344"/>
      <c r="AE128" s="344"/>
      <c r="AF128" s="344"/>
      <c r="AG128" s="344"/>
    </row>
    <row r="129">
      <c r="A129" s="366">
        <v>16.0</v>
      </c>
      <c r="B129" s="367" t="s">
        <v>552</v>
      </c>
      <c r="C129" s="186" t="s">
        <v>289</v>
      </c>
      <c r="D129" s="371">
        <v>2022.0</v>
      </c>
      <c r="E129" s="186" t="s">
        <v>729</v>
      </c>
      <c r="F129" s="379" t="s">
        <v>730</v>
      </c>
      <c r="G129" s="344"/>
      <c r="H129" s="344"/>
      <c r="I129" s="344"/>
      <c r="J129" s="344"/>
      <c r="K129" s="344"/>
      <c r="L129" s="344"/>
      <c r="M129" s="344"/>
      <c r="N129" s="344"/>
      <c r="O129" s="344"/>
      <c r="P129" s="344"/>
      <c r="Q129" s="344"/>
      <c r="R129" s="344"/>
      <c r="S129" s="344"/>
      <c r="T129" s="344"/>
      <c r="U129" s="344"/>
      <c r="V129" s="344"/>
      <c r="W129" s="344"/>
      <c r="X129" s="344"/>
      <c r="Y129" s="344"/>
      <c r="Z129" s="344"/>
      <c r="AA129" s="344"/>
      <c r="AB129" s="344"/>
      <c r="AC129" s="344"/>
      <c r="AD129" s="344"/>
      <c r="AE129" s="344"/>
      <c r="AF129" s="344"/>
      <c r="AG129" s="344"/>
    </row>
    <row r="130">
      <c r="A130" s="366">
        <v>17.0</v>
      </c>
      <c r="B130" s="367" t="s">
        <v>750</v>
      </c>
      <c r="C130" s="186" t="s">
        <v>289</v>
      </c>
      <c r="D130" s="371">
        <v>2023.0</v>
      </c>
      <c r="E130" s="376"/>
      <c r="F130" s="379" t="s">
        <v>730</v>
      </c>
      <c r="G130" s="344"/>
      <c r="H130" s="344"/>
      <c r="I130" s="344"/>
      <c r="J130" s="344"/>
      <c r="K130" s="344"/>
      <c r="L130" s="344"/>
      <c r="M130" s="344"/>
      <c r="N130" s="344"/>
      <c r="O130" s="344"/>
      <c r="P130" s="344"/>
      <c r="Q130" s="344"/>
      <c r="R130" s="344"/>
      <c r="S130" s="344"/>
      <c r="T130" s="344"/>
      <c r="U130" s="344"/>
      <c r="V130" s="344"/>
      <c r="W130" s="344"/>
      <c r="X130" s="344"/>
      <c r="Y130" s="344"/>
      <c r="Z130" s="344"/>
      <c r="AA130" s="344"/>
      <c r="AB130" s="344"/>
      <c r="AC130" s="344"/>
      <c r="AD130" s="344"/>
      <c r="AE130" s="344"/>
      <c r="AF130" s="344"/>
      <c r="AG130" s="344"/>
    </row>
    <row r="131">
      <c r="A131" s="366">
        <v>18.0</v>
      </c>
      <c r="B131" s="367" t="s">
        <v>553</v>
      </c>
      <c r="C131" s="380" t="s">
        <v>289</v>
      </c>
      <c r="D131" s="368">
        <v>2023.0</v>
      </c>
      <c r="E131" s="369" t="s">
        <v>729</v>
      </c>
      <c r="F131" s="370" t="s">
        <v>730</v>
      </c>
      <c r="G131" s="361"/>
      <c r="H131" s="344"/>
      <c r="I131" s="344"/>
      <c r="J131" s="344"/>
      <c r="K131" s="344"/>
      <c r="L131" s="344"/>
      <c r="M131" s="344"/>
      <c r="N131" s="344"/>
      <c r="O131" s="344"/>
      <c r="P131" s="344"/>
      <c r="Q131" s="344"/>
      <c r="R131" s="344"/>
      <c r="S131" s="344"/>
      <c r="T131" s="344"/>
      <c r="U131" s="344"/>
      <c r="V131" s="344"/>
      <c r="W131" s="344"/>
      <c r="X131" s="344"/>
      <c r="Y131" s="344"/>
      <c r="Z131" s="344"/>
      <c r="AA131" s="344"/>
      <c r="AB131" s="344"/>
      <c r="AC131" s="344"/>
      <c r="AD131" s="344"/>
      <c r="AE131" s="344"/>
      <c r="AF131" s="344"/>
      <c r="AG131" s="344"/>
    </row>
    <row r="132">
      <c r="A132" s="366">
        <v>19.0</v>
      </c>
      <c r="B132" s="367" t="s">
        <v>751</v>
      </c>
      <c r="C132" s="186" t="s">
        <v>305</v>
      </c>
      <c r="D132" s="371">
        <v>2012.0</v>
      </c>
      <c r="E132" s="376"/>
      <c r="F132" s="379"/>
      <c r="G132" s="344"/>
      <c r="H132" s="344"/>
      <c r="I132" s="344"/>
      <c r="J132" s="344"/>
      <c r="K132" s="344"/>
      <c r="L132" s="344"/>
      <c r="M132" s="344"/>
      <c r="N132" s="344"/>
      <c r="O132" s="344"/>
      <c r="P132" s="344"/>
      <c r="Q132" s="344"/>
      <c r="R132" s="344"/>
      <c r="S132" s="344"/>
      <c r="T132" s="344"/>
      <c r="U132" s="344"/>
      <c r="V132" s="344"/>
      <c r="W132" s="344"/>
      <c r="X132" s="344"/>
      <c r="Y132" s="344"/>
      <c r="Z132" s="344"/>
      <c r="AA132" s="344"/>
      <c r="AB132" s="344"/>
      <c r="AC132" s="344"/>
      <c r="AD132" s="344"/>
      <c r="AE132" s="344"/>
      <c r="AF132" s="344"/>
      <c r="AG132" s="344"/>
    </row>
    <row r="133">
      <c r="A133" s="366">
        <v>20.0</v>
      </c>
      <c r="B133" s="367" t="s">
        <v>752</v>
      </c>
      <c r="C133" s="186" t="s">
        <v>284</v>
      </c>
      <c r="D133" s="371">
        <v>2020.0</v>
      </c>
      <c r="E133" s="376"/>
      <c r="F133" s="379"/>
      <c r="G133" s="344"/>
      <c r="H133" s="344"/>
      <c r="I133" s="344"/>
      <c r="J133" s="344"/>
      <c r="K133" s="344"/>
      <c r="L133" s="344"/>
      <c r="M133" s="344"/>
      <c r="N133" s="344"/>
      <c r="O133" s="344"/>
      <c r="P133" s="344"/>
      <c r="Q133" s="344"/>
      <c r="R133" s="344"/>
      <c r="S133" s="344"/>
      <c r="T133" s="344"/>
      <c r="U133" s="344"/>
      <c r="V133" s="344"/>
      <c r="W133" s="344"/>
      <c r="X133" s="344"/>
      <c r="Y133" s="344"/>
      <c r="Z133" s="344"/>
      <c r="AA133" s="344"/>
      <c r="AB133" s="344"/>
      <c r="AC133" s="344"/>
      <c r="AD133" s="344"/>
      <c r="AE133" s="344"/>
      <c r="AF133" s="344"/>
      <c r="AG133" s="344"/>
    </row>
    <row r="134">
      <c r="A134" s="366">
        <v>21.0</v>
      </c>
      <c r="B134" s="367" t="s">
        <v>555</v>
      </c>
      <c r="C134" s="186" t="s">
        <v>289</v>
      </c>
      <c r="D134" s="371">
        <v>2021.0</v>
      </c>
      <c r="E134" s="186"/>
      <c r="F134" s="383"/>
      <c r="G134" s="344"/>
      <c r="H134" s="344"/>
      <c r="I134" s="344"/>
      <c r="J134" s="344"/>
      <c r="K134" s="344"/>
      <c r="L134" s="344"/>
      <c r="M134" s="344"/>
      <c r="N134" s="344"/>
      <c r="O134" s="344"/>
      <c r="P134" s="344"/>
      <c r="Q134" s="344"/>
      <c r="R134" s="344"/>
      <c r="S134" s="344"/>
      <c r="T134" s="344"/>
      <c r="U134" s="344"/>
      <c r="V134" s="344"/>
      <c r="W134" s="344"/>
      <c r="X134" s="344"/>
      <c r="Y134" s="344"/>
      <c r="Z134" s="344"/>
      <c r="AA134" s="344"/>
      <c r="AB134" s="344"/>
      <c r="AC134" s="344"/>
      <c r="AD134" s="344"/>
      <c r="AE134" s="344"/>
      <c r="AF134" s="344"/>
      <c r="AG134" s="344"/>
    </row>
    <row r="135">
      <c r="A135" s="366">
        <v>22.0</v>
      </c>
      <c r="B135" s="367" t="s">
        <v>557</v>
      </c>
      <c r="C135" s="186" t="s">
        <v>289</v>
      </c>
      <c r="D135" s="371">
        <v>2023.0</v>
      </c>
      <c r="E135" s="369" t="s">
        <v>729</v>
      </c>
      <c r="F135" s="382" t="s">
        <v>730</v>
      </c>
      <c r="G135" s="344"/>
      <c r="H135" s="344"/>
      <c r="I135" s="344"/>
      <c r="J135" s="344"/>
      <c r="K135" s="344"/>
      <c r="L135" s="344"/>
      <c r="M135" s="344"/>
      <c r="N135" s="344"/>
      <c r="O135" s="344"/>
      <c r="P135" s="344"/>
      <c r="Q135" s="344"/>
      <c r="R135" s="344"/>
      <c r="S135" s="344"/>
      <c r="T135" s="344"/>
      <c r="U135" s="344"/>
      <c r="V135" s="344"/>
      <c r="W135" s="344"/>
      <c r="X135" s="344"/>
      <c r="Y135" s="344"/>
      <c r="Z135" s="344"/>
      <c r="AA135" s="344"/>
      <c r="AB135" s="344"/>
      <c r="AC135" s="344"/>
      <c r="AD135" s="344"/>
      <c r="AE135" s="344"/>
      <c r="AF135" s="344"/>
      <c r="AG135" s="344"/>
    </row>
    <row r="136">
      <c r="A136" s="373">
        <v>23.0</v>
      </c>
      <c r="B136" s="374" t="s">
        <v>753</v>
      </c>
      <c r="C136" s="186" t="s">
        <v>284</v>
      </c>
      <c r="D136" s="371">
        <v>2020.0</v>
      </c>
      <c r="E136" s="381" t="s">
        <v>754</v>
      </c>
      <c r="F136" s="382">
        <v>2023.0</v>
      </c>
      <c r="G136" s="344"/>
      <c r="H136" s="344"/>
      <c r="I136" s="344"/>
      <c r="J136" s="344"/>
      <c r="K136" s="344"/>
      <c r="L136" s="344"/>
      <c r="M136" s="344"/>
      <c r="N136" s="344"/>
      <c r="O136" s="344"/>
      <c r="P136" s="344"/>
      <c r="Q136" s="344"/>
      <c r="R136" s="344"/>
      <c r="S136" s="344"/>
      <c r="T136" s="344"/>
      <c r="U136" s="344"/>
      <c r="V136" s="344"/>
      <c r="W136" s="344"/>
      <c r="X136" s="344"/>
      <c r="Y136" s="344"/>
      <c r="Z136" s="344"/>
      <c r="AA136" s="344"/>
      <c r="AB136" s="344"/>
      <c r="AC136" s="344"/>
      <c r="AD136" s="344"/>
      <c r="AE136" s="344"/>
      <c r="AF136" s="344"/>
      <c r="AG136" s="344"/>
    </row>
    <row r="137">
      <c r="A137" s="129"/>
      <c r="B137" s="129"/>
      <c r="C137" s="186"/>
      <c r="D137" s="371"/>
      <c r="E137" s="376" t="s">
        <v>755</v>
      </c>
      <c r="F137" s="382">
        <v>2024.0</v>
      </c>
      <c r="G137" s="344"/>
      <c r="H137" s="344"/>
      <c r="I137" s="344"/>
      <c r="J137" s="344"/>
      <c r="K137" s="344"/>
      <c r="L137" s="344"/>
      <c r="M137" s="344"/>
      <c r="N137" s="344"/>
      <c r="O137" s="344"/>
      <c r="P137" s="344"/>
      <c r="Q137" s="344"/>
      <c r="R137" s="344"/>
      <c r="S137" s="344"/>
      <c r="T137" s="344"/>
      <c r="U137" s="344"/>
      <c r="V137" s="344"/>
      <c r="W137" s="344"/>
      <c r="X137" s="344"/>
      <c r="Y137" s="344"/>
      <c r="Z137" s="344"/>
      <c r="AA137" s="344"/>
      <c r="AB137" s="344"/>
      <c r="AC137" s="344"/>
      <c r="AD137" s="344"/>
      <c r="AE137" s="344"/>
      <c r="AF137" s="344"/>
      <c r="AG137" s="344"/>
    </row>
    <row r="138">
      <c r="A138" s="56"/>
      <c r="B138" s="56"/>
      <c r="C138" s="186"/>
      <c r="D138" s="371"/>
      <c r="E138" s="369" t="s">
        <v>729</v>
      </c>
      <c r="F138" s="382"/>
      <c r="G138" s="344"/>
      <c r="H138" s="344"/>
      <c r="I138" s="344"/>
      <c r="J138" s="344"/>
      <c r="K138" s="344"/>
      <c r="L138" s="344"/>
      <c r="M138" s="344"/>
      <c r="N138" s="344"/>
      <c r="O138" s="344"/>
      <c r="P138" s="344"/>
      <c r="Q138" s="344"/>
      <c r="R138" s="344"/>
      <c r="S138" s="344"/>
      <c r="T138" s="344"/>
      <c r="U138" s="344"/>
      <c r="V138" s="344"/>
      <c r="W138" s="344"/>
      <c r="X138" s="344"/>
      <c r="Y138" s="344"/>
      <c r="Z138" s="344"/>
      <c r="AA138" s="344"/>
      <c r="AB138" s="344"/>
      <c r="AC138" s="344"/>
      <c r="AD138" s="344"/>
      <c r="AE138" s="344"/>
      <c r="AF138" s="344"/>
      <c r="AG138" s="344"/>
    </row>
    <row r="139">
      <c r="A139" s="366">
        <v>24.0</v>
      </c>
      <c r="B139" s="367" t="s">
        <v>756</v>
      </c>
      <c r="C139" s="384" t="s">
        <v>289</v>
      </c>
      <c r="D139" s="384">
        <v>2023.0</v>
      </c>
      <c r="E139" s="385"/>
      <c r="F139" s="383"/>
      <c r="G139" s="344"/>
      <c r="H139" s="344"/>
      <c r="I139" s="344"/>
      <c r="J139" s="344"/>
      <c r="K139" s="344"/>
      <c r="L139" s="344"/>
      <c r="M139" s="344"/>
      <c r="N139" s="344"/>
      <c r="O139" s="344"/>
      <c r="P139" s="344"/>
      <c r="Q139" s="344"/>
      <c r="R139" s="344"/>
      <c r="S139" s="344"/>
      <c r="T139" s="344"/>
      <c r="U139" s="344"/>
      <c r="V139" s="344"/>
      <c r="W139" s="344"/>
      <c r="X139" s="344"/>
      <c r="Y139" s="344"/>
      <c r="Z139" s="344"/>
      <c r="AA139" s="344"/>
      <c r="AB139" s="344"/>
      <c r="AC139" s="344"/>
      <c r="AD139" s="344"/>
      <c r="AE139" s="344"/>
      <c r="AF139" s="344"/>
      <c r="AG139" s="344"/>
    </row>
    <row r="140">
      <c r="A140" s="373">
        <v>25.0</v>
      </c>
      <c r="B140" s="374" t="s">
        <v>757</v>
      </c>
      <c r="C140" s="186" t="s">
        <v>284</v>
      </c>
      <c r="D140" s="371">
        <v>2012.0</v>
      </c>
      <c r="E140" s="375" t="s">
        <v>758</v>
      </c>
      <c r="F140" s="382">
        <v>2023.0</v>
      </c>
      <c r="G140" s="344"/>
      <c r="H140" s="344"/>
      <c r="I140" s="344"/>
      <c r="J140" s="344"/>
      <c r="K140" s="344"/>
      <c r="L140" s="344"/>
      <c r="M140" s="344"/>
      <c r="N140" s="344"/>
      <c r="O140" s="344"/>
      <c r="P140" s="344"/>
      <c r="Q140" s="344"/>
      <c r="R140" s="344"/>
      <c r="S140" s="344"/>
      <c r="T140" s="344"/>
      <c r="U140" s="344"/>
      <c r="V140" s="344"/>
      <c r="W140" s="344"/>
      <c r="X140" s="344"/>
      <c r="Y140" s="344"/>
      <c r="Z140" s="344"/>
      <c r="AA140" s="344"/>
      <c r="AB140" s="344"/>
      <c r="AC140" s="344"/>
      <c r="AD140" s="344"/>
      <c r="AE140" s="344"/>
      <c r="AF140" s="344"/>
      <c r="AG140" s="344"/>
    </row>
    <row r="141">
      <c r="A141" s="56"/>
      <c r="B141" s="56"/>
      <c r="C141" s="186"/>
      <c r="D141" s="371"/>
      <c r="E141" s="375" t="s">
        <v>759</v>
      </c>
      <c r="F141" s="382">
        <v>2024.0</v>
      </c>
      <c r="G141" s="344"/>
      <c r="H141" s="344"/>
      <c r="I141" s="344"/>
      <c r="J141" s="344"/>
      <c r="K141" s="344"/>
      <c r="L141" s="344"/>
      <c r="M141" s="344"/>
      <c r="N141" s="344"/>
      <c r="O141" s="344"/>
      <c r="P141" s="344"/>
      <c r="Q141" s="344"/>
      <c r="R141" s="344"/>
      <c r="S141" s="344"/>
      <c r="T141" s="344"/>
      <c r="U141" s="344"/>
      <c r="V141" s="344"/>
      <c r="W141" s="344"/>
      <c r="X141" s="344"/>
      <c r="Y141" s="344"/>
      <c r="Z141" s="344"/>
      <c r="AA141" s="344"/>
      <c r="AB141" s="344"/>
      <c r="AC141" s="344"/>
      <c r="AD141" s="344"/>
      <c r="AE141" s="344"/>
      <c r="AF141" s="344"/>
      <c r="AG141" s="344"/>
    </row>
    <row r="142">
      <c r="A142" s="373">
        <v>26.0</v>
      </c>
      <c r="B142" s="374" t="s">
        <v>760</v>
      </c>
      <c r="C142" s="186" t="s">
        <v>284</v>
      </c>
      <c r="D142" s="371">
        <v>2020.0</v>
      </c>
      <c r="E142" s="375" t="s">
        <v>761</v>
      </c>
      <c r="F142" s="382">
        <v>2023.0</v>
      </c>
      <c r="G142" s="344"/>
      <c r="H142" s="344"/>
      <c r="I142" s="344"/>
      <c r="J142" s="344"/>
      <c r="K142" s="344"/>
      <c r="L142" s="344"/>
      <c r="M142" s="344"/>
      <c r="N142" s="344"/>
      <c r="O142" s="344"/>
      <c r="P142" s="344"/>
      <c r="Q142" s="344"/>
      <c r="R142" s="344"/>
      <c r="S142" s="344"/>
      <c r="T142" s="344"/>
      <c r="U142" s="344"/>
      <c r="V142" s="344"/>
      <c r="W142" s="344"/>
      <c r="X142" s="344"/>
      <c r="Y142" s="344"/>
      <c r="Z142" s="344"/>
      <c r="AA142" s="344"/>
      <c r="AB142" s="344"/>
      <c r="AC142" s="344"/>
      <c r="AD142" s="344"/>
      <c r="AE142" s="344"/>
      <c r="AF142" s="344"/>
      <c r="AG142" s="344"/>
    </row>
    <row r="143">
      <c r="A143" s="56"/>
      <c r="B143" s="56"/>
      <c r="C143" s="186"/>
      <c r="D143" s="371"/>
      <c r="E143" s="369" t="s">
        <v>729</v>
      </c>
      <c r="F143" s="382"/>
      <c r="G143" s="344"/>
      <c r="H143" s="344"/>
      <c r="I143" s="344"/>
      <c r="J143" s="344"/>
      <c r="K143" s="344"/>
      <c r="L143" s="344"/>
      <c r="M143" s="344"/>
      <c r="N143" s="344"/>
      <c r="O143" s="344"/>
      <c r="P143" s="344"/>
      <c r="Q143" s="344"/>
      <c r="R143" s="344"/>
      <c r="S143" s="344"/>
      <c r="T143" s="344"/>
      <c r="U143" s="344"/>
      <c r="V143" s="344"/>
      <c r="W143" s="344"/>
      <c r="X143" s="344"/>
      <c r="Y143" s="344"/>
      <c r="Z143" s="344"/>
      <c r="AA143" s="344"/>
      <c r="AB143" s="344"/>
      <c r="AC143" s="344"/>
      <c r="AD143" s="344"/>
      <c r="AE143" s="344"/>
      <c r="AF143" s="344"/>
      <c r="AG143" s="344"/>
    </row>
    <row r="144">
      <c r="A144" s="366">
        <v>27.0</v>
      </c>
      <c r="B144" s="367" t="s">
        <v>762</v>
      </c>
      <c r="C144" s="186" t="s">
        <v>305</v>
      </c>
      <c r="D144" s="371">
        <v>2022.0</v>
      </c>
      <c r="E144" s="386"/>
      <c r="F144" s="379"/>
      <c r="G144" s="344"/>
      <c r="H144" s="344"/>
      <c r="I144" s="344"/>
      <c r="J144" s="344"/>
      <c r="K144" s="344"/>
      <c r="L144" s="344"/>
      <c r="M144" s="344"/>
      <c r="N144" s="344"/>
      <c r="O144" s="344"/>
      <c r="P144" s="344"/>
      <c r="Q144" s="344"/>
      <c r="R144" s="344"/>
      <c r="S144" s="344"/>
      <c r="T144" s="344"/>
      <c r="U144" s="344"/>
      <c r="V144" s="344"/>
      <c r="W144" s="344"/>
      <c r="X144" s="344"/>
      <c r="Y144" s="344"/>
      <c r="Z144" s="344"/>
      <c r="AA144" s="344"/>
      <c r="AB144" s="344"/>
      <c r="AC144" s="344"/>
      <c r="AD144" s="344"/>
      <c r="AE144" s="344"/>
      <c r="AF144" s="344"/>
      <c r="AG144" s="344"/>
    </row>
    <row r="145">
      <c r="A145" s="373">
        <v>28.0</v>
      </c>
      <c r="B145" s="374" t="s">
        <v>763</v>
      </c>
      <c r="C145" s="380" t="s">
        <v>284</v>
      </c>
      <c r="D145" s="368">
        <v>2023.0</v>
      </c>
      <c r="E145" s="381" t="s">
        <v>764</v>
      </c>
      <c r="F145" s="145">
        <v>2023.0</v>
      </c>
      <c r="G145" s="361"/>
      <c r="H145" s="344"/>
      <c r="I145" s="378"/>
      <c r="J145" s="344"/>
      <c r="K145" s="344"/>
      <c r="L145" s="344"/>
      <c r="M145" s="344"/>
      <c r="N145" s="344"/>
      <c r="O145" s="344"/>
      <c r="P145" s="344"/>
      <c r="Q145" s="344"/>
      <c r="R145" s="344"/>
      <c r="S145" s="344"/>
      <c r="T145" s="344"/>
      <c r="U145" s="344"/>
      <c r="V145" s="344"/>
      <c r="W145" s="344"/>
      <c r="X145" s="344"/>
      <c r="Y145" s="344"/>
      <c r="Z145" s="344"/>
      <c r="AA145" s="344"/>
      <c r="AB145" s="344"/>
      <c r="AC145" s="344"/>
      <c r="AD145" s="344"/>
      <c r="AE145" s="344"/>
      <c r="AF145" s="344"/>
      <c r="AG145" s="344"/>
    </row>
    <row r="146">
      <c r="A146" s="56"/>
      <c r="B146" s="56"/>
      <c r="C146" s="380"/>
      <c r="D146" s="368"/>
      <c r="E146" s="369" t="s">
        <v>729</v>
      </c>
      <c r="F146" s="370" t="s">
        <v>730</v>
      </c>
      <c r="G146" s="361"/>
      <c r="H146" s="344"/>
      <c r="I146" s="378"/>
      <c r="J146" s="344"/>
      <c r="K146" s="344"/>
      <c r="L146" s="344"/>
      <c r="M146" s="344"/>
      <c r="N146" s="344"/>
      <c r="O146" s="344"/>
      <c r="P146" s="344"/>
      <c r="Q146" s="344"/>
      <c r="R146" s="344"/>
      <c r="S146" s="344"/>
      <c r="T146" s="344"/>
      <c r="U146" s="344"/>
      <c r="V146" s="344"/>
      <c r="W146" s="344"/>
      <c r="X146" s="344"/>
      <c r="Y146" s="344"/>
      <c r="Z146" s="344"/>
      <c r="AA146" s="344"/>
      <c r="AB146" s="344"/>
      <c r="AC146" s="344"/>
      <c r="AD146" s="344"/>
      <c r="AE146" s="344"/>
      <c r="AF146" s="344"/>
      <c r="AG146" s="344"/>
    </row>
    <row r="147">
      <c r="A147" s="373">
        <v>29.0</v>
      </c>
      <c r="B147" s="374" t="s">
        <v>765</v>
      </c>
      <c r="C147" s="186" t="s">
        <v>284</v>
      </c>
      <c r="D147" s="371">
        <v>2018.0</v>
      </c>
      <c r="E147" s="186" t="s">
        <v>766</v>
      </c>
      <c r="F147" s="144" t="s">
        <v>742</v>
      </c>
      <c r="G147" s="344"/>
      <c r="H147" s="344"/>
      <c r="I147" s="344"/>
      <c r="J147" s="344"/>
      <c r="K147" s="344"/>
      <c r="L147" s="344"/>
      <c r="M147" s="344"/>
      <c r="N147" s="344"/>
      <c r="O147" s="344"/>
      <c r="P147" s="344"/>
      <c r="Q147" s="344"/>
      <c r="R147" s="344"/>
      <c r="S147" s="344"/>
      <c r="T147" s="344"/>
      <c r="U147" s="344"/>
      <c r="V147" s="344"/>
      <c r="W147" s="344"/>
      <c r="X147" s="344"/>
      <c r="Y147" s="344"/>
      <c r="Z147" s="344"/>
      <c r="AA147" s="344"/>
      <c r="AB147" s="344"/>
      <c r="AC147" s="344"/>
      <c r="AD147" s="344"/>
      <c r="AE147" s="344"/>
      <c r="AF147" s="344"/>
      <c r="AG147" s="344"/>
    </row>
    <row r="148">
      <c r="A148" s="56"/>
      <c r="B148" s="56"/>
      <c r="C148" s="186"/>
      <c r="D148" s="371"/>
      <c r="E148" s="369" t="s">
        <v>729</v>
      </c>
      <c r="F148" s="144"/>
      <c r="G148" s="344"/>
      <c r="H148" s="344"/>
      <c r="I148" s="344"/>
      <c r="J148" s="344"/>
      <c r="K148" s="344"/>
      <c r="L148" s="344"/>
      <c r="M148" s="344"/>
      <c r="N148" s="344"/>
      <c r="O148" s="344"/>
      <c r="P148" s="344"/>
      <c r="Q148" s="344"/>
      <c r="R148" s="344"/>
      <c r="S148" s="344"/>
      <c r="T148" s="344"/>
      <c r="U148" s="344"/>
      <c r="V148" s="344"/>
      <c r="W148" s="344"/>
      <c r="X148" s="344"/>
      <c r="Y148" s="344"/>
      <c r="Z148" s="344"/>
      <c r="AA148" s="344"/>
      <c r="AB148" s="344"/>
      <c r="AC148" s="344"/>
      <c r="AD148" s="344"/>
      <c r="AE148" s="344"/>
      <c r="AF148" s="344"/>
      <c r="AG148" s="344"/>
    </row>
    <row r="149">
      <c r="A149" s="366">
        <v>30.0</v>
      </c>
      <c r="B149" s="367" t="s">
        <v>767</v>
      </c>
      <c r="C149" s="186" t="s">
        <v>289</v>
      </c>
      <c r="D149" s="371">
        <v>2024.0</v>
      </c>
      <c r="E149" s="369" t="s">
        <v>729</v>
      </c>
      <c r="F149" s="370" t="s">
        <v>730</v>
      </c>
      <c r="G149" s="344"/>
      <c r="H149" s="344"/>
      <c r="I149" s="344"/>
      <c r="J149" s="344"/>
      <c r="K149" s="344"/>
      <c r="L149" s="344"/>
      <c r="M149" s="344"/>
      <c r="N149" s="344"/>
      <c r="O149" s="344"/>
      <c r="P149" s="344"/>
      <c r="Q149" s="344"/>
      <c r="R149" s="344"/>
      <c r="S149" s="344"/>
      <c r="T149" s="344"/>
      <c r="U149" s="344"/>
      <c r="V149" s="344"/>
      <c r="W149" s="344"/>
      <c r="X149" s="344"/>
      <c r="Y149" s="344"/>
      <c r="Z149" s="344"/>
      <c r="AA149" s="344"/>
      <c r="AB149" s="344"/>
      <c r="AC149" s="344"/>
      <c r="AD149" s="344"/>
      <c r="AE149" s="344"/>
      <c r="AF149" s="344"/>
      <c r="AG149" s="344"/>
    </row>
    <row r="150">
      <c r="A150" s="373">
        <v>31.0</v>
      </c>
      <c r="B150" s="374" t="s">
        <v>768</v>
      </c>
      <c r="C150" s="186" t="s">
        <v>284</v>
      </c>
      <c r="D150" s="371">
        <v>2015.0</v>
      </c>
      <c r="E150" s="381" t="s">
        <v>769</v>
      </c>
      <c r="F150" s="382">
        <v>2023.0</v>
      </c>
      <c r="G150" s="344"/>
      <c r="H150" s="344"/>
      <c r="I150" s="344"/>
      <c r="J150" s="344"/>
      <c r="K150" s="344"/>
      <c r="L150" s="344"/>
      <c r="M150" s="344"/>
      <c r="N150" s="344"/>
      <c r="O150" s="344"/>
      <c r="P150" s="344"/>
      <c r="Q150" s="344"/>
      <c r="R150" s="344"/>
      <c r="S150" s="344"/>
      <c r="T150" s="344"/>
      <c r="U150" s="344"/>
      <c r="V150" s="344"/>
      <c r="W150" s="344"/>
      <c r="X150" s="344"/>
      <c r="Y150" s="344"/>
      <c r="Z150" s="344"/>
      <c r="AA150" s="344"/>
      <c r="AB150" s="344"/>
      <c r="AC150" s="344"/>
      <c r="AD150" s="344"/>
      <c r="AE150" s="344"/>
      <c r="AF150" s="344"/>
      <c r="AG150" s="344"/>
    </row>
    <row r="151">
      <c r="A151" s="56"/>
      <c r="B151" s="56"/>
      <c r="C151" s="186"/>
      <c r="D151" s="371"/>
      <c r="E151" s="376" t="s">
        <v>770</v>
      </c>
      <c r="F151" s="382">
        <v>2024.0</v>
      </c>
      <c r="G151" s="344"/>
      <c r="H151" s="344"/>
      <c r="I151" s="344"/>
      <c r="J151" s="344"/>
      <c r="K151" s="344"/>
      <c r="L151" s="344"/>
      <c r="M151" s="344"/>
      <c r="N151" s="344"/>
      <c r="O151" s="344"/>
      <c r="P151" s="344"/>
      <c r="Q151" s="344"/>
      <c r="R151" s="344"/>
      <c r="S151" s="344"/>
      <c r="T151" s="344"/>
      <c r="U151" s="344"/>
      <c r="V151" s="344"/>
      <c r="W151" s="344"/>
      <c r="X151" s="344"/>
      <c r="Y151" s="344"/>
      <c r="Z151" s="344"/>
      <c r="AA151" s="344"/>
      <c r="AB151" s="344"/>
      <c r="AC151" s="344"/>
      <c r="AD151" s="344"/>
      <c r="AE151" s="344"/>
      <c r="AF151" s="344"/>
      <c r="AG151" s="344"/>
    </row>
    <row r="152">
      <c r="A152" s="366">
        <v>32.0</v>
      </c>
      <c r="B152" s="367" t="s">
        <v>670</v>
      </c>
      <c r="C152" s="186" t="s">
        <v>289</v>
      </c>
      <c r="D152" s="371">
        <v>2021.0</v>
      </c>
      <c r="E152" s="369" t="s">
        <v>729</v>
      </c>
      <c r="F152" s="370" t="s">
        <v>730</v>
      </c>
      <c r="G152" s="344"/>
      <c r="H152" s="344"/>
      <c r="I152" s="344"/>
      <c r="J152" s="344"/>
      <c r="K152" s="344"/>
      <c r="L152" s="344"/>
      <c r="M152" s="344"/>
      <c r="N152" s="344"/>
      <c r="O152" s="344"/>
      <c r="P152" s="344"/>
      <c r="Q152" s="344"/>
      <c r="R152" s="344"/>
      <c r="S152" s="344"/>
      <c r="T152" s="344"/>
      <c r="U152" s="344"/>
      <c r="V152" s="344"/>
      <c r="W152" s="344"/>
      <c r="X152" s="344"/>
      <c r="Y152" s="344"/>
      <c r="Z152" s="344"/>
      <c r="AA152" s="344"/>
      <c r="AB152" s="344"/>
      <c r="AC152" s="344"/>
      <c r="AD152" s="344"/>
      <c r="AE152" s="344"/>
      <c r="AF152" s="344"/>
      <c r="AG152" s="344"/>
    </row>
    <row r="153">
      <c r="A153" s="366">
        <v>33.0</v>
      </c>
      <c r="B153" s="367" t="s">
        <v>771</v>
      </c>
      <c r="C153" s="186" t="s">
        <v>289</v>
      </c>
      <c r="D153" s="371">
        <v>2023.0</v>
      </c>
      <c r="E153" s="376"/>
      <c r="F153" s="379"/>
      <c r="G153" s="344"/>
      <c r="H153" s="344"/>
      <c r="I153" s="344"/>
      <c r="J153" s="344"/>
      <c r="K153" s="344"/>
      <c r="L153" s="344"/>
      <c r="M153" s="344"/>
      <c r="N153" s="344"/>
      <c r="O153" s="344"/>
      <c r="P153" s="344"/>
      <c r="Q153" s="344"/>
      <c r="R153" s="344"/>
      <c r="S153" s="344"/>
      <c r="T153" s="344"/>
      <c r="U153" s="344"/>
      <c r="V153" s="344"/>
      <c r="W153" s="344"/>
      <c r="X153" s="344"/>
      <c r="Y153" s="344"/>
      <c r="Z153" s="344"/>
      <c r="AA153" s="344"/>
      <c r="AB153" s="344"/>
      <c r="AC153" s="344"/>
      <c r="AD153" s="344"/>
      <c r="AE153" s="344"/>
      <c r="AF153" s="344"/>
      <c r="AG153" s="344"/>
    </row>
    <row r="154">
      <c r="A154" s="366">
        <v>34.0</v>
      </c>
      <c r="B154" s="367" t="s">
        <v>570</v>
      </c>
      <c r="C154" s="186" t="s">
        <v>289</v>
      </c>
      <c r="D154" s="371">
        <v>2023.0</v>
      </c>
      <c r="E154" s="369" t="s">
        <v>729</v>
      </c>
      <c r="F154" s="383"/>
      <c r="G154" s="344"/>
      <c r="H154" s="344"/>
      <c r="I154" s="344"/>
      <c r="J154" s="344"/>
      <c r="K154" s="344"/>
      <c r="L154" s="344"/>
      <c r="M154" s="344"/>
      <c r="N154" s="344"/>
      <c r="O154" s="344"/>
      <c r="P154" s="344"/>
      <c r="Q154" s="344"/>
      <c r="R154" s="344"/>
      <c r="S154" s="344"/>
      <c r="T154" s="344"/>
      <c r="U154" s="344"/>
      <c r="V154" s="344"/>
      <c r="W154" s="344"/>
      <c r="X154" s="344"/>
      <c r="Y154" s="344"/>
      <c r="Z154" s="344"/>
      <c r="AA154" s="344"/>
      <c r="AB154" s="344"/>
      <c r="AC154" s="344"/>
      <c r="AD154" s="344"/>
      <c r="AE154" s="344"/>
      <c r="AF154" s="344"/>
      <c r="AG154" s="344"/>
    </row>
    <row r="155">
      <c r="A155" s="373">
        <v>35.0</v>
      </c>
      <c r="B155" s="374" t="s">
        <v>772</v>
      </c>
      <c r="C155" s="387" t="s">
        <v>284</v>
      </c>
      <c r="D155" s="388">
        <v>2023.0</v>
      </c>
      <c r="E155" s="186" t="s">
        <v>773</v>
      </c>
      <c r="F155" s="144" t="s">
        <v>742</v>
      </c>
      <c r="G155" s="361"/>
      <c r="H155" s="344"/>
      <c r="I155" s="344"/>
      <c r="J155" s="344"/>
      <c r="K155" s="344"/>
      <c r="L155" s="344"/>
      <c r="M155" s="344"/>
      <c r="N155" s="344"/>
      <c r="O155" s="344"/>
      <c r="P155" s="344"/>
      <c r="Q155" s="344"/>
      <c r="R155" s="344"/>
      <c r="S155" s="344"/>
      <c r="T155" s="344"/>
      <c r="U155" s="344"/>
      <c r="V155" s="344"/>
      <c r="W155" s="344"/>
      <c r="X155" s="344"/>
      <c r="Y155" s="344"/>
      <c r="Z155" s="344"/>
      <c r="AA155" s="344"/>
      <c r="AB155" s="344"/>
      <c r="AC155" s="344"/>
      <c r="AD155" s="344"/>
      <c r="AE155" s="344"/>
      <c r="AF155" s="344"/>
      <c r="AG155" s="344"/>
    </row>
    <row r="156">
      <c r="A156" s="56"/>
      <c r="B156" s="56"/>
      <c r="C156" s="56"/>
      <c r="D156" s="56"/>
      <c r="E156" s="186" t="s">
        <v>774</v>
      </c>
      <c r="F156" s="144" t="s">
        <v>742</v>
      </c>
      <c r="G156" s="361"/>
      <c r="H156" s="344"/>
      <c r="I156" s="344"/>
      <c r="J156" s="344"/>
      <c r="K156" s="344"/>
      <c r="L156" s="344"/>
      <c r="M156" s="344"/>
      <c r="N156" s="344"/>
      <c r="O156" s="344"/>
      <c r="P156" s="344"/>
      <c r="Q156" s="344"/>
      <c r="R156" s="344"/>
      <c r="S156" s="344"/>
      <c r="T156" s="344"/>
      <c r="U156" s="344"/>
      <c r="V156" s="344"/>
      <c r="W156" s="344"/>
      <c r="X156" s="344"/>
      <c r="Y156" s="344"/>
      <c r="Z156" s="344"/>
      <c r="AA156" s="344"/>
      <c r="AB156" s="344"/>
      <c r="AC156" s="344"/>
      <c r="AD156" s="344"/>
      <c r="AE156" s="344"/>
      <c r="AF156" s="344"/>
      <c r="AG156" s="344"/>
    </row>
    <row r="157">
      <c r="A157" s="366">
        <v>36.0</v>
      </c>
      <c r="B157" s="367" t="s">
        <v>571</v>
      </c>
      <c r="C157" s="186" t="s">
        <v>289</v>
      </c>
      <c r="D157" s="371">
        <v>2021.0</v>
      </c>
      <c r="E157" s="369" t="s">
        <v>729</v>
      </c>
      <c r="F157" s="370" t="s">
        <v>730</v>
      </c>
      <c r="G157" s="344"/>
      <c r="H157" s="344"/>
      <c r="I157" s="344"/>
      <c r="J157" s="344"/>
      <c r="K157" s="344"/>
      <c r="L157" s="344"/>
      <c r="M157" s="344"/>
      <c r="N157" s="344"/>
      <c r="O157" s="344"/>
      <c r="P157" s="344"/>
      <c r="Q157" s="344"/>
      <c r="R157" s="344"/>
      <c r="S157" s="344"/>
      <c r="T157" s="344"/>
      <c r="U157" s="344"/>
      <c r="V157" s="344"/>
      <c r="W157" s="344"/>
      <c r="X157" s="344"/>
      <c r="Y157" s="344"/>
      <c r="Z157" s="344"/>
      <c r="AA157" s="344"/>
      <c r="AB157" s="344"/>
      <c r="AC157" s="344"/>
      <c r="AD157" s="344"/>
      <c r="AE157" s="344"/>
      <c r="AF157" s="344"/>
      <c r="AG157" s="344"/>
    </row>
    <row r="158">
      <c r="A158" s="366">
        <v>37.0</v>
      </c>
      <c r="B158" s="367" t="s">
        <v>775</v>
      </c>
      <c r="C158" s="186" t="s">
        <v>284</v>
      </c>
      <c r="D158" s="371">
        <v>2018.0</v>
      </c>
      <c r="E158" s="186" t="s">
        <v>776</v>
      </c>
      <c r="F158" s="144" t="s">
        <v>742</v>
      </c>
      <c r="G158" s="344"/>
      <c r="H158" s="344"/>
      <c r="I158" s="344"/>
      <c r="J158" s="344"/>
      <c r="K158" s="344"/>
      <c r="L158" s="344"/>
      <c r="M158" s="344"/>
      <c r="N158" s="344"/>
      <c r="O158" s="344"/>
      <c r="P158" s="344"/>
      <c r="Q158" s="344"/>
      <c r="R158" s="344"/>
      <c r="S158" s="344"/>
      <c r="T158" s="344"/>
      <c r="U158" s="344"/>
      <c r="V158" s="344"/>
      <c r="W158" s="344"/>
      <c r="X158" s="344"/>
      <c r="Y158" s="344"/>
      <c r="Z158" s="344"/>
      <c r="AA158" s="344"/>
      <c r="AB158" s="344"/>
      <c r="AC158" s="344"/>
      <c r="AD158" s="344"/>
      <c r="AE158" s="344"/>
      <c r="AF158" s="344"/>
      <c r="AG158" s="344"/>
    </row>
    <row r="159">
      <c r="A159" s="366">
        <v>38.0</v>
      </c>
      <c r="B159" s="367" t="s">
        <v>777</v>
      </c>
      <c r="C159" s="380" t="s">
        <v>305</v>
      </c>
      <c r="D159" s="368">
        <v>2013.0</v>
      </c>
      <c r="E159" s="385"/>
      <c r="F159" s="383"/>
      <c r="G159" s="344"/>
      <c r="H159" s="344"/>
      <c r="I159" s="344"/>
      <c r="J159" s="344"/>
      <c r="K159" s="344"/>
      <c r="L159" s="344"/>
      <c r="M159" s="344"/>
      <c r="N159" s="344"/>
      <c r="O159" s="344"/>
      <c r="P159" s="344"/>
      <c r="Q159" s="344"/>
      <c r="R159" s="344"/>
      <c r="S159" s="344"/>
      <c r="T159" s="344"/>
      <c r="U159" s="344"/>
      <c r="V159" s="344"/>
      <c r="W159" s="344"/>
      <c r="X159" s="344"/>
      <c r="Y159" s="344"/>
      <c r="Z159" s="344"/>
      <c r="AA159" s="344"/>
      <c r="AB159" s="344"/>
      <c r="AC159" s="344"/>
      <c r="AD159" s="344"/>
      <c r="AE159" s="344"/>
      <c r="AF159" s="344"/>
      <c r="AG159" s="344"/>
    </row>
    <row r="160">
      <c r="A160" s="373">
        <v>39.0</v>
      </c>
      <c r="B160" s="374" t="s">
        <v>778</v>
      </c>
      <c r="C160" s="186" t="s">
        <v>284</v>
      </c>
      <c r="D160" s="371">
        <v>2018.0</v>
      </c>
      <c r="E160" s="376" t="s">
        <v>779</v>
      </c>
      <c r="F160" s="382">
        <v>2024.0</v>
      </c>
      <c r="G160" s="361"/>
      <c r="H160" s="344"/>
      <c r="I160" s="378"/>
      <c r="J160" s="344"/>
      <c r="K160" s="344"/>
      <c r="L160" s="344"/>
      <c r="M160" s="344"/>
      <c r="N160" s="344"/>
      <c r="O160" s="344"/>
      <c r="P160" s="344"/>
      <c r="Q160" s="344"/>
      <c r="R160" s="344"/>
      <c r="S160" s="344"/>
      <c r="T160" s="344"/>
      <c r="U160" s="344"/>
      <c r="V160" s="344"/>
      <c r="W160" s="344"/>
      <c r="X160" s="344"/>
      <c r="Y160" s="344"/>
      <c r="Z160" s="344"/>
      <c r="AA160" s="344"/>
      <c r="AB160" s="344"/>
      <c r="AC160" s="344"/>
      <c r="AD160" s="344"/>
      <c r="AE160" s="344"/>
      <c r="AF160" s="344"/>
      <c r="AG160" s="344"/>
    </row>
    <row r="161">
      <c r="A161" s="56"/>
      <c r="B161" s="56"/>
      <c r="C161" s="186"/>
      <c r="D161" s="371"/>
      <c r="E161" s="369" t="s">
        <v>729</v>
      </c>
      <c r="F161" s="370" t="s">
        <v>730</v>
      </c>
      <c r="G161" s="361"/>
      <c r="H161" s="344"/>
      <c r="I161" s="378"/>
      <c r="J161" s="344"/>
      <c r="K161" s="344"/>
      <c r="L161" s="344"/>
      <c r="M161" s="344"/>
      <c r="N161" s="344"/>
      <c r="O161" s="344"/>
      <c r="P161" s="344"/>
      <c r="Q161" s="344"/>
      <c r="R161" s="344"/>
      <c r="S161" s="344"/>
      <c r="T161" s="344"/>
      <c r="U161" s="344"/>
      <c r="V161" s="344"/>
      <c r="W161" s="344"/>
      <c r="X161" s="344"/>
      <c r="Y161" s="344"/>
      <c r="Z161" s="344"/>
      <c r="AA161" s="344"/>
      <c r="AB161" s="344"/>
      <c r="AC161" s="344"/>
      <c r="AD161" s="344"/>
      <c r="AE161" s="344"/>
      <c r="AF161" s="344"/>
      <c r="AG161" s="344"/>
    </row>
    <row r="162">
      <c r="A162" s="366">
        <v>40.0</v>
      </c>
      <c r="B162" s="367" t="s">
        <v>780</v>
      </c>
      <c r="C162" s="380" t="s">
        <v>289</v>
      </c>
      <c r="D162" s="368">
        <v>2021.0</v>
      </c>
      <c r="E162" s="369" t="s">
        <v>729</v>
      </c>
      <c r="F162" s="370" t="s">
        <v>730</v>
      </c>
      <c r="G162" s="361"/>
      <c r="H162" s="344"/>
      <c r="I162" s="378"/>
      <c r="J162" s="344"/>
      <c r="K162" s="344"/>
      <c r="L162" s="344"/>
      <c r="M162" s="344"/>
      <c r="N162" s="344"/>
      <c r="O162" s="344"/>
      <c r="P162" s="344"/>
      <c r="Q162" s="344"/>
      <c r="R162" s="344"/>
      <c r="S162" s="344"/>
      <c r="T162" s="344"/>
      <c r="U162" s="344"/>
      <c r="V162" s="344"/>
      <c r="W162" s="344"/>
      <c r="X162" s="344"/>
      <c r="Y162" s="344"/>
      <c r="Z162" s="344"/>
      <c r="AA162" s="344"/>
      <c r="AB162" s="344"/>
      <c r="AC162" s="344"/>
      <c r="AD162" s="344"/>
      <c r="AE162" s="344"/>
      <c r="AF162" s="344"/>
      <c r="AG162" s="344"/>
    </row>
    <row r="163">
      <c r="A163" s="366">
        <v>41.0</v>
      </c>
      <c r="B163" s="367" t="s">
        <v>781</v>
      </c>
      <c r="C163" s="186" t="s">
        <v>284</v>
      </c>
      <c r="D163" s="371">
        <v>2023.0</v>
      </c>
      <c r="E163" s="381" t="s">
        <v>782</v>
      </c>
      <c r="F163" s="382" t="s">
        <v>730</v>
      </c>
      <c r="G163" s="344"/>
      <c r="H163" s="344"/>
      <c r="I163" s="344"/>
      <c r="J163" s="344"/>
      <c r="K163" s="344"/>
      <c r="L163" s="344"/>
      <c r="M163" s="344"/>
      <c r="N163" s="344"/>
      <c r="O163" s="344"/>
      <c r="P163" s="344"/>
      <c r="Q163" s="344"/>
      <c r="R163" s="344"/>
      <c r="S163" s="344"/>
      <c r="T163" s="344"/>
      <c r="U163" s="344"/>
      <c r="V163" s="344"/>
      <c r="W163" s="344"/>
      <c r="X163" s="344"/>
      <c r="Y163" s="344"/>
      <c r="Z163" s="344"/>
      <c r="AA163" s="344"/>
      <c r="AB163" s="344"/>
      <c r="AC163" s="344"/>
      <c r="AD163" s="344"/>
      <c r="AE163" s="344"/>
      <c r="AF163" s="344"/>
      <c r="AG163" s="344"/>
    </row>
    <row r="164">
      <c r="A164" s="366">
        <v>42.0</v>
      </c>
      <c r="B164" s="367" t="s">
        <v>783</v>
      </c>
      <c r="C164" s="186" t="s">
        <v>289</v>
      </c>
      <c r="D164" s="371">
        <v>2022.0</v>
      </c>
      <c r="E164" s="369" t="s">
        <v>729</v>
      </c>
      <c r="F164" s="370" t="s">
        <v>730</v>
      </c>
      <c r="G164" s="344"/>
      <c r="H164" s="344"/>
      <c r="I164" s="344"/>
      <c r="J164" s="344"/>
      <c r="K164" s="344"/>
      <c r="L164" s="344"/>
      <c r="M164" s="344"/>
      <c r="N164" s="344"/>
      <c r="O164" s="344"/>
      <c r="P164" s="344"/>
      <c r="Q164" s="344"/>
      <c r="R164" s="344"/>
      <c r="S164" s="344"/>
      <c r="T164" s="344"/>
      <c r="U164" s="344"/>
      <c r="V164" s="344"/>
      <c r="W164" s="344"/>
      <c r="X164" s="344"/>
      <c r="Y164" s="344"/>
      <c r="Z164" s="344"/>
      <c r="AA164" s="344"/>
      <c r="AB164" s="344"/>
      <c r="AC164" s="344"/>
      <c r="AD164" s="344"/>
      <c r="AE164" s="344"/>
      <c r="AF164" s="344"/>
      <c r="AG164" s="344"/>
    </row>
    <row r="165">
      <c r="A165" s="373">
        <v>43.0</v>
      </c>
      <c r="B165" s="374" t="s">
        <v>784</v>
      </c>
      <c r="C165" s="186" t="s">
        <v>284</v>
      </c>
      <c r="D165" s="371">
        <v>2023.0</v>
      </c>
      <c r="E165" s="381" t="s">
        <v>785</v>
      </c>
      <c r="F165" s="382">
        <v>2023.0</v>
      </c>
      <c r="G165" s="344"/>
      <c r="H165" s="344"/>
      <c r="I165" s="344"/>
      <c r="J165" s="344"/>
      <c r="K165" s="344"/>
      <c r="L165" s="344"/>
      <c r="M165" s="344"/>
      <c r="N165" s="344"/>
      <c r="O165" s="344"/>
      <c r="P165" s="344"/>
      <c r="Q165" s="344"/>
      <c r="R165" s="344"/>
      <c r="S165" s="344"/>
      <c r="T165" s="344"/>
      <c r="U165" s="344"/>
      <c r="V165" s="344"/>
      <c r="W165" s="344"/>
      <c r="X165" s="344"/>
      <c r="Y165" s="344"/>
      <c r="Z165" s="344"/>
      <c r="AA165" s="344"/>
      <c r="AB165" s="344"/>
      <c r="AC165" s="344"/>
      <c r="AD165" s="344"/>
      <c r="AE165" s="344"/>
      <c r="AF165" s="344"/>
      <c r="AG165" s="344"/>
    </row>
    <row r="166">
      <c r="A166" s="56"/>
      <c r="B166" s="56"/>
      <c r="C166" s="186"/>
      <c r="D166" s="371"/>
      <c r="E166" s="369" t="s">
        <v>729</v>
      </c>
      <c r="F166" s="370" t="s">
        <v>730</v>
      </c>
      <c r="G166" s="344"/>
      <c r="H166" s="344"/>
      <c r="I166" s="344"/>
      <c r="J166" s="344"/>
      <c r="K166" s="344"/>
      <c r="L166" s="344"/>
      <c r="M166" s="344"/>
      <c r="N166" s="344"/>
      <c r="O166" s="344"/>
      <c r="P166" s="344"/>
      <c r="Q166" s="344"/>
      <c r="R166" s="344"/>
      <c r="S166" s="344"/>
      <c r="T166" s="344"/>
      <c r="U166" s="344"/>
      <c r="V166" s="344"/>
      <c r="W166" s="344"/>
      <c r="X166" s="344"/>
      <c r="Y166" s="344"/>
      <c r="Z166" s="344"/>
      <c r="AA166" s="344"/>
      <c r="AB166" s="344"/>
      <c r="AC166" s="344"/>
      <c r="AD166" s="344"/>
      <c r="AE166" s="344"/>
      <c r="AF166" s="344"/>
      <c r="AG166" s="344"/>
    </row>
    <row r="167">
      <c r="A167" s="366">
        <v>44.0</v>
      </c>
      <c r="B167" s="367" t="s">
        <v>786</v>
      </c>
      <c r="C167" s="186" t="s">
        <v>284</v>
      </c>
      <c r="D167" s="371">
        <v>2023.0</v>
      </c>
      <c r="E167" s="381" t="s">
        <v>785</v>
      </c>
      <c r="F167" s="382">
        <v>2023.0</v>
      </c>
      <c r="G167" s="344"/>
      <c r="H167" s="344"/>
      <c r="I167" s="344"/>
      <c r="J167" s="344"/>
      <c r="K167" s="344"/>
      <c r="L167" s="344"/>
      <c r="M167" s="344"/>
      <c r="N167" s="344"/>
      <c r="O167" s="344"/>
      <c r="P167" s="344"/>
      <c r="Q167" s="344"/>
      <c r="R167" s="344"/>
      <c r="S167" s="344"/>
      <c r="T167" s="344"/>
      <c r="U167" s="344"/>
      <c r="V167" s="344"/>
      <c r="W167" s="344"/>
      <c r="X167" s="344"/>
      <c r="Y167" s="344"/>
      <c r="Z167" s="344"/>
      <c r="AA167" s="344"/>
      <c r="AB167" s="344"/>
      <c r="AC167" s="344"/>
      <c r="AD167" s="344"/>
      <c r="AE167" s="344"/>
      <c r="AF167" s="344"/>
      <c r="AG167" s="344"/>
    </row>
    <row r="168">
      <c r="A168" s="373">
        <v>45.0</v>
      </c>
      <c r="B168" s="374" t="s">
        <v>787</v>
      </c>
      <c r="C168" s="186" t="s">
        <v>289</v>
      </c>
      <c r="D168" s="371">
        <v>2021.0</v>
      </c>
      <c r="E168" s="186" t="s">
        <v>788</v>
      </c>
      <c r="F168" s="144">
        <v>2024.0</v>
      </c>
      <c r="G168" s="344"/>
      <c r="H168" s="344"/>
      <c r="I168" s="344"/>
      <c r="J168" s="344"/>
      <c r="K168" s="344"/>
      <c r="L168" s="344"/>
      <c r="M168" s="344"/>
      <c r="N168" s="344"/>
      <c r="O168" s="344"/>
      <c r="P168" s="344"/>
      <c r="Q168" s="344"/>
      <c r="R168" s="344"/>
      <c r="S168" s="344"/>
      <c r="T168" s="344"/>
      <c r="U168" s="344"/>
      <c r="V168" s="344"/>
      <c r="W168" s="344"/>
      <c r="X168" s="344"/>
      <c r="Y168" s="344"/>
      <c r="Z168" s="344"/>
      <c r="AA168" s="344"/>
      <c r="AB168" s="344"/>
      <c r="AC168" s="344"/>
      <c r="AD168" s="344"/>
      <c r="AE168" s="344"/>
      <c r="AF168" s="344"/>
      <c r="AG168" s="344"/>
    </row>
    <row r="169">
      <c r="A169" s="56"/>
      <c r="B169" s="56"/>
      <c r="C169" s="186"/>
      <c r="D169" s="371"/>
      <c r="E169" s="369" t="s">
        <v>729</v>
      </c>
      <c r="F169" s="370" t="s">
        <v>730</v>
      </c>
      <c r="G169" s="344"/>
      <c r="H169" s="344"/>
      <c r="I169" s="344"/>
      <c r="J169" s="344"/>
      <c r="K169" s="344"/>
      <c r="L169" s="344"/>
      <c r="M169" s="344"/>
      <c r="N169" s="344"/>
      <c r="O169" s="344"/>
      <c r="P169" s="344"/>
      <c r="Q169" s="344"/>
      <c r="R169" s="344"/>
      <c r="S169" s="344"/>
      <c r="T169" s="344"/>
      <c r="U169" s="344"/>
      <c r="V169" s="344"/>
      <c r="W169" s="344"/>
      <c r="X169" s="344"/>
      <c r="Y169" s="344"/>
      <c r="Z169" s="344"/>
      <c r="AA169" s="344"/>
      <c r="AB169" s="344"/>
      <c r="AC169" s="344"/>
      <c r="AD169" s="344"/>
      <c r="AE169" s="344"/>
      <c r="AF169" s="344"/>
      <c r="AG169" s="344"/>
    </row>
    <row r="170">
      <c r="A170" s="366">
        <v>46.0</v>
      </c>
      <c r="B170" s="367" t="s">
        <v>789</v>
      </c>
      <c r="C170" s="186" t="s">
        <v>289</v>
      </c>
      <c r="D170" s="371">
        <v>2021.0</v>
      </c>
      <c r="E170" s="386"/>
      <c r="F170" s="377"/>
      <c r="G170" s="344"/>
      <c r="H170" s="344"/>
      <c r="I170" s="344"/>
      <c r="J170" s="344"/>
      <c r="K170" s="344"/>
      <c r="L170" s="344"/>
      <c r="M170" s="344"/>
      <c r="N170" s="344"/>
      <c r="O170" s="344"/>
      <c r="P170" s="344"/>
      <c r="Q170" s="344"/>
      <c r="R170" s="344"/>
      <c r="S170" s="344"/>
      <c r="T170" s="344"/>
      <c r="U170" s="344"/>
      <c r="V170" s="344"/>
      <c r="W170" s="344"/>
      <c r="X170" s="344"/>
      <c r="Y170" s="344"/>
      <c r="Z170" s="344"/>
      <c r="AA170" s="344"/>
      <c r="AB170" s="344"/>
      <c r="AC170" s="344"/>
      <c r="AD170" s="344"/>
      <c r="AE170" s="344"/>
      <c r="AF170" s="344"/>
      <c r="AG170" s="344"/>
    </row>
    <row r="171">
      <c r="A171" s="366">
        <v>47.0</v>
      </c>
      <c r="B171" s="367" t="s">
        <v>790</v>
      </c>
      <c r="C171" s="186" t="s">
        <v>290</v>
      </c>
      <c r="D171" s="371"/>
      <c r="E171" s="386"/>
      <c r="F171" s="377"/>
      <c r="G171" s="344"/>
      <c r="H171" s="344"/>
      <c r="I171" s="344"/>
      <c r="J171" s="344"/>
      <c r="K171" s="344"/>
      <c r="L171" s="344"/>
      <c r="M171" s="344"/>
      <c r="N171" s="344"/>
      <c r="O171" s="344"/>
      <c r="P171" s="344"/>
      <c r="Q171" s="344"/>
      <c r="R171" s="344"/>
      <c r="S171" s="344"/>
      <c r="T171" s="344"/>
      <c r="U171" s="344"/>
      <c r="V171" s="344"/>
      <c r="W171" s="344"/>
      <c r="X171" s="344"/>
      <c r="Y171" s="344"/>
      <c r="Z171" s="344"/>
      <c r="AA171" s="344"/>
      <c r="AB171" s="344"/>
      <c r="AC171" s="344"/>
      <c r="AD171" s="344"/>
      <c r="AE171" s="344"/>
      <c r="AF171" s="344"/>
      <c r="AG171" s="344"/>
    </row>
    <row r="172">
      <c r="A172" s="366">
        <v>48.0</v>
      </c>
      <c r="B172" s="367" t="s">
        <v>791</v>
      </c>
      <c r="C172" s="186" t="s">
        <v>284</v>
      </c>
      <c r="D172" s="371">
        <v>2018.0</v>
      </c>
      <c r="E172" s="186" t="s">
        <v>792</v>
      </c>
      <c r="F172" s="144" t="s">
        <v>742</v>
      </c>
      <c r="G172" s="344"/>
      <c r="H172" s="344"/>
      <c r="I172" s="344"/>
      <c r="J172" s="344"/>
      <c r="K172" s="344"/>
      <c r="L172" s="344"/>
      <c r="M172" s="344"/>
      <c r="N172" s="344"/>
      <c r="O172" s="344"/>
      <c r="P172" s="344"/>
      <c r="Q172" s="344"/>
      <c r="R172" s="344"/>
      <c r="S172" s="344"/>
      <c r="T172" s="344"/>
      <c r="U172" s="344"/>
      <c r="V172" s="344"/>
      <c r="W172" s="344"/>
      <c r="X172" s="344"/>
      <c r="Y172" s="344"/>
      <c r="Z172" s="344"/>
      <c r="AA172" s="344"/>
      <c r="AB172" s="344"/>
      <c r="AC172" s="344"/>
      <c r="AD172" s="344"/>
      <c r="AE172" s="344"/>
      <c r="AF172" s="344"/>
      <c r="AG172" s="344"/>
    </row>
    <row r="173">
      <c r="A173" s="366"/>
      <c r="B173" s="367"/>
      <c r="C173" s="186"/>
      <c r="D173" s="371"/>
      <c r="E173" s="369" t="s">
        <v>729</v>
      </c>
      <c r="F173" s="370" t="s">
        <v>730</v>
      </c>
      <c r="G173" s="344"/>
      <c r="H173" s="344"/>
      <c r="I173" s="344"/>
      <c r="J173" s="344"/>
      <c r="K173" s="344"/>
      <c r="L173" s="344"/>
      <c r="M173" s="344"/>
      <c r="N173" s="344"/>
      <c r="O173" s="344"/>
      <c r="P173" s="344"/>
      <c r="Q173" s="344"/>
      <c r="R173" s="344"/>
      <c r="S173" s="344"/>
      <c r="T173" s="344"/>
      <c r="U173" s="344"/>
      <c r="V173" s="344"/>
      <c r="W173" s="344"/>
      <c r="X173" s="344"/>
      <c r="Y173" s="344"/>
      <c r="Z173" s="344"/>
      <c r="AA173" s="344"/>
      <c r="AB173" s="344"/>
      <c r="AC173" s="344"/>
      <c r="AD173" s="344"/>
      <c r="AE173" s="344"/>
      <c r="AF173" s="344"/>
      <c r="AG173" s="344"/>
    </row>
    <row r="174">
      <c r="A174" s="366">
        <v>49.0</v>
      </c>
      <c r="B174" s="367" t="s">
        <v>793</v>
      </c>
      <c r="C174" s="186" t="s">
        <v>289</v>
      </c>
      <c r="D174" s="371">
        <v>2021.0</v>
      </c>
      <c r="E174" s="386"/>
      <c r="F174" s="377" t="s">
        <v>730</v>
      </c>
      <c r="G174" s="344"/>
      <c r="H174" s="344"/>
      <c r="I174" s="344"/>
      <c r="J174" s="344"/>
      <c r="K174" s="344"/>
      <c r="L174" s="344"/>
      <c r="M174" s="344"/>
      <c r="N174" s="344"/>
      <c r="O174" s="344"/>
      <c r="P174" s="344"/>
      <c r="Q174" s="344"/>
      <c r="R174" s="344"/>
      <c r="S174" s="344"/>
      <c r="T174" s="344"/>
      <c r="U174" s="344"/>
      <c r="V174" s="344"/>
      <c r="W174" s="344"/>
      <c r="X174" s="344"/>
      <c r="Y174" s="344"/>
      <c r="Z174" s="344"/>
      <c r="AA174" s="344"/>
      <c r="AB174" s="344"/>
      <c r="AC174" s="344"/>
      <c r="AD174" s="344"/>
      <c r="AE174" s="344"/>
      <c r="AF174" s="344"/>
      <c r="AG174" s="344"/>
    </row>
    <row r="175">
      <c r="A175" s="366">
        <v>50.0</v>
      </c>
      <c r="B175" s="367" t="s">
        <v>794</v>
      </c>
      <c r="C175" s="186" t="s">
        <v>284</v>
      </c>
      <c r="D175" s="371">
        <v>2020.0</v>
      </c>
      <c r="E175" s="186" t="s">
        <v>795</v>
      </c>
      <c r="F175" s="144" t="s">
        <v>742</v>
      </c>
      <c r="G175" s="344"/>
      <c r="H175" s="344"/>
      <c r="I175" s="344"/>
      <c r="J175" s="344"/>
      <c r="K175" s="344"/>
      <c r="L175" s="344"/>
      <c r="M175" s="344"/>
      <c r="N175" s="344"/>
      <c r="O175" s="344"/>
      <c r="P175" s="344"/>
      <c r="Q175" s="344"/>
      <c r="R175" s="344"/>
      <c r="S175" s="344"/>
      <c r="T175" s="344"/>
      <c r="U175" s="344"/>
      <c r="V175" s="344"/>
      <c r="W175" s="344"/>
      <c r="X175" s="344"/>
      <c r="Y175" s="344"/>
      <c r="Z175" s="344"/>
      <c r="AA175" s="344"/>
      <c r="AB175" s="344"/>
      <c r="AC175" s="344"/>
      <c r="AD175" s="344"/>
      <c r="AE175" s="344"/>
      <c r="AF175" s="344"/>
      <c r="AG175" s="344"/>
    </row>
    <row r="176">
      <c r="A176" s="366">
        <v>51.0</v>
      </c>
      <c r="B176" s="367" t="s">
        <v>796</v>
      </c>
      <c r="C176" s="186" t="s">
        <v>284</v>
      </c>
      <c r="D176" s="371">
        <v>2023.0</v>
      </c>
      <c r="E176" s="386"/>
      <c r="F176" s="377"/>
      <c r="G176" s="344"/>
      <c r="H176" s="344"/>
      <c r="I176" s="344"/>
      <c r="J176" s="344"/>
      <c r="K176" s="344"/>
      <c r="L176" s="344"/>
      <c r="M176" s="344"/>
      <c r="N176" s="344"/>
      <c r="O176" s="344"/>
      <c r="P176" s="344"/>
      <c r="Q176" s="344"/>
      <c r="R176" s="344"/>
      <c r="S176" s="344"/>
      <c r="T176" s="344"/>
      <c r="U176" s="344"/>
      <c r="V176" s="344"/>
      <c r="W176" s="344"/>
      <c r="X176" s="344"/>
      <c r="Y176" s="344"/>
      <c r="Z176" s="344"/>
      <c r="AA176" s="344"/>
      <c r="AB176" s="344"/>
      <c r="AC176" s="344"/>
      <c r="AD176" s="344"/>
      <c r="AE176" s="344"/>
      <c r="AF176" s="344"/>
      <c r="AG176" s="344"/>
    </row>
    <row r="177">
      <c r="A177" s="366">
        <v>52.0</v>
      </c>
      <c r="B177" s="367" t="s">
        <v>797</v>
      </c>
      <c r="C177" s="186" t="s">
        <v>284</v>
      </c>
      <c r="D177" s="371">
        <v>2023.0</v>
      </c>
      <c r="E177" s="389" t="s">
        <v>798</v>
      </c>
      <c r="F177" s="382">
        <v>2024.0</v>
      </c>
      <c r="G177" s="344"/>
      <c r="H177" s="344"/>
      <c r="I177" s="344"/>
      <c r="J177" s="344"/>
      <c r="K177" s="344"/>
      <c r="L177" s="344"/>
      <c r="M177" s="344"/>
      <c r="N177" s="344"/>
      <c r="O177" s="344"/>
      <c r="P177" s="344"/>
      <c r="Q177" s="344"/>
      <c r="R177" s="344"/>
      <c r="S177" s="344"/>
      <c r="T177" s="344"/>
      <c r="U177" s="344"/>
      <c r="V177" s="344"/>
      <c r="W177" s="344"/>
      <c r="X177" s="344"/>
      <c r="Y177" s="344"/>
      <c r="Z177" s="344"/>
      <c r="AA177" s="344"/>
      <c r="AB177" s="344"/>
      <c r="AC177" s="344"/>
      <c r="AD177" s="344"/>
      <c r="AE177" s="344"/>
      <c r="AF177" s="344"/>
      <c r="AG177" s="344"/>
    </row>
    <row r="178">
      <c r="A178" s="366">
        <v>53.0</v>
      </c>
      <c r="B178" s="367" t="s">
        <v>595</v>
      </c>
      <c r="C178" s="186" t="s">
        <v>289</v>
      </c>
      <c r="D178" s="371">
        <v>2023.0</v>
      </c>
      <c r="E178" s="386"/>
      <c r="F178" s="377" t="s">
        <v>730</v>
      </c>
      <c r="G178" s="344"/>
      <c r="H178" s="344"/>
      <c r="I178" s="344"/>
      <c r="J178" s="344"/>
      <c r="K178" s="344"/>
      <c r="L178" s="344"/>
      <c r="M178" s="344"/>
      <c r="N178" s="344"/>
      <c r="O178" s="344"/>
      <c r="P178" s="344"/>
      <c r="Q178" s="344"/>
      <c r="R178" s="344"/>
      <c r="S178" s="344"/>
      <c r="T178" s="344"/>
      <c r="U178" s="344"/>
      <c r="V178" s="344"/>
      <c r="W178" s="344"/>
      <c r="X178" s="344"/>
      <c r="Y178" s="344"/>
      <c r="Z178" s="344"/>
      <c r="AA178" s="344"/>
      <c r="AB178" s="344"/>
      <c r="AC178" s="344"/>
      <c r="AD178" s="344"/>
      <c r="AE178" s="344"/>
      <c r="AF178" s="344"/>
      <c r="AG178" s="344"/>
    </row>
    <row r="179">
      <c r="A179" s="366">
        <v>54.0</v>
      </c>
      <c r="B179" s="367" t="s">
        <v>597</v>
      </c>
      <c r="C179" s="380" t="s">
        <v>289</v>
      </c>
      <c r="D179" s="368">
        <v>2022.0</v>
      </c>
      <c r="E179" s="385"/>
      <c r="F179" s="383"/>
      <c r="G179" s="361"/>
      <c r="H179" s="344"/>
      <c r="I179" s="378"/>
      <c r="J179" s="344"/>
      <c r="K179" s="344"/>
      <c r="L179" s="344"/>
      <c r="M179" s="344"/>
      <c r="N179" s="344"/>
      <c r="O179" s="344"/>
      <c r="P179" s="344"/>
      <c r="Q179" s="344"/>
      <c r="R179" s="344"/>
      <c r="S179" s="344"/>
      <c r="T179" s="344"/>
      <c r="U179" s="344"/>
      <c r="V179" s="344"/>
      <c r="W179" s="344"/>
      <c r="X179" s="344"/>
      <c r="Y179" s="344"/>
      <c r="Z179" s="344"/>
      <c r="AA179" s="344"/>
      <c r="AB179" s="344"/>
      <c r="AC179" s="344"/>
      <c r="AD179" s="344"/>
      <c r="AE179" s="344"/>
      <c r="AF179" s="344"/>
      <c r="AG179" s="344"/>
    </row>
    <row r="180">
      <c r="A180" s="366">
        <v>55.0</v>
      </c>
      <c r="B180" s="367" t="s">
        <v>799</v>
      </c>
      <c r="C180" s="186" t="s">
        <v>290</v>
      </c>
      <c r="D180" s="371"/>
      <c r="E180" s="186"/>
      <c r="F180" s="360"/>
      <c r="G180" s="344"/>
      <c r="H180" s="344"/>
      <c r="I180" s="344"/>
      <c r="J180" s="344"/>
      <c r="K180" s="344"/>
      <c r="L180" s="344"/>
      <c r="M180" s="344"/>
      <c r="N180" s="344"/>
      <c r="O180" s="344"/>
      <c r="P180" s="344"/>
      <c r="Q180" s="344"/>
      <c r="R180" s="344"/>
      <c r="S180" s="344"/>
      <c r="T180" s="344"/>
      <c r="U180" s="344"/>
      <c r="V180" s="344"/>
      <c r="W180" s="344"/>
      <c r="X180" s="344"/>
      <c r="Y180" s="344"/>
      <c r="Z180" s="344"/>
      <c r="AA180" s="344"/>
      <c r="AB180" s="344"/>
      <c r="AC180" s="344"/>
      <c r="AD180" s="344"/>
      <c r="AE180" s="344"/>
      <c r="AF180" s="344"/>
      <c r="AG180" s="344"/>
    </row>
    <row r="181">
      <c r="A181" s="366">
        <v>56.0</v>
      </c>
      <c r="B181" s="367" t="s">
        <v>598</v>
      </c>
      <c r="C181" s="186" t="s">
        <v>284</v>
      </c>
      <c r="D181" s="371">
        <v>2023.0</v>
      </c>
      <c r="E181" s="369" t="s">
        <v>729</v>
      </c>
      <c r="F181" s="370" t="s">
        <v>730</v>
      </c>
      <c r="G181" s="344"/>
      <c r="H181" s="344"/>
      <c r="I181" s="344"/>
      <c r="J181" s="344"/>
      <c r="K181" s="344"/>
      <c r="L181" s="344"/>
      <c r="M181" s="344"/>
      <c r="N181" s="344"/>
      <c r="O181" s="344"/>
      <c r="P181" s="344"/>
      <c r="Q181" s="344"/>
      <c r="R181" s="344"/>
      <c r="S181" s="344"/>
      <c r="T181" s="344"/>
      <c r="U181" s="344"/>
      <c r="V181" s="344"/>
      <c r="W181" s="344"/>
      <c r="X181" s="344"/>
      <c r="Y181" s="344"/>
      <c r="Z181" s="344"/>
      <c r="AA181" s="344"/>
      <c r="AB181" s="344"/>
      <c r="AC181" s="344"/>
      <c r="AD181" s="344"/>
      <c r="AE181" s="344"/>
      <c r="AF181" s="344"/>
      <c r="AG181" s="344"/>
    </row>
    <row r="182">
      <c r="A182" s="373">
        <v>57.0</v>
      </c>
      <c r="B182" s="374" t="s">
        <v>800</v>
      </c>
      <c r="C182" s="374" t="s">
        <v>305</v>
      </c>
      <c r="D182" s="390">
        <v>2023.0</v>
      </c>
      <c r="E182" s="186" t="s">
        <v>801</v>
      </c>
      <c r="F182" s="144" t="s">
        <v>742</v>
      </c>
      <c r="G182" s="344"/>
      <c r="H182" s="344"/>
      <c r="I182" s="344"/>
      <c r="J182" s="344"/>
      <c r="K182" s="344"/>
      <c r="L182" s="344"/>
      <c r="M182" s="344"/>
      <c r="N182" s="344"/>
      <c r="O182" s="344"/>
      <c r="P182" s="344"/>
      <c r="Q182" s="344"/>
      <c r="R182" s="344"/>
      <c r="S182" s="344"/>
      <c r="T182" s="344"/>
      <c r="U182" s="344"/>
      <c r="V182" s="344"/>
      <c r="W182" s="344"/>
      <c r="X182" s="344"/>
      <c r="Y182" s="344"/>
      <c r="Z182" s="344"/>
      <c r="AA182" s="344"/>
      <c r="AB182" s="344"/>
      <c r="AC182" s="344"/>
      <c r="AD182" s="344"/>
      <c r="AE182" s="344"/>
      <c r="AF182" s="344"/>
      <c r="AG182" s="344"/>
    </row>
    <row r="183">
      <c r="A183" s="129"/>
      <c r="B183" s="129"/>
      <c r="C183" s="56"/>
      <c r="D183" s="56"/>
      <c r="E183" s="186" t="s">
        <v>734</v>
      </c>
      <c r="F183" s="144" t="s">
        <v>735</v>
      </c>
      <c r="G183" s="344"/>
      <c r="H183" s="344"/>
      <c r="I183" s="344"/>
      <c r="J183" s="344"/>
      <c r="K183" s="344"/>
      <c r="L183" s="344"/>
      <c r="M183" s="344"/>
      <c r="N183" s="344"/>
      <c r="O183" s="344"/>
      <c r="P183" s="344"/>
      <c r="Q183" s="344"/>
      <c r="R183" s="344"/>
      <c r="S183" s="344"/>
      <c r="T183" s="344"/>
      <c r="U183" s="344"/>
      <c r="V183" s="344"/>
      <c r="W183" s="344"/>
      <c r="X183" s="344"/>
      <c r="Y183" s="344"/>
      <c r="Z183" s="344"/>
      <c r="AA183" s="344"/>
      <c r="AB183" s="344"/>
      <c r="AC183" s="344"/>
      <c r="AD183" s="344"/>
      <c r="AE183" s="344"/>
      <c r="AF183" s="344"/>
      <c r="AG183" s="344"/>
    </row>
    <row r="184">
      <c r="A184" s="56"/>
      <c r="B184" s="56"/>
      <c r="C184" s="367"/>
      <c r="D184" s="391"/>
      <c r="E184" s="386" t="s">
        <v>802</v>
      </c>
      <c r="F184" s="377" t="s">
        <v>730</v>
      </c>
      <c r="G184" s="344"/>
      <c r="H184" s="344"/>
      <c r="I184" s="344"/>
      <c r="J184" s="344"/>
      <c r="K184" s="344"/>
      <c r="L184" s="344"/>
      <c r="M184" s="344"/>
      <c r="N184" s="344"/>
      <c r="O184" s="344"/>
      <c r="P184" s="344"/>
      <c r="Q184" s="344"/>
      <c r="R184" s="344"/>
      <c r="S184" s="344"/>
      <c r="T184" s="344"/>
      <c r="U184" s="344"/>
      <c r="V184" s="344"/>
      <c r="W184" s="344"/>
      <c r="X184" s="344"/>
      <c r="Y184" s="344"/>
      <c r="Z184" s="344"/>
      <c r="AA184" s="344"/>
      <c r="AB184" s="344"/>
      <c r="AC184" s="344"/>
      <c r="AD184" s="344"/>
      <c r="AE184" s="344"/>
      <c r="AF184" s="344"/>
      <c r="AG184" s="344"/>
    </row>
    <row r="185">
      <c r="A185" s="373">
        <v>58.0</v>
      </c>
      <c r="B185" s="374" t="s">
        <v>803</v>
      </c>
      <c r="C185" s="186" t="s">
        <v>305</v>
      </c>
      <c r="D185" s="371">
        <v>2021.0</v>
      </c>
      <c r="E185" s="381" t="s">
        <v>769</v>
      </c>
      <c r="F185" s="144">
        <v>2023.0</v>
      </c>
      <c r="G185" s="344"/>
      <c r="H185" s="344"/>
      <c r="I185" s="344"/>
      <c r="J185" s="344"/>
      <c r="K185" s="344"/>
      <c r="L185" s="344"/>
      <c r="M185" s="344"/>
      <c r="N185" s="344"/>
      <c r="O185" s="344"/>
      <c r="P185" s="344"/>
      <c r="Q185" s="344"/>
      <c r="R185" s="344"/>
      <c r="S185" s="344"/>
      <c r="T185" s="344"/>
      <c r="U185" s="344"/>
      <c r="V185" s="344"/>
      <c r="W185" s="344"/>
      <c r="X185" s="344"/>
      <c r="Y185" s="344"/>
      <c r="Z185" s="344"/>
      <c r="AA185" s="344"/>
      <c r="AB185" s="344"/>
      <c r="AC185" s="344"/>
      <c r="AD185" s="344"/>
      <c r="AE185" s="344"/>
      <c r="AF185" s="344"/>
      <c r="AG185" s="344"/>
    </row>
    <row r="186">
      <c r="A186" s="56"/>
      <c r="B186" s="56"/>
      <c r="C186" s="186"/>
      <c r="D186" s="371"/>
      <c r="E186" s="376" t="s">
        <v>804</v>
      </c>
      <c r="F186" s="144">
        <v>2024.0</v>
      </c>
      <c r="G186" s="344"/>
      <c r="H186" s="344"/>
      <c r="I186" s="344"/>
      <c r="J186" s="344"/>
      <c r="K186" s="344"/>
      <c r="L186" s="344"/>
      <c r="M186" s="344"/>
      <c r="N186" s="344"/>
      <c r="O186" s="344"/>
      <c r="P186" s="344"/>
      <c r="Q186" s="344"/>
      <c r="R186" s="344"/>
      <c r="S186" s="344"/>
      <c r="T186" s="344"/>
      <c r="U186" s="344"/>
      <c r="V186" s="344"/>
      <c r="W186" s="344"/>
      <c r="X186" s="344"/>
      <c r="Y186" s="344"/>
      <c r="Z186" s="344"/>
      <c r="AA186" s="344"/>
      <c r="AB186" s="344"/>
      <c r="AC186" s="344"/>
      <c r="AD186" s="344"/>
      <c r="AE186" s="344"/>
      <c r="AF186" s="344"/>
      <c r="AG186" s="344"/>
    </row>
    <row r="187">
      <c r="A187" s="366">
        <v>59.0</v>
      </c>
      <c r="B187" s="367" t="s">
        <v>805</v>
      </c>
      <c r="C187" s="186" t="s">
        <v>289</v>
      </c>
      <c r="D187" s="371">
        <v>2023.0</v>
      </c>
      <c r="E187" s="369" t="s">
        <v>729</v>
      </c>
      <c r="F187" s="370" t="s">
        <v>730</v>
      </c>
      <c r="G187" s="344"/>
      <c r="H187" s="344"/>
      <c r="I187" s="344"/>
      <c r="J187" s="344"/>
      <c r="K187" s="344"/>
      <c r="L187" s="344"/>
      <c r="M187" s="344"/>
      <c r="N187" s="344"/>
      <c r="O187" s="344"/>
      <c r="P187" s="344"/>
      <c r="Q187" s="344"/>
      <c r="R187" s="344"/>
      <c r="S187" s="344"/>
      <c r="T187" s="344"/>
      <c r="U187" s="344"/>
      <c r="V187" s="344"/>
      <c r="W187" s="344"/>
      <c r="X187" s="344"/>
      <c r="Y187" s="344"/>
      <c r="Z187" s="344"/>
      <c r="AA187" s="344"/>
      <c r="AB187" s="344"/>
      <c r="AC187" s="344"/>
      <c r="AD187" s="344"/>
      <c r="AE187" s="344"/>
      <c r="AF187" s="344"/>
      <c r="AG187" s="344"/>
    </row>
    <row r="188">
      <c r="A188" s="366">
        <v>60.0</v>
      </c>
      <c r="B188" s="367" t="s">
        <v>806</v>
      </c>
      <c r="C188" s="186" t="s">
        <v>284</v>
      </c>
      <c r="D188" s="371">
        <v>2023.0</v>
      </c>
      <c r="E188" s="369" t="s">
        <v>729</v>
      </c>
      <c r="F188" s="370" t="s">
        <v>730</v>
      </c>
      <c r="G188" s="344"/>
      <c r="H188" s="344"/>
      <c r="I188" s="344"/>
      <c r="J188" s="344"/>
      <c r="K188" s="344"/>
      <c r="L188" s="344"/>
      <c r="M188" s="344"/>
      <c r="N188" s="344"/>
      <c r="O188" s="344"/>
      <c r="P188" s="344"/>
      <c r="Q188" s="344"/>
      <c r="R188" s="344"/>
      <c r="S188" s="344"/>
      <c r="T188" s="344"/>
      <c r="U188" s="344"/>
      <c r="V188" s="344"/>
      <c r="W188" s="344"/>
      <c r="X188" s="344"/>
      <c r="Y188" s="344"/>
      <c r="Z188" s="344"/>
      <c r="AA188" s="344"/>
      <c r="AB188" s="344"/>
      <c r="AC188" s="344"/>
      <c r="AD188" s="344"/>
      <c r="AE188" s="344"/>
      <c r="AF188" s="344"/>
      <c r="AG188" s="344"/>
    </row>
    <row r="189">
      <c r="A189" s="366">
        <v>61.0</v>
      </c>
      <c r="B189" s="367" t="s">
        <v>600</v>
      </c>
      <c r="C189" s="380" t="s">
        <v>289</v>
      </c>
      <c r="D189" s="368">
        <v>2022.0</v>
      </c>
      <c r="E189" s="386"/>
      <c r="F189" s="377"/>
      <c r="G189" s="361"/>
      <c r="H189" s="344"/>
      <c r="I189" s="344"/>
      <c r="J189" s="344"/>
      <c r="K189" s="344"/>
      <c r="L189" s="344"/>
      <c r="M189" s="344"/>
      <c r="N189" s="344"/>
      <c r="O189" s="344"/>
      <c r="P189" s="344"/>
      <c r="Q189" s="344"/>
      <c r="R189" s="344"/>
      <c r="S189" s="344"/>
      <c r="T189" s="344"/>
      <c r="U189" s="344"/>
      <c r="V189" s="344"/>
      <c r="W189" s="344"/>
      <c r="X189" s="344"/>
      <c r="Y189" s="344"/>
      <c r="Z189" s="344"/>
      <c r="AA189" s="344"/>
      <c r="AB189" s="344"/>
      <c r="AC189" s="344"/>
      <c r="AD189" s="344"/>
      <c r="AE189" s="344"/>
      <c r="AF189" s="344"/>
      <c r="AG189" s="344"/>
    </row>
    <row r="190">
      <c r="A190" s="366">
        <v>62.0</v>
      </c>
      <c r="B190" s="367" t="s">
        <v>712</v>
      </c>
      <c r="C190" s="186" t="s">
        <v>284</v>
      </c>
      <c r="D190" s="371">
        <v>2019.0</v>
      </c>
      <c r="E190" s="369" t="s">
        <v>729</v>
      </c>
      <c r="F190" s="370" t="s">
        <v>730</v>
      </c>
      <c r="G190" s="344"/>
      <c r="H190" s="344"/>
      <c r="I190" s="344"/>
      <c r="J190" s="344"/>
      <c r="K190" s="344"/>
      <c r="L190" s="344"/>
      <c r="M190" s="344"/>
      <c r="N190" s="344"/>
      <c r="O190" s="344"/>
      <c r="P190" s="344"/>
      <c r="Q190" s="344"/>
      <c r="R190" s="344"/>
      <c r="S190" s="344"/>
      <c r="T190" s="344"/>
      <c r="U190" s="344"/>
      <c r="V190" s="344"/>
      <c r="W190" s="344"/>
      <c r="X190" s="344"/>
      <c r="Y190" s="344"/>
      <c r="Z190" s="344"/>
      <c r="AA190" s="344"/>
      <c r="AB190" s="344"/>
      <c r="AC190" s="344"/>
      <c r="AD190" s="344"/>
      <c r="AE190" s="344"/>
      <c r="AF190" s="344"/>
      <c r="AG190" s="344"/>
    </row>
    <row r="191">
      <c r="A191" s="366">
        <v>63.0</v>
      </c>
      <c r="B191" s="367" t="s">
        <v>807</v>
      </c>
      <c r="C191" s="186" t="s">
        <v>284</v>
      </c>
      <c r="D191" s="371">
        <v>2011.0</v>
      </c>
      <c r="E191" s="381" t="s">
        <v>808</v>
      </c>
      <c r="F191" s="144">
        <v>2023.0</v>
      </c>
      <c r="G191" s="344"/>
      <c r="H191" s="344"/>
      <c r="I191" s="344"/>
      <c r="J191" s="344"/>
      <c r="K191" s="344"/>
      <c r="L191" s="344"/>
      <c r="M191" s="344"/>
      <c r="N191" s="344"/>
      <c r="O191" s="344"/>
      <c r="P191" s="344"/>
      <c r="Q191" s="344"/>
      <c r="R191" s="344"/>
      <c r="S191" s="344"/>
      <c r="T191" s="344"/>
      <c r="U191" s="344"/>
      <c r="V191" s="344"/>
      <c r="W191" s="344"/>
      <c r="X191" s="344"/>
      <c r="Y191" s="344"/>
      <c r="Z191" s="344"/>
      <c r="AA191" s="344"/>
      <c r="AB191" s="344"/>
      <c r="AC191" s="344"/>
      <c r="AD191" s="344"/>
      <c r="AE191" s="344"/>
      <c r="AF191" s="344"/>
      <c r="AG191" s="344"/>
    </row>
    <row r="192">
      <c r="A192" s="373">
        <v>64.0</v>
      </c>
      <c r="B192" s="374" t="s">
        <v>809</v>
      </c>
      <c r="C192" s="186" t="s">
        <v>284</v>
      </c>
      <c r="D192" s="371">
        <v>2020.0</v>
      </c>
      <c r="E192" s="381" t="s">
        <v>810</v>
      </c>
      <c r="F192" s="144">
        <v>2023.0</v>
      </c>
      <c r="G192" s="344"/>
      <c r="H192" s="344"/>
      <c r="I192" s="344"/>
      <c r="J192" s="344"/>
      <c r="K192" s="344"/>
      <c r="L192" s="344"/>
      <c r="M192" s="344"/>
      <c r="N192" s="344"/>
      <c r="O192" s="344"/>
      <c r="P192" s="344"/>
      <c r="Q192" s="344"/>
      <c r="R192" s="344"/>
      <c r="S192" s="344"/>
      <c r="T192" s="344"/>
      <c r="U192" s="344"/>
      <c r="V192" s="344"/>
      <c r="W192" s="344"/>
      <c r="X192" s="344"/>
      <c r="Y192" s="344"/>
      <c r="Z192" s="344"/>
      <c r="AA192" s="344"/>
      <c r="AB192" s="344"/>
      <c r="AC192" s="344"/>
      <c r="AD192" s="344"/>
      <c r="AE192" s="344"/>
      <c r="AF192" s="344"/>
      <c r="AG192" s="344"/>
    </row>
    <row r="193">
      <c r="A193" s="56"/>
      <c r="B193" s="56"/>
      <c r="C193" s="186"/>
      <c r="D193" s="371"/>
      <c r="E193" s="369" t="s">
        <v>729</v>
      </c>
      <c r="F193" s="370" t="s">
        <v>730</v>
      </c>
      <c r="G193" s="344"/>
      <c r="H193" s="344"/>
      <c r="I193" s="344"/>
      <c r="J193" s="344"/>
      <c r="K193" s="344"/>
      <c r="L193" s="344"/>
      <c r="M193" s="344"/>
      <c r="N193" s="344"/>
      <c r="O193" s="344"/>
      <c r="P193" s="344"/>
      <c r="Q193" s="344"/>
      <c r="R193" s="344"/>
      <c r="S193" s="344"/>
      <c r="T193" s="344"/>
      <c r="U193" s="344"/>
      <c r="V193" s="344"/>
      <c r="W193" s="344"/>
      <c r="X193" s="344"/>
      <c r="Y193" s="344"/>
      <c r="Z193" s="344"/>
      <c r="AA193" s="344"/>
      <c r="AB193" s="344"/>
      <c r="AC193" s="344"/>
      <c r="AD193" s="344"/>
      <c r="AE193" s="344"/>
      <c r="AF193" s="344"/>
      <c r="AG193" s="344"/>
    </row>
    <row r="194">
      <c r="A194" s="366">
        <v>65.0</v>
      </c>
      <c r="B194" s="367" t="s">
        <v>811</v>
      </c>
      <c r="C194" s="186" t="s">
        <v>284</v>
      </c>
      <c r="D194" s="371">
        <v>2023.0</v>
      </c>
      <c r="E194" s="381" t="s">
        <v>812</v>
      </c>
      <c r="F194" s="382">
        <v>2023.0</v>
      </c>
      <c r="G194" s="344"/>
      <c r="H194" s="344"/>
      <c r="I194" s="344"/>
      <c r="J194" s="344"/>
      <c r="K194" s="344"/>
      <c r="L194" s="344"/>
      <c r="M194" s="344"/>
      <c r="N194" s="344"/>
      <c r="O194" s="344"/>
      <c r="P194" s="344"/>
      <c r="Q194" s="344"/>
      <c r="R194" s="344"/>
      <c r="S194" s="344"/>
      <c r="T194" s="344"/>
      <c r="U194" s="344"/>
      <c r="V194" s="344"/>
      <c r="W194" s="344"/>
      <c r="X194" s="344"/>
      <c r="Y194" s="344"/>
      <c r="Z194" s="344"/>
      <c r="AA194" s="344"/>
      <c r="AB194" s="344"/>
      <c r="AC194" s="344"/>
      <c r="AD194" s="344"/>
      <c r="AE194" s="344"/>
      <c r="AF194" s="344"/>
      <c r="AG194" s="344"/>
    </row>
    <row r="195">
      <c r="A195" s="366">
        <v>66.0</v>
      </c>
      <c r="B195" s="367" t="s">
        <v>813</v>
      </c>
      <c r="C195" s="186" t="s">
        <v>284</v>
      </c>
      <c r="D195" s="371">
        <v>2023.0</v>
      </c>
      <c r="E195" s="386"/>
      <c r="F195" s="377"/>
      <c r="G195" s="344"/>
      <c r="H195" s="344"/>
      <c r="I195" s="344"/>
      <c r="J195" s="344"/>
      <c r="K195" s="344"/>
      <c r="L195" s="344"/>
      <c r="M195" s="344"/>
      <c r="N195" s="344"/>
      <c r="O195" s="344"/>
      <c r="P195" s="344"/>
      <c r="Q195" s="344"/>
      <c r="R195" s="344"/>
      <c r="S195" s="344"/>
      <c r="T195" s="344"/>
      <c r="U195" s="344"/>
      <c r="V195" s="344"/>
      <c r="W195" s="344"/>
      <c r="X195" s="344"/>
      <c r="Y195" s="344"/>
      <c r="Z195" s="344"/>
      <c r="AA195" s="344"/>
      <c r="AB195" s="344"/>
      <c r="AC195" s="344"/>
      <c r="AD195" s="344"/>
      <c r="AE195" s="344"/>
      <c r="AF195" s="344"/>
      <c r="AG195" s="344"/>
    </row>
    <row r="196">
      <c r="A196" s="366">
        <v>67.0</v>
      </c>
      <c r="B196" s="367" t="s">
        <v>814</v>
      </c>
      <c r="C196" s="186" t="s">
        <v>305</v>
      </c>
      <c r="D196" s="371">
        <v>2023.0</v>
      </c>
      <c r="E196" s="369" t="s">
        <v>729</v>
      </c>
      <c r="F196" s="370" t="s">
        <v>730</v>
      </c>
      <c r="G196" s="344"/>
      <c r="H196" s="344"/>
      <c r="I196" s="344"/>
      <c r="J196" s="344"/>
      <c r="K196" s="344"/>
      <c r="L196" s="344"/>
      <c r="M196" s="344"/>
      <c r="N196" s="344"/>
      <c r="O196" s="344"/>
      <c r="P196" s="344"/>
      <c r="Q196" s="344"/>
      <c r="R196" s="344"/>
      <c r="S196" s="344"/>
      <c r="T196" s="344"/>
      <c r="U196" s="344"/>
      <c r="V196" s="344"/>
      <c r="W196" s="344"/>
      <c r="X196" s="344"/>
      <c r="Y196" s="344"/>
      <c r="Z196" s="344"/>
      <c r="AA196" s="344"/>
      <c r="AB196" s="344"/>
      <c r="AC196" s="344"/>
      <c r="AD196" s="344"/>
      <c r="AE196" s="344"/>
      <c r="AF196" s="344"/>
      <c r="AG196" s="344"/>
    </row>
    <row r="197">
      <c r="A197" s="366">
        <v>68.0</v>
      </c>
      <c r="B197" s="367" t="s">
        <v>606</v>
      </c>
      <c r="C197" s="186" t="s">
        <v>289</v>
      </c>
      <c r="D197" s="371">
        <v>2022.0</v>
      </c>
      <c r="E197" s="369" t="s">
        <v>729</v>
      </c>
      <c r="F197" s="370" t="s">
        <v>730</v>
      </c>
      <c r="G197" s="344"/>
      <c r="H197" s="344"/>
      <c r="I197" s="344"/>
      <c r="J197" s="344"/>
      <c r="K197" s="344"/>
      <c r="L197" s="344"/>
      <c r="M197" s="344"/>
      <c r="N197" s="344"/>
      <c r="O197" s="344"/>
      <c r="P197" s="344"/>
      <c r="Q197" s="344"/>
      <c r="R197" s="344"/>
      <c r="S197" s="344"/>
      <c r="T197" s="344"/>
      <c r="U197" s="344"/>
      <c r="V197" s="344"/>
      <c r="W197" s="344"/>
      <c r="X197" s="344"/>
      <c r="Y197" s="344"/>
      <c r="Z197" s="344"/>
      <c r="AA197" s="344"/>
      <c r="AB197" s="344"/>
      <c r="AC197" s="344"/>
      <c r="AD197" s="344"/>
      <c r="AE197" s="344"/>
      <c r="AF197" s="344"/>
      <c r="AG197" s="344"/>
    </row>
    <row r="198">
      <c r="A198" s="366">
        <v>69.0</v>
      </c>
      <c r="B198" s="367" t="s">
        <v>815</v>
      </c>
      <c r="C198" s="186" t="s">
        <v>305</v>
      </c>
      <c r="D198" s="371">
        <v>2019.0</v>
      </c>
      <c r="E198" s="186" t="s">
        <v>734</v>
      </c>
      <c r="F198" s="144" t="s">
        <v>735</v>
      </c>
      <c r="G198" s="344"/>
      <c r="H198" s="344"/>
      <c r="I198" s="344"/>
      <c r="J198" s="344"/>
      <c r="K198" s="344"/>
      <c r="L198" s="344"/>
      <c r="M198" s="344"/>
      <c r="N198" s="344"/>
      <c r="O198" s="344"/>
      <c r="P198" s="344"/>
      <c r="Q198" s="344"/>
      <c r="R198" s="344"/>
      <c r="S198" s="344"/>
      <c r="T198" s="344"/>
      <c r="U198" s="344"/>
      <c r="V198" s="344"/>
      <c r="W198" s="344"/>
      <c r="X198" s="344"/>
      <c r="Y198" s="344"/>
      <c r="Z198" s="344"/>
      <c r="AA198" s="344"/>
      <c r="AB198" s="344"/>
      <c r="AC198" s="344"/>
      <c r="AD198" s="344"/>
      <c r="AE198" s="344"/>
      <c r="AF198" s="344"/>
      <c r="AG198" s="344"/>
    </row>
    <row r="199">
      <c r="A199" s="366">
        <v>70.0</v>
      </c>
      <c r="B199" s="367" t="s">
        <v>607</v>
      </c>
      <c r="C199" s="186" t="s">
        <v>284</v>
      </c>
      <c r="D199" s="371">
        <v>2023.0</v>
      </c>
      <c r="E199" s="392" t="s">
        <v>816</v>
      </c>
      <c r="F199" s="382">
        <v>2023.0</v>
      </c>
      <c r="G199" s="344"/>
      <c r="H199" s="344"/>
      <c r="I199" s="344"/>
      <c r="J199" s="344"/>
      <c r="K199" s="344"/>
      <c r="L199" s="344"/>
      <c r="M199" s="344"/>
      <c r="N199" s="344"/>
      <c r="O199" s="344"/>
      <c r="P199" s="344"/>
      <c r="Q199" s="344"/>
      <c r="R199" s="344"/>
      <c r="S199" s="344"/>
      <c r="T199" s="344"/>
      <c r="U199" s="344"/>
      <c r="V199" s="344"/>
      <c r="W199" s="344"/>
      <c r="X199" s="344"/>
      <c r="Y199" s="344"/>
      <c r="Z199" s="344"/>
      <c r="AA199" s="344"/>
      <c r="AB199" s="344"/>
      <c r="AC199" s="344"/>
      <c r="AD199" s="344"/>
      <c r="AE199" s="344"/>
      <c r="AF199" s="344"/>
      <c r="AG199" s="344"/>
    </row>
    <row r="200">
      <c r="A200" s="373">
        <v>71.0</v>
      </c>
      <c r="B200" s="374" t="s">
        <v>608</v>
      </c>
      <c r="C200" s="374" t="s">
        <v>284</v>
      </c>
      <c r="D200" s="390">
        <v>2018.0</v>
      </c>
      <c r="E200" s="186" t="s">
        <v>734</v>
      </c>
      <c r="F200" s="144" t="s">
        <v>735</v>
      </c>
      <c r="G200" s="344"/>
      <c r="H200" s="344"/>
      <c r="I200" s="344"/>
      <c r="J200" s="344"/>
      <c r="K200" s="344"/>
      <c r="L200" s="344"/>
      <c r="M200" s="344"/>
      <c r="N200" s="344"/>
      <c r="O200" s="344"/>
      <c r="P200" s="344"/>
      <c r="Q200" s="344"/>
      <c r="R200" s="344"/>
      <c r="S200" s="344"/>
      <c r="T200" s="344"/>
      <c r="U200" s="344"/>
      <c r="V200" s="344"/>
      <c r="W200" s="344"/>
      <c r="X200" s="344"/>
      <c r="Y200" s="344"/>
      <c r="Z200" s="344"/>
      <c r="AA200" s="344"/>
      <c r="AB200" s="344"/>
      <c r="AC200" s="344"/>
      <c r="AD200" s="344"/>
      <c r="AE200" s="344"/>
      <c r="AF200" s="344"/>
      <c r="AG200" s="344"/>
    </row>
    <row r="201">
      <c r="A201" s="56"/>
      <c r="B201" s="56"/>
      <c r="C201" s="56"/>
      <c r="D201" s="56"/>
      <c r="E201" s="369" t="s">
        <v>729</v>
      </c>
      <c r="F201" s="370" t="s">
        <v>730</v>
      </c>
      <c r="G201" s="344"/>
      <c r="H201" s="344"/>
      <c r="I201" s="344"/>
      <c r="J201" s="344"/>
      <c r="K201" s="344"/>
      <c r="L201" s="344"/>
      <c r="M201" s="344"/>
      <c r="N201" s="344"/>
      <c r="O201" s="344"/>
      <c r="P201" s="344"/>
      <c r="Q201" s="344"/>
      <c r="R201" s="344"/>
      <c r="S201" s="344"/>
      <c r="T201" s="344"/>
      <c r="U201" s="344"/>
      <c r="V201" s="344"/>
      <c r="W201" s="344"/>
      <c r="X201" s="344"/>
      <c r="Y201" s="344"/>
      <c r="Z201" s="344"/>
      <c r="AA201" s="344"/>
      <c r="AB201" s="344"/>
      <c r="AC201" s="344"/>
      <c r="AD201" s="344"/>
      <c r="AE201" s="344"/>
      <c r="AF201" s="344"/>
      <c r="AG201" s="344"/>
    </row>
    <row r="202">
      <c r="A202" s="344"/>
      <c r="B202" s="393" t="s">
        <v>723</v>
      </c>
      <c r="C202" s="344"/>
      <c r="D202" s="344"/>
      <c r="E202" s="344"/>
      <c r="F202" s="348"/>
      <c r="G202" s="344"/>
      <c r="H202" s="344"/>
      <c r="I202" s="344"/>
      <c r="J202" s="344"/>
      <c r="K202" s="344"/>
      <c r="L202" s="344"/>
      <c r="M202" s="344"/>
      <c r="N202" s="344"/>
      <c r="O202" s="344"/>
      <c r="P202" s="344"/>
      <c r="Q202" s="344"/>
      <c r="R202" s="344"/>
      <c r="S202" s="344"/>
      <c r="T202" s="344"/>
      <c r="U202" s="344"/>
      <c r="V202" s="344"/>
      <c r="W202" s="344"/>
      <c r="X202" s="344"/>
      <c r="Y202" s="344"/>
      <c r="Z202" s="344"/>
      <c r="AA202" s="344"/>
      <c r="AB202" s="344"/>
      <c r="AC202" s="344"/>
      <c r="AD202" s="344"/>
      <c r="AE202" s="344"/>
      <c r="AF202" s="344"/>
      <c r="AG202" s="344"/>
    </row>
    <row r="203">
      <c r="A203" s="344"/>
      <c r="B203" s="344"/>
      <c r="C203" s="344"/>
      <c r="D203" s="344"/>
      <c r="E203" s="344"/>
      <c r="F203" s="348"/>
      <c r="G203" s="344"/>
      <c r="H203" s="344"/>
      <c r="I203" s="344"/>
      <c r="J203" s="344"/>
      <c r="K203" s="344"/>
      <c r="L203" s="344"/>
      <c r="M203" s="344"/>
      <c r="N203" s="344"/>
      <c r="O203" s="344"/>
      <c r="P203" s="344"/>
      <c r="Q203" s="344"/>
      <c r="R203" s="344"/>
      <c r="S203" s="344"/>
      <c r="T203" s="344"/>
      <c r="U203" s="344"/>
      <c r="V203" s="344"/>
      <c r="W203" s="344"/>
      <c r="X203" s="344"/>
      <c r="Y203" s="344"/>
      <c r="Z203" s="344"/>
      <c r="AA203" s="344"/>
      <c r="AB203" s="344"/>
      <c r="AC203" s="344"/>
      <c r="AD203" s="344"/>
      <c r="AE203" s="344"/>
      <c r="AF203" s="344"/>
      <c r="AG203" s="344"/>
    </row>
    <row r="204">
      <c r="A204" s="341" t="s">
        <v>817</v>
      </c>
      <c r="B204" s="344"/>
      <c r="C204" s="344"/>
      <c r="D204" s="344"/>
      <c r="E204" s="344"/>
      <c r="F204" s="348"/>
      <c r="G204" s="344"/>
      <c r="H204" s="344"/>
      <c r="I204" s="344"/>
      <c r="J204" s="344"/>
      <c r="K204" s="344"/>
      <c r="L204" s="344"/>
      <c r="M204" s="344"/>
      <c r="N204" s="344"/>
      <c r="O204" s="344"/>
      <c r="P204" s="344"/>
      <c r="Q204" s="344"/>
      <c r="R204" s="344"/>
      <c r="S204" s="344"/>
      <c r="T204" s="344"/>
      <c r="U204" s="344"/>
      <c r="V204" s="344"/>
      <c r="W204" s="344"/>
      <c r="X204" s="344"/>
      <c r="Y204" s="344"/>
      <c r="Z204" s="344"/>
      <c r="AA204" s="344"/>
      <c r="AB204" s="344"/>
      <c r="AC204" s="344"/>
      <c r="AD204" s="344"/>
      <c r="AE204" s="344"/>
      <c r="AF204" s="344"/>
      <c r="AG204" s="344"/>
    </row>
    <row r="205">
      <c r="A205" s="356" t="s">
        <v>0</v>
      </c>
      <c r="B205" s="356" t="s">
        <v>270</v>
      </c>
      <c r="C205" s="394" t="s">
        <v>726</v>
      </c>
      <c r="D205" s="394" t="s">
        <v>818</v>
      </c>
      <c r="E205" s="394" t="s">
        <v>819</v>
      </c>
      <c r="F205" s="395"/>
      <c r="G205" s="396"/>
      <c r="H205" s="396"/>
      <c r="I205" s="396"/>
      <c r="J205" s="396"/>
      <c r="K205" s="396"/>
      <c r="L205" s="396"/>
      <c r="M205" s="396"/>
      <c r="N205" s="396"/>
      <c r="O205" s="396"/>
      <c r="P205" s="396"/>
      <c r="Q205" s="396"/>
      <c r="R205" s="396"/>
      <c r="S205" s="396"/>
      <c r="T205" s="396"/>
      <c r="U205" s="396"/>
      <c r="V205" s="396"/>
      <c r="W205" s="396"/>
      <c r="X205" s="396"/>
      <c r="Y205" s="396"/>
      <c r="Z205" s="396"/>
      <c r="AA205" s="396"/>
      <c r="AB205" s="396"/>
      <c r="AC205" s="396"/>
      <c r="AD205" s="396"/>
      <c r="AE205" s="396"/>
      <c r="AF205" s="396"/>
      <c r="AG205" s="396"/>
    </row>
    <row r="206">
      <c r="A206" s="397">
        <v>1.0</v>
      </c>
      <c r="B206" s="398" t="s">
        <v>796</v>
      </c>
      <c r="C206" s="399" t="s">
        <v>820</v>
      </c>
      <c r="D206" s="399" t="s">
        <v>821</v>
      </c>
      <c r="E206" s="399" t="s">
        <v>822</v>
      </c>
      <c r="F206" s="348"/>
      <c r="G206" s="344"/>
      <c r="H206" s="344"/>
      <c r="I206" s="344"/>
      <c r="J206" s="344"/>
      <c r="K206" s="344"/>
      <c r="L206" s="344"/>
      <c r="M206" s="344"/>
      <c r="N206" s="344"/>
      <c r="O206" s="344"/>
      <c r="P206" s="344"/>
      <c r="Q206" s="344"/>
      <c r="R206" s="344"/>
      <c r="S206" s="344"/>
      <c r="T206" s="344"/>
      <c r="U206" s="344"/>
      <c r="V206" s="344"/>
      <c r="W206" s="344"/>
      <c r="X206" s="344"/>
      <c r="Y206" s="344"/>
      <c r="Z206" s="344"/>
      <c r="AA206" s="344"/>
      <c r="AB206" s="344"/>
      <c r="AC206" s="344"/>
      <c r="AD206" s="344"/>
      <c r="AE206" s="344"/>
      <c r="AF206" s="344"/>
      <c r="AG206" s="344"/>
    </row>
    <row r="207">
      <c r="A207" s="397">
        <v>2.0</v>
      </c>
      <c r="B207" s="398" t="s">
        <v>778</v>
      </c>
      <c r="C207" s="399" t="s">
        <v>823</v>
      </c>
      <c r="D207" s="399" t="s">
        <v>824</v>
      </c>
      <c r="E207" s="399" t="s">
        <v>825</v>
      </c>
      <c r="F207" s="348"/>
      <c r="G207" s="344"/>
      <c r="H207" s="344"/>
      <c r="I207" s="344"/>
      <c r="J207" s="344"/>
      <c r="K207" s="344"/>
      <c r="L207" s="344"/>
      <c r="M207" s="344"/>
      <c r="N207" s="344"/>
      <c r="O207" s="344"/>
      <c r="P207" s="344"/>
      <c r="Q207" s="344"/>
      <c r="R207" s="344"/>
      <c r="S207" s="344"/>
      <c r="T207" s="344"/>
      <c r="U207" s="344"/>
      <c r="V207" s="344"/>
      <c r="W207" s="344"/>
      <c r="X207" s="344"/>
      <c r="Y207" s="344"/>
      <c r="Z207" s="344"/>
      <c r="AA207" s="344"/>
      <c r="AB207" s="344"/>
      <c r="AC207" s="344"/>
      <c r="AD207" s="344"/>
      <c r="AE207" s="344"/>
      <c r="AF207" s="344"/>
      <c r="AG207" s="344"/>
    </row>
    <row r="208">
      <c r="A208" s="397">
        <v>3.0</v>
      </c>
      <c r="B208" s="398" t="s">
        <v>786</v>
      </c>
      <c r="C208" s="399" t="s">
        <v>826</v>
      </c>
      <c r="D208" s="399" t="s">
        <v>827</v>
      </c>
      <c r="E208" s="399" t="s">
        <v>828</v>
      </c>
      <c r="F208" s="348"/>
      <c r="G208" s="344"/>
      <c r="H208" s="344"/>
      <c r="I208" s="344"/>
      <c r="J208" s="344"/>
      <c r="K208" s="344"/>
      <c r="L208" s="344"/>
      <c r="M208" s="344"/>
      <c r="N208" s="344"/>
      <c r="O208" s="344"/>
      <c r="P208" s="344"/>
      <c r="Q208" s="344"/>
      <c r="R208" s="344"/>
      <c r="S208" s="344"/>
      <c r="T208" s="344"/>
      <c r="U208" s="344"/>
      <c r="V208" s="344"/>
      <c r="W208" s="344"/>
      <c r="X208" s="344"/>
      <c r="Y208" s="344"/>
      <c r="Z208" s="344"/>
      <c r="AA208" s="344"/>
      <c r="AB208" s="344"/>
      <c r="AC208" s="344"/>
      <c r="AD208" s="344"/>
      <c r="AE208" s="344"/>
      <c r="AF208" s="344"/>
      <c r="AG208" s="344"/>
    </row>
    <row r="209">
      <c r="A209" s="400">
        <v>4.0</v>
      </c>
      <c r="B209" s="401" t="s">
        <v>555</v>
      </c>
      <c r="C209" s="399" t="s">
        <v>829</v>
      </c>
      <c r="D209" s="399" t="s">
        <v>830</v>
      </c>
      <c r="E209" s="399">
        <v>2023.0</v>
      </c>
      <c r="F209" s="348"/>
      <c r="G209" s="344"/>
      <c r="H209" s="344"/>
      <c r="I209" s="344"/>
      <c r="J209" s="344"/>
      <c r="K209" s="344"/>
      <c r="L209" s="344"/>
      <c r="M209" s="344"/>
      <c r="N209" s="344"/>
      <c r="O209" s="344"/>
      <c r="P209" s="344"/>
      <c r="Q209" s="344"/>
      <c r="R209" s="344"/>
      <c r="S209" s="344"/>
      <c r="T209" s="344"/>
      <c r="U209" s="344"/>
      <c r="V209" s="344"/>
      <c r="W209" s="344"/>
      <c r="X209" s="344"/>
      <c r="Y209" s="344"/>
      <c r="Z209" s="344"/>
      <c r="AA209" s="344"/>
      <c r="AB209" s="344"/>
      <c r="AC209" s="344"/>
      <c r="AD209" s="344"/>
      <c r="AE209" s="344"/>
      <c r="AF209" s="344"/>
      <c r="AG209" s="344"/>
    </row>
    <row r="210">
      <c r="A210" s="129"/>
      <c r="B210" s="129"/>
      <c r="C210" s="399" t="s">
        <v>831</v>
      </c>
      <c r="D210" s="399" t="s">
        <v>832</v>
      </c>
      <c r="E210" s="399">
        <v>2024.0</v>
      </c>
      <c r="F210" s="348"/>
      <c r="G210" s="344"/>
      <c r="H210" s="344"/>
      <c r="I210" s="344"/>
      <c r="J210" s="344"/>
      <c r="K210" s="344"/>
      <c r="L210" s="344"/>
      <c r="M210" s="344"/>
      <c r="N210" s="344"/>
      <c r="O210" s="344"/>
      <c r="P210" s="344"/>
      <c r="Q210" s="344"/>
      <c r="R210" s="344"/>
      <c r="S210" s="344"/>
      <c r="T210" s="344"/>
      <c r="U210" s="344"/>
      <c r="V210" s="344"/>
      <c r="W210" s="344"/>
      <c r="X210" s="344"/>
      <c r="Y210" s="344"/>
      <c r="Z210" s="344"/>
      <c r="AA210" s="344"/>
      <c r="AB210" s="344"/>
      <c r="AC210" s="344"/>
      <c r="AD210" s="344"/>
      <c r="AE210" s="344"/>
      <c r="AF210" s="344"/>
      <c r="AG210" s="344"/>
    </row>
    <row r="211">
      <c r="A211" s="56"/>
      <c r="B211" s="56"/>
      <c r="C211" s="399" t="s">
        <v>831</v>
      </c>
      <c r="D211" s="399" t="s">
        <v>833</v>
      </c>
      <c r="E211" s="399">
        <v>2023.0</v>
      </c>
      <c r="F211" s="348"/>
      <c r="G211" s="344"/>
      <c r="H211" s="344"/>
      <c r="I211" s="344"/>
      <c r="J211" s="344"/>
      <c r="K211" s="344"/>
      <c r="L211" s="344"/>
      <c r="M211" s="344"/>
      <c r="N211" s="344"/>
      <c r="O211" s="344"/>
      <c r="P211" s="344"/>
      <c r="Q211" s="344"/>
      <c r="R211" s="344"/>
      <c r="S211" s="344"/>
      <c r="T211" s="344"/>
      <c r="U211" s="344"/>
      <c r="V211" s="344"/>
      <c r="W211" s="344"/>
      <c r="X211" s="344"/>
      <c r="Y211" s="344"/>
      <c r="Z211" s="344"/>
      <c r="AA211" s="344"/>
      <c r="AB211" s="344"/>
      <c r="AC211" s="344"/>
      <c r="AD211" s="344"/>
      <c r="AE211" s="344"/>
      <c r="AF211" s="344"/>
      <c r="AG211" s="344"/>
    </row>
    <row r="212">
      <c r="A212" s="400">
        <v>5.0</v>
      </c>
      <c r="B212" s="401" t="s">
        <v>771</v>
      </c>
      <c r="C212" s="399" t="s">
        <v>834</v>
      </c>
      <c r="D212" s="399" t="s">
        <v>821</v>
      </c>
      <c r="E212" s="399" t="s">
        <v>835</v>
      </c>
      <c r="F212" s="348"/>
      <c r="G212" s="344"/>
      <c r="H212" s="344"/>
      <c r="I212" s="344"/>
      <c r="J212" s="344"/>
      <c r="K212" s="344"/>
      <c r="L212" s="344"/>
      <c r="M212" s="344"/>
      <c r="N212" s="344"/>
      <c r="O212" s="344"/>
      <c r="P212" s="344"/>
      <c r="Q212" s="344"/>
      <c r="R212" s="344"/>
      <c r="S212" s="344"/>
      <c r="T212" s="344"/>
      <c r="U212" s="344"/>
      <c r="V212" s="344"/>
      <c r="W212" s="344"/>
      <c r="X212" s="344"/>
      <c r="Y212" s="344"/>
      <c r="Z212" s="344"/>
      <c r="AA212" s="344"/>
      <c r="AB212" s="344"/>
      <c r="AC212" s="344"/>
      <c r="AD212" s="344"/>
      <c r="AE212" s="344"/>
      <c r="AF212" s="344"/>
      <c r="AG212" s="344"/>
    </row>
    <row r="213">
      <c r="A213" s="56"/>
      <c r="B213" s="56"/>
      <c r="C213" s="399" t="s">
        <v>826</v>
      </c>
      <c r="D213" s="399" t="s">
        <v>827</v>
      </c>
      <c r="E213" s="399" t="s">
        <v>828</v>
      </c>
      <c r="F213" s="348"/>
      <c r="G213" s="344"/>
      <c r="H213" s="344"/>
      <c r="I213" s="344"/>
      <c r="J213" s="344"/>
      <c r="K213" s="344"/>
      <c r="L213" s="344"/>
      <c r="M213" s="344"/>
      <c r="N213" s="344"/>
      <c r="O213" s="344"/>
      <c r="P213" s="344"/>
      <c r="Q213" s="344"/>
      <c r="R213" s="344"/>
      <c r="S213" s="344"/>
      <c r="T213" s="344"/>
      <c r="U213" s="344"/>
      <c r="V213" s="344"/>
      <c r="W213" s="344"/>
      <c r="X213" s="344"/>
      <c r="Y213" s="344"/>
      <c r="Z213" s="344"/>
      <c r="AA213" s="344"/>
      <c r="AB213" s="344"/>
      <c r="AC213" s="344"/>
      <c r="AD213" s="344"/>
      <c r="AE213" s="344"/>
      <c r="AF213" s="344"/>
      <c r="AG213" s="344"/>
    </row>
    <row r="214">
      <c r="A214" s="400">
        <v>6.0</v>
      </c>
      <c r="B214" s="401" t="s">
        <v>815</v>
      </c>
      <c r="C214" s="399" t="s">
        <v>836</v>
      </c>
      <c r="D214" s="399" t="s">
        <v>837</v>
      </c>
      <c r="E214" s="399" t="s">
        <v>838</v>
      </c>
      <c r="F214" s="348"/>
      <c r="G214" s="344"/>
      <c r="H214" s="344"/>
      <c r="I214" s="344"/>
      <c r="J214" s="344"/>
      <c r="K214" s="344"/>
      <c r="L214" s="344"/>
      <c r="M214" s="344"/>
      <c r="N214" s="344"/>
      <c r="O214" s="344"/>
      <c r="P214" s="344"/>
      <c r="Q214" s="344"/>
      <c r="R214" s="344"/>
      <c r="S214" s="344"/>
      <c r="T214" s="344"/>
      <c r="U214" s="344"/>
      <c r="V214" s="344"/>
      <c r="W214" s="344"/>
      <c r="X214" s="344"/>
      <c r="Y214" s="344"/>
      <c r="Z214" s="344"/>
      <c r="AA214" s="344"/>
      <c r="AB214" s="344"/>
      <c r="AC214" s="344"/>
      <c r="AD214" s="344"/>
      <c r="AE214" s="344"/>
      <c r="AF214" s="344"/>
      <c r="AG214" s="344"/>
    </row>
    <row r="215">
      <c r="A215" s="56"/>
      <c r="B215" s="56"/>
      <c r="C215" s="399" t="s">
        <v>836</v>
      </c>
      <c r="D215" s="399" t="s">
        <v>839</v>
      </c>
      <c r="E215" s="399" t="s">
        <v>838</v>
      </c>
      <c r="F215" s="348"/>
      <c r="G215" s="344"/>
      <c r="H215" s="344"/>
      <c r="I215" s="344"/>
      <c r="J215" s="344"/>
      <c r="K215" s="344"/>
      <c r="L215" s="344"/>
      <c r="M215" s="344"/>
      <c r="N215" s="344"/>
      <c r="O215" s="344"/>
      <c r="P215" s="344"/>
      <c r="Q215" s="344"/>
      <c r="R215" s="344"/>
      <c r="S215" s="344"/>
      <c r="T215" s="344"/>
      <c r="U215" s="344"/>
      <c r="V215" s="344"/>
      <c r="W215" s="344"/>
      <c r="X215" s="344"/>
      <c r="Y215" s="344"/>
      <c r="Z215" s="344"/>
      <c r="AA215" s="344"/>
      <c r="AB215" s="344"/>
      <c r="AC215" s="344"/>
      <c r="AD215" s="344"/>
      <c r="AE215" s="344"/>
      <c r="AF215" s="344"/>
      <c r="AG215" s="344"/>
    </row>
    <row r="216">
      <c r="A216" s="402"/>
      <c r="B216" s="393" t="s">
        <v>723</v>
      </c>
      <c r="C216" s="344"/>
      <c r="D216" s="344"/>
      <c r="E216" s="344"/>
      <c r="F216" s="348"/>
      <c r="G216" s="344"/>
      <c r="H216" s="344"/>
      <c r="I216" s="344"/>
      <c r="J216" s="344"/>
      <c r="K216" s="344"/>
      <c r="L216" s="344"/>
      <c r="M216" s="344"/>
      <c r="N216" s="344"/>
      <c r="O216" s="344"/>
      <c r="P216" s="344"/>
      <c r="Q216" s="344"/>
      <c r="R216" s="344"/>
      <c r="S216" s="344"/>
      <c r="T216" s="344"/>
      <c r="U216" s="344"/>
      <c r="V216" s="344"/>
      <c r="W216" s="344"/>
      <c r="X216" s="344"/>
      <c r="Y216" s="344"/>
      <c r="Z216" s="344"/>
      <c r="AA216" s="344"/>
      <c r="AB216" s="344"/>
      <c r="AC216" s="344"/>
      <c r="AD216" s="344"/>
      <c r="AE216" s="344"/>
      <c r="AF216" s="344"/>
      <c r="AG216" s="344"/>
    </row>
    <row r="217">
      <c r="A217" s="402"/>
      <c r="B217" s="344"/>
      <c r="C217" s="344"/>
      <c r="D217" s="344"/>
      <c r="E217" s="344"/>
      <c r="F217" s="348"/>
      <c r="G217" s="344"/>
      <c r="H217" s="344"/>
      <c r="I217" s="344"/>
      <c r="J217" s="344"/>
      <c r="K217" s="344"/>
      <c r="L217" s="344"/>
      <c r="M217" s="344"/>
      <c r="N217" s="344"/>
      <c r="O217" s="344"/>
      <c r="P217" s="344"/>
      <c r="Q217" s="344"/>
      <c r="R217" s="344"/>
      <c r="S217" s="344"/>
      <c r="T217" s="344"/>
      <c r="U217" s="344"/>
      <c r="V217" s="344"/>
      <c r="W217" s="344"/>
      <c r="X217" s="344"/>
      <c r="Y217" s="344"/>
      <c r="Z217" s="344"/>
      <c r="AA217" s="344"/>
      <c r="AB217" s="344"/>
      <c r="AC217" s="344"/>
      <c r="AD217" s="344"/>
      <c r="AE217" s="344"/>
      <c r="AF217" s="344"/>
      <c r="AG217" s="344"/>
    </row>
    <row r="218">
      <c r="A218" s="341" t="s">
        <v>840</v>
      </c>
      <c r="B218" s="344"/>
      <c r="C218" s="344"/>
      <c r="D218" s="344"/>
      <c r="E218" s="344"/>
      <c r="F218" s="348"/>
      <c r="G218" s="344"/>
      <c r="H218" s="344"/>
      <c r="I218" s="344"/>
      <c r="J218" s="344"/>
      <c r="K218" s="344"/>
      <c r="L218" s="344"/>
      <c r="M218" s="344"/>
      <c r="N218" s="344"/>
      <c r="O218" s="344"/>
      <c r="P218" s="344"/>
      <c r="Q218" s="344"/>
      <c r="R218" s="344"/>
      <c r="S218" s="344"/>
      <c r="T218" s="344"/>
      <c r="U218" s="344"/>
      <c r="V218" s="344"/>
      <c r="W218" s="344"/>
      <c r="X218" s="344"/>
      <c r="Y218" s="344"/>
      <c r="Z218" s="344"/>
      <c r="AA218" s="344"/>
      <c r="AB218" s="344"/>
      <c r="AC218" s="344"/>
      <c r="AD218" s="344"/>
      <c r="AE218" s="344"/>
      <c r="AF218" s="344"/>
      <c r="AG218" s="344"/>
    </row>
    <row r="219">
      <c r="A219" s="356" t="s">
        <v>0</v>
      </c>
      <c r="B219" s="356" t="s">
        <v>270</v>
      </c>
      <c r="C219" s="356" t="s">
        <v>841</v>
      </c>
      <c r="D219" s="356" t="s">
        <v>728</v>
      </c>
      <c r="E219" s="344"/>
      <c r="F219" s="348"/>
      <c r="G219" s="344"/>
      <c r="H219" s="344"/>
      <c r="I219" s="344"/>
      <c r="J219" s="344"/>
      <c r="K219" s="344"/>
      <c r="L219" s="344"/>
      <c r="M219" s="344"/>
      <c r="N219" s="344"/>
      <c r="O219" s="344"/>
      <c r="P219" s="344"/>
      <c r="Q219" s="344"/>
      <c r="R219" s="344"/>
      <c r="S219" s="344"/>
      <c r="T219" s="344"/>
      <c r="U219" s="344"/>
      <c r="V219" s="344"/>
      <c r="W219" s="344"/>
      <c r="X219" s="344"/>
      <c r="Y219" s="344"/>
      <c r="Z219" s="344"/>
      <c r="AA219" s="344"/>
      <c r="AB219" s="344"/>
      <c r="AC219" s="344"/>
      <c r="AD219" s="344"/>
      <c r="AE219" s="344"/>
      <c r="AF219" s="344"/>
      <c r="AG219" s="344"/>
    </row>
    <row r="220">
      <c r="A220" s="403">
        <v>1.0</v>
      </c>
      <c r="B220" s="145" t="s">
        <v>800</v>
      </c>
      <c r="C220" s="193" t="s">
        <v>842</v>
      </c>
      <c r="D220" s="193">
        <v>2023.0</v>
      </c>
      <c r="E220" s="344"/>
      <c r="F220" s="348"/>
      <c r="G220" s="344"/>
      <c r="H220" s="344"/>
      <c r="I220" s="344"/>
      <c r="J220" s="344"/>
      <c r="K220" s="344"/>
      <c r="L220" s="344"/>
      <c r="M220" s="344"/>
      <c r="N220" s="344"/>
      <c r="O220" s="344"/>
      <c r="P220" s="344"/>
      <c r="Q220" s="344"/>
      <c r="R220" s="344"/>
      <c r="S220" s="344"/>
      <c r="T220" s="344"/>
      <c r="U220" s="344"/>
      <c r="V220" s="344"/>
      <c r="W220" s="344"/>
      <c r="X220" s="344"/>
      <c r="Y220" s="344"/>
      <c r="Z220" s="344"/>
      <c r="AA220" s="344"/>
      <c r="AB220" s="344"/>
      <c r="AC220" s="344"/>
      <c r="AD220" s="344"/>
      <c r="AE220" s="344"/>
      <c r="AF220" s="344"/>
      <c r="AG220" s="344"/>
    </row>
    <row r="221">
      <c r="A221" s="403">
        <v>2.0</v>
      </c>
      <c r="B221" s="145" t="s">
        <v>843</v>
      </c>
      <c r="C221" s="193" t="s">
        <v>842</v>
      </c>
      <c r="D221" s="193">
        <v>2023.0</v>
      </c>
      <c r="E221" s="344"/>
      <c r="F221" s="348"/>
      <c r="G221" s="344"/>
      <c r="H221" s="344"/>
      <c r="I221" s="344"/>
      <c r="J221" s="344"/>
      <c r="K221" s="344"/>
      <c r="L221" s="344"/>
      <c r="M221" s="344"/>
      <c r="N221" s="344"/>
      <c r="O221" s="344"/>
      <c r="P221" s="344"/>
      <c r="Q221" s="344"/>
      <c r="R221" s="344"/>
      <c r="S221" s="344"/>
      <c r="T221" s="344"/>
      <c r="U221" s="344"/>
      <c r="V221" s="344"/>
      <c r="W221" s="344"/>
      <c r="X221" s="344"/>
      <c r="Y221" s="344"/>
      <c r="Z221" s="344"/>
      <c r="AA221" s="344"/>
      <c r="AB221" s="344"/>
      <c r="AC221" s="344"/>
      <c r="AD221" s="344"/>
      <c r="AE221" s="344"/>
      <c r="AF221" s="344"/>
      <c r="AG221" s="344"/>
    </row>
    <row r="222">
      <c r="A222" s="402"/>
      <c r="B222" s="393" t="s">
        <v>723</v>
      </c>
      <c r="C222" s="344"/>
      <c r="D222" s="344"/>
      <c r="E222" s="344"/>
      <c r="F222" s="348"/>
      <c r="G222" s="344"/>
      <c r="H222" s="344"/>
      <c r="I222" s="344"/>
      <c r="J222" s="344"/>
      <c r="K222" s="344"/>
      <c r="L222" s="344"/>
      <c r="M222" s="344"/>
      <c r="N222" s="344"/>
      <c r="O222" s="344"/>
      <c r="P222" s="344"/>
      <c r="Q222" s="344"/>
      <c r="R222" s="344"/>
      <c r="S222" s="344"/>
      <c r="T222" s="344"/>
      <c r="U222" s="344"/>
      <c r="V222" s="344"/>
      <c r="W222" s="344"/>
      <c r="X222" s="344"/>
      <c r="Y222" s="344"/>
      <c r="Z222" s="344"/>
      <c r="AA222" s="344"/>
      <c r="AB222" s="344"/>
      <c r="AC222" s="344"/>
      <c r="AD222" s="344"/>
      <c r="AE222" s="344"/>
      <c r="AF222" s="344"/>
      <c r="AG222" s="344"/>
    </row>
    <row r="223">
      <c r="A223" s="402"/>
      <c r="B223" s="344"/>
      <c r="C223" s="344"/>
      <c r="D223" s="344"/>
      <c r="E223" s="344"/>
      <c r="F223" s="348"/>
      <c r="G223" s="344"/>
      <c r="H223" s="344"/>
      <c r="I223" s="344"/>
      <c r="J223" s="344"/>
      <c r="K223" s="344"/>
      <c r="L223" s="344"/>
      <c r="M223" s="344"/>
      <c r="N223" s="344"/>
      <c r="O223" s="344"/>
      <c r="P223" s="344"/>
      <c r="Q223" s="344"/>
      <c r="R223" s="344"/>
      <c r="S223" s="344"/>
      <c r="T223" s="344"/>
      <c r="U223" s="344"/>
      <c r="V223" s="344"/>
      <c r="W223" s="344"/>
      <c r="X223" s="344"/>
      <c r="Y223" s="344"/>
      <c r="Z223" s="344"/>
      <c r="AA223" s="344"/>
      <c r="AB223" s="344"/>
      <c r="AC223" s="344"/>
      <c r="AD223" s="344"/>
      <c r="AE223" s="344"/>
      <c r="AF223" s="344"/>
      <c r="AG223" s="344"/>
    </row>
    <row r="224">
      <c r="A224" s="341" t="s">
        <v>844</v>
      </c>
      <c r="B224" s="404"/>
      <c r="C224" s="405"/>
      <c r="D224" s="406"/>
      <c r="E224" s="406"/>
      <c r="F224" s="348"/>
      <c r="G224" s="344"/>
      <c r="H224" s="344"/>
      <c r="I224" s="344"/>
      <c r="J224" s="344"/>
      <c r="K224" s="344"/>
      <c r="L224" s="344"/>
      <c r="M224" s="344"/>
      <c r="N224" s="344"/>
      <c r="O224" s="344"/>
      <c r="P224" s="344"/>
      <c r="Q224" s="344"/>
      <c r="R224" s="344"/>
      <c r="S224" s="344"/>
      <c r="T224" s="344"/>
      <c r="U224" s="344"/>
      <c r="V224" s="344"/>
      <c r="W224" s="344"/>
      <c r="X224" s="344"/>
      <c r="Y224" s="344"/>
      <c r="Z224" s="344"/>
      <c r="AA224" s="344"/>
      <c r="AB224" s="344"/>
      <c r="AC224" s="344"/>
      <c r="AD224" s="344"/>
      <c r="AE224" s="344"/>
      <c r="AF224" s="344"/>
      <c r="AG224" s="344"/>
    </row>
    <row r="225">
      <c r="A225" s="407" t="s">
        <v>0</v>
      </c>
      <c r="B225" s="407" t="s">
        <v>270</v>
      </c>
      <c r="C225" s="407" t="s">
        <v>845</v>
      </c>
      <c r="D225" s="407" t="s">
        <v>728</v>
      </c>
      <c r="E225" s="407" t="s">
        <v>846</v>
      </c>
      <c r="F225" s="356" t="s">
        <v>847</v>
      </c>
      <c r="G225" s="344"/>
      <c r="H225" s="344"/>
      <c r="I225" s="344"/>
      <c r="J225" s="344"/>
      <c r="K225" s="344"/>
      <c r="L225" s="344"/>
      <c r="M225" s="344"/>
      <c r="N225" s="344"/>
      <c r="O225" s="344"/>
      <c r="P225" s="344"/>
      <c r="Q225" s="344"/>
      <c r="R225" s="344"/>
      <c r="S225" s="344"/>
      <c r="T225" s="344"/>
      <c r="U225" s="344"/>
      <c r="V225" s="344"/>
      <c r="W225" s="344"/>
      <c r="X225" s="344"/>
      <c r="Y225" s="344"/>
      <c r="Z225" s="344"/>
      <c r="AA225" s="344"/>
      <c r="AB225" s="344"/>
      <c r="AC225" s="344"/>
      <c r="AD225" s="344"/>
      <c r="AE225" s="344"/>
      <c r="AF225" s="344"/>
      <c r="AG225" s="344"/>
    </row>
    <row r="226">
      <c r="A226" s="408">
        <v>1.0</v>
      </c>
      <c r="B226" s="409" t="s">
        <v>848</v>
      </c>
      <c r="C226" s="410"/>
      <c r="D226" s="411"/>
      <c r="E226" s="411"/>
      <c r="F226" s="412"/>
      <c r="G226" s="344"/>
      <c r="H226" s="344"/>
      <c r="I226" s="344"/>
      <c r="J226" s="344"/>
      <c r="K226" s="344"/>
      <c r="L226" s="344"/>
      <c r="M226" s="344"/>
      <c r="N226" s="344"/>
      <c r="O226" s="344"/>
      <c r="P226" s="344"/>
      <c r="Q226" s="344"/>
      <c r="R226" s="344"/>
      <c r="S226" s="344"/>
      <c r="T226" s="344"/>
      <c r="U226" s="344"/>
      <c r="V226" s="344"/>
      <c r="W226" s="344"/>
      <c r="X226" s="344"/>
      <c r="Y226" s="344"/>
      <c r="Z226" s="344"/>
      <c r="AA226" s="344"/>
      <c r="AB226" s="344"/>
      <c r="AC226" s="344"/>
      <c r="AD226" s="344"/>
      <c r="AE226" s="344"/>
      <c r="AF226" s="344"/>
      <c r="AG226" s="344"/>
    </row>
    <row r="227">
      <c r="A227" s="408">
        <v>2.0</v>
      </c>
      <c r="B227" s="409" t="s">
        <v>849</v>
      </c>
      <c r="C227" s="410"/>
      <c r="D227" s="411"/>
      <c r="E227" s="411"/>
      <c r="F227" s="412"/>
      <c r="G227" s="344"/>
      <c r="H227" s="344"/>
      <c r="I227" s="344"/>
      <c r="J227" s="344"/>
      <c r="K227" s="344"/>
      <c r="L227" s="344"/>
      <c r="M227" s="344"/>
      <c r="N227" s="344"/>
      <c r="O227" s="344"/>
      <c r="P227" s="344"/>
      <c r="Q227" s="344"/>
      <c r="R227" s="344"/>
      <c r="S227" s="344"/>
      <c r="T227" s="344"/>
      <c r="U227" s="344"/>
      <c r="V227" s="344"/>
      <c r="W227" s="344"/>
      <c r="X227" s="344"/>
      <c r="Y227" s="344"/>
      <c r="Z227" s="344"/>
      <c r="AA227" s="344"/>
      <c r="AB227" s="344"/>
      <c r="AC227" s="344"/>
      <c r="AD227" s="344"/>
      <c r="AE227" s="344"/>
      <c r="AF227" s="344"/>
      <c r="AG227" s="344"/>
    </row>
    <row r="228">
      <c r="A228" s="408">
        <v>3.0</v>
      </c>
      <c r="B228" s="409" t="s">
        <v>540</v>
      </c>
      <c r="C228" s="358" t="s">
        <v>850</v>
      </c>
      <c r="D228" s="357">
        <v>2023.0</v>
      </c>
      <c r="E228" s="357" t="s">
        <v>851</v>
      </c>
      <c r="F228" s="412"/>
      <c r="G228" s="344"/>
      <c r="H228" s="344"/>
      <c r="I228" s="344"/>
      <c r="J228" s="344"/>
      <c r="K228" s="344"/>
      <c r="L228" s="344"/>
      <c r="M228" s="344"/>
      <c r="N228" s="344"/>
      <c r="O228" s="344"/>
      <c r="P228" s="344"/>
      <c r="Q228" s="344"/>
      <c r="R228" s="344"/>
      <c r="S228" s="344"/>
      <c r="T228" s="344"/>
      <c r="U228" s="344"/>
      <c r="V228" s="344"/>
      <c r="W228" s="344"/>
      <c r="X228" s="344"/>
      <c r="Y228" s="344"/>
      <c r="Z228" s="344"/>
      <c r="AA228" s="344"/>
      <c r="AB228" s="344"/>
      <c r="AC228" s="344"/>
      <c r="AD228" s="344"/>
      <c r="AE228" s="344"/>
      <c r="AF228" s="344"/>
      <c r="AG228" s="344"/>
    </row>
    <row r="229">
      <c r="A229" s="408">
        <v>4.0</v>
      </c>
      <c r="B229" s="409" t="s">
        <v>733</v>
      </c>
      <c r="C229" s="410"/>
      <c r="D229" s="411"/>
      <c r="E229" s="411"/>
      <c r="F229" s="412"/>
      <c r="G229" s="344"/>
      <c r="H229" s="344"/>
      <c r="I229" s="344"/>
      <c r="J229" s="344"/>
      <c r="K229" s="344"/>
      <c r="L229" s="344"/>
      <c r="M229" s="344"/>
      <c r="N229" s="344"/>
      <c r="O229" s="344"/>
      <c r="P229" s="344"/>
      <c r="Q229" s="344"/>
      <c r="R229" s="344"/>
      <c r="S229" s="344"/>
      <c r="T229" s="344"/>
      <c r="U229" s="344"/>
      <c r="V229" s="344"/>
      <c r="W229" s="344"/>
      <c r="X229" s="344"/>
      <c r="Y229" s="344"/>
      <c r="Z229" s="344"/>
      <c r="AA229" s="344"/>
      <c r="AB229" s="344"/>
      <c r="AC229" s="344"/>
      <c r="AD229" s="344"/>
      <c r="AE229" s="344"/>
      <c r="AF229" s="344"/>
      <c r="AG229" s="344"/>
    </row>
    <row r="230">
      <c r="A230" s="413">
        <v>5.0</v>
      </c>
      <c r="B230" s="414" t="s">
        <v>852</v>
      </c>
      <c r="C230" s="358" t="s">
        <v>850</v>
      </c>
      <c r="D230" s="357">
        <v>2023.0</v>
      </c>
      <c r="E230" s="357" t="s">
        <v>851</v>
      </c>
      <c r="F230" s="412"/>
      <c r="G230" s="344"/>
      <c r="H230" s="344"/>
      <c r="I230" s="344"/>
      <c r="J230" s="344"/>
      <c r="K230" s="344"/>
      <c r="L230" s="344"/>
      <c r="M230" s="344"/>
      <c r="N230" s="344"/>
      <c r="O230" s="344"/>
      <c r="P230" s="344"/>
      <c r="Q230" s="344"/>
      <c r="R230" s="344"/>
      <c r="S230" s="344"/>
      <c r="T230" s="344"/>
      <c r="U230" s="344"/>
      <c r="V230" s="344"/>
      <c r="W230" s="344"/>
      <c r="X230" s="344"/>
      <c r="Y230" s="344"/>
      <c r="Z230" s="344"/>
      <c r="AA230" s="344"/>
      <c r="AB230" s="344"/>
      <c r="AC230" s="344"/>
      <c r="AD230" s="344"/>
      <c r="AE230" s="344"/>
      <c r="AF230" s="344"/>
      <c r="AG230" s="344"/>
    </row>
    <row r="231">
      <c r="A231" s="56"/>
      <c r="B231" s="56"/>
      <c r="C231" s="358" t="s">
        <v>853</v>
      </c>
      <c r="D231" s="357">
        <v>2023.0</v>
      </c>
      <c r="E231" s="357" t="s">
        <v>854</v>
      </c>
      <c r="F231" s="412"/>
      <c r="G231" s="344"/>
      <c r="H231" s="344"/>
      <c r="I231" s="344"/>
      <c r="J231" s="344"/>
      <c r="K231" s="344"/>
      <c r="L231" s="344"/>
      <c r="M231" s="344"/>
      <c r="N231" s="344"/>
      <c r="O231" s="344"/>
      <c r="P231" s="344"/>
      <c r="Q231" s="344"/>
      <c r="R231" s="344"/>
      <c r="S231" s="344"/>
      <c r="T231" s="344"/>
      <c r="U231" s="344"/>
      <c r="V231" s="344"/>
      <c r="W231" s="344"/>
      <c r="X231" s="344"/>
      <c r="Y231" s="344"/>
      <c r="Z231" s="344"/>
      <c r="AA231" s="344"/>
      <c r="AB231" s="344"/>
      <c r="AC231" s="344"/>
      <c r="AD231" s="344"/>
      <c r="AE231" s="344"/>
      <c r="AF231" s="344"/>
      <c r="AG231" s="344"/>
    </row>
    <row r="232">
      <c r="A232" s="408">
        <v>6.0</v>
      </c>
      <c r="B232" s="409" t="s">
        <v>737</v>
      </c>
      <c r="C232" s="410"/>
      <c r="D232" s="411"/>
      <c r="E232" s="411"/>
      <c r="F232" s="412"/>
      <c r="G232" s="344"/>
      <c r="H232" s="344"/>
      <c r="I232" s="344"/>
      <c r="J232" s="344"/>
      <c r="K232" s="344"/>
      <c r="L232" s="344"/>
      <c r="M232" s="344"/>
      <c r="N232" s="344"/>
      <c r="O232" s="344"/>
      <c r="P232" s="344"/>
      <c r="Q232" s="344"/>
      <c r="R232" s="344"/>
      <c r="S232" s="344"/>
      <c r="T232" s="344"/>
      <c r="U232" s="344"/>
      <c r="V232" s="344"/>
      <c r="W232" s="344"/>
      <c r="X232" s="344"/>
      <c r="Y232" s="344"/>
      <c r="Z232" s="344"/>
      <c r="AA232" s="344"/>
      <c r="AB232" s="344"/>
      <c r="AC232" s="344"/>
      <c r="AD232" s="344"/>
      <c r="AE232" s="344"/>
      <c r="AF232" s="344"/>
      <c r="AG232" s="344"/>
    </row>
    <row r="233">
      <c r="A233" s="408">
        <v>7.0</v>
      </c>
      <c r="B233" s="409" t="s">
        <v>738</v>
      </c>
      <c r="C233" s="410"/>
      <c r="D233" s="411"/>
      <c r="E233" s="411"/>
      <c r="F233" s="412"/>
      <c r="G233" s="344"/>
      <c r="H233" s="344"/>
      <c r="I233" s="344"/>
      <c r="J233" s="344"/>
      <c r="K233" s="344"/>
      <c r="L233" s="344"/>
      <c r="M233" s="344"/>
      <c r="N233" s="344"/>
      <c r="O233" s="344"/>
      <c r="P233" s="344"/>
      <c r="Q233" s="344"/>
      <c r="R233" s="344"/>
      <c r="S233" s="344"/>
      <c r="T233" s="344"/>
      <c r="U233" s="344"/>
      <c r="V233" s="344"/>
      <c r="W233" s="344"/>
      <c r="X233" s="344"/>
      <c r="Y233" s="344"/>
      <c r="Z233" s="344"/>
      <c r="AA233" s="344"/>
      <c r="AB233" s="344"/>
      <c r="AC233" s="344"/>
      <c r="AD233" s="344"/>
      <c r="AE233" s="344"/>
      <c r="AF233" s="344"/>
      <c r="AG233" s="344"/>
    </row>
    <row r="234">
      <c r="A234" s="408">
        <v>8.0</v>
      </c>
      <c r="B234" s="415" t="s">
        <v>739</v>
      </c>
      <c r="C234" s="410"/>
      <c r="D234" s="411"/>
      <c r="E234" s="411"/>
      <c r="F234" s="412"/>
      <c r="G234" s="344"/>
      <c r="H234" s="344"/>
      <c r="I234" s="344"/>
      <c r="J234" s="344"/>
      <c r="K234" s="344"/>
      <c r="L234" s="344"/>
      <c r="M234" s="344"/>
      <c r="N234" s="344"/>
      <c r="O234" s="344"/>
      <c r="P234" s="344"/>
      <c r="Q234" s="344"/>
      <c r="R234" s="344"/>
      <c r="S234" s="344"/>
      <c r="T234" s="344"/>
      <c r="U234" s="344"/>
      <c r="V234" s="344"/>
      <c r="W234" s="344"/>
      <c r="X234" s="344"/>
      <c r="Y234" s="344"/>
      <c r="Z234" s="344"/>
      <c r="AA234" s="344"/>
      <c r="AB234" s="344"/>
      <c r="AC234" s="344"/>
      <c r="AD234" s="344"/>
      <c r="AE234" s="344"/>
      <c r="AF234" s="344"/>
      <c r="AG234" s="344"/>
    </row>
    <row r="235">
      <c r="A235" s="408">
        <v>9.0</v>
      </c>
      <c r="B235" s="415" t="s">
        <v>647</v>
      </c>
      <c r="C235" s="410"/>
      <c r="D235" s="411"/>
      <c r="E235" s="411"/>
      <c r="F235" s="412"/>
      <c r="G235" s="344"/>
      <c r="H235" s="344"/>
      <c r="I235" s="344"/>
      <c r="J235" s="344"/>
      <c r="K235" s="344"/>
      <c r="L235" s="344"/>
      <c r="M235" s="344"/>
      <c r="N235" s="344"/>
      <c r="O235" s="344"/>
      <c r="P235" s="344"/>
      <c r="Q235" s="344"/>
      <c r="R235" s="344"/>
      <c r="S235" s="344"/>
      <c r="T235" s="344"/>
      <c r="U235" s="344"/>
      <c r="V235" s="344"/>
      <c r="W235" s="344"/>
      <c r="X235" s="344"/>
      <c r="Y235" s="344"/>
      <c r="Z235" s="344"/>
      <c r="AA235" s="344"/>
      <c r="AB235" s="344"/>
      <c r="AC235" s="344"/>
      <c r="AD235" s="344"/>
      <c r="AE235" s="344"/>
      <c r="AF235" s="344"/>
      <c r="AG235" s="344"/>
    </row>
    <row r="236">
      <c r="A236" s="408">
        <v>10.0</v>
      </c>
      <c r="B236" s="415" t="s">
        <v>740</v>
      </c>
      <c r="C236" s="410"/>
      <c r="D236" s="411"/>
      <c r="E236" s="411"/>
      <c r="F236" s="412"/>
      <c r="G236" s="344"/>
      <c r="H236" s="344"/>
      <c r="I236" s="344"/>
      <c r="J236" s="344"/>
      <c r="K236" s="344"/>
      <c r="L236" s="344"/>
      <c r="M236" s="344"/>
      <c r="N236" s="344"/>
      <c r="O236" s="344"/>
      <c r="P236" s="344"/>
      <c r="Q236" s="344"/>
      <c r="R236" s="344"/>
      <c r="S236" s="344"/>
      <c r="T236" s="344"/>
      <c r="U236" s="344"/>
      <c r="V236" s="344"/>
      <c r="W236" s="344"/>
      <c r="X236" s="344"/>
      <c r="Y236" s="344"/>
      <c r="Z236" s="344"/>
      <c r="AA236" s="344"/>
      <c r="AB236" s="344"/>
      <c r="AC236" s="344"/>
      <c r="AD236" s="344"/>
      <c r="AE236" s="344"/>
      <c r="AF236" s="344"/>
      <c r="AG236" s="344"/>
    </row>
    <row r="237">
      <c r="A237" s="408">
        <v>11.0</v>
      </c>
      <c r="B237" s="415" t="s">
        <v>548</v>
      </c>
      <c r="C237" s="410"/>
      <c r="D237" s="411"/>
      <c r="E237" s="411"/>
      <c r="F237" s="412"/>
      <c r="G237" s="344"/>
      <c r="H237" s="344"/>
      <c r="I237" s="344"/>
      <c r="J237" s="344"/>
      <c r="K237" s="344"/>
      <c r="L237" s="344"/>
      <c r="M237" s="344"/>
      <c r="N237" s="344"/>
      <c r="O237" s="344"/>
      <c r="P237" s="344"/>
      <c r="Q237" s="344"/>
      <c r="R237" s="344"/>
      <c r="S237" s="344"/>
      <c r="T237" s="344"/>
      <c r="U237" s="344"/>
      <c r="V237" s="344"/>
      <c r="W237" s="344"/>
      <c r="X237" s="344"/>
      <c r="Y237" s="344"/>
      <c r="Z237" s="344"/>
      <c r="AA237" s="344"/>
      <c r="AB237" s="344"/>
      <c r="AC237" s="344"/>
      <c r="AD237" s="344"/>
      <c r="AE237" s="344"/>
      <c r="AF237" s="344"/>
      <c r="AG237" s="344"/>
    </row>
    <row r="238">
      <c r="A238" s="408">
        <v>12.0</v>
      </c>
      <c r="B238" s="409" t="s">
        <v>549</v>
      </c>
      <c r="C238" s="410"/>
      <c r="D238" s="411"/>
      <c r="E238" s="411"/>
      <c r="F238" s="412"/>
      <c r="G238" s="344"/>
      <c r="H238" s="344"/>
      <c r="I238" s="344"/>
      <c r="J238" s="344"/>
      <c r="K238" s="344"/>
      <c r="L238" s="344"/>
      <c r="M238" s="344"/>
      <c r="N238" s="344"/>
      <c r="O238" s="344"/>
      <c r="P238" s="344"/>
      <c r="Q238" s="344"/>
      <c r="R238" s="344"/>
      <c r="S238" s="344"/>
      <c r="T238" s="344"/>
      <c r="U238" s="344"/>
      <c r="V238" s="344"/>
      <c r="W238" s="344"/>
      <c r="X238" s="344"/>
      <c r="Y238" s="344"/>
      <c r="Z238" s="344"/>
      <c r="AA238" s="344"/>
      <c r="AB238" s="344"/>
      <c r="AC238" s="344"/>
      <c r="AD238" s="344"/>
      <c r="AE238" s="344"/>
      <c r="AF238" s="344"/>
      <c r="AG238" s="344"/>
    </row>
    <row r="239">
      <c r="A239" s="408">
        <v>13.0</v>
      </c>
      <c r="B239" s="409" t="s">
        <v>855</v>
      </c>
      <c r="C239" s="410"/>
      <c r="D239" s="411"/>
      <c r="E239" s="411"/>
      <c r="F239" s="412"/>
      <c r="G239" s="344"/>
      <c r="H239" s="344"/>
      <c r="I239" s="344"/>
      <c r="J239" s="344"/>
      <c r="K239" s="344"/>
      <c r="L239" s="344"/>
      <c r="M239" s="344"/>
      <c r="N239" s="344"/>
      <c r="O239" s="344"/>
      <c r="P239" s="344"/>
      <c r="Q239" s="344"/>
      <c r="R239" s="344"/>
      <c r="S239" s="344"/>
      <c r="T239" s="344"/>
      <c r="U239" s="344"/>
      <c r="V239" s="344"/>
      <c r="W239" s="344"/>
      <c r="X239" s="344"/>
      <c r="Y239" s="344"/>
      <c r="Z239" s="344"/>
      <c r="AA239" s="344"/>
      <c r="AB239" s="344"/>
      <c r="AC239" s="344"/>
      <c r="AD239" s="344"/>
      <c r="AE239" s="344"/>
      <c r="AF239" s="344"/>
      <c r="AG239" s="344"/>
    </row>
    <row r="240">
      <c r="A240" s="408">
        <v>14.0</v>
      </c>
      <c r="B240" s="409" t="s">
        <v>856</v>
      </c>
      <c r="C240" s="410"/>
      <c r="D240" s="411"/>
      <c r="E240" s="411"/>
      <c r="F240" s="412"/>
      <c r="G240" s="344"/>
      <c r="H240" s="344"/>
      <c r="I240" s="344"/>
      <c r="J240" s="344"/>
      <c r="K240" s="344"/>
      <c r="L240" s="344"/>
      <c r="M240" s="344"/>
      <c r="N240" s="344"/>
      <c r="O240" s="344"/>
      <c r="P240" s="344"/>
      <c r="Q240" s="344"/>
      <c r="R240" s="344"/>
      <c r="S240" s="344"/>
      <c r="T240" s="344"/>
      <c r="U240" s="344"/>
      <c r="V240" s="344"/>
      <c r="W240" s="344"/>
      <c r="X240" s="344"/>
      <c r="Y240" s="344"/>
      <c r="Z240" s="344"/>
      <c r="AA240" s="344"/>
      <c r="AB240" s="344"/>
      <c r="AC240" s="344"/>
      <c r="AD240" s="344"/>
      <c r="AE240" s="344"/>
      <c r="AF240" s="344"/>
      <c r="AG240" s="344"/>
    </row>
    <row r="241">
      <c r="A241" s="408">
        <v>15.0</v>
      </c>
      <c r="B241" s="409" t="s">
        <v>592</v>
      </c>
      <c r="C241" s="358" t="s">
        <v>857</v>
      </c>
      <c r="D241" s="357">
        <v>2019.0</v>
      </c>
      <c r="E241" s="357" t="s">
        <v>854</v>
      </c>
      <c r="F241" s="412"/>
      <c r="G241" s="344"/>
      <c r="H241" s="344"/>
      <c r="I241" s="344"/>
      <c r="J241" s="344"/>
      <c r="K241" s="344"/>
      <c r="L241" s="344"/>
      <c r="M241" s="344"/>
      <c r="N241" s="344"/>
      <c r="O241" s="344"/>
      <c r="P241" s="344"/>
      <c r="Q241" s="344"/>
      <c r="R241" s="344"/>
      <c r="S241" s="344"/>
      <c r="T241" s="344"/>
      <c r="U241" s="344"/>
      <c r="V241" s="344"/>
      <c r="W241" s="344"/>
      <c r="X241" s="344"/>
      <c r="Y241" s="344"/>
      <c r="Z241" s="344"/>
      <c r="AA241" s="344"/>
      <c r="AB241" s="344"/>
      <c r="AC241" s="344"/>
      <c r="AD241" s="344"/>
      <c r="AE241" s="344"/>
      <c r="AF241" s="344"/>
      <c r="AG241" s="344"/>
    </row>
    <row r="242">
      <c r="A242" s="408">
        <v>16.0</v>
      </c>
      <c r="B242" s="415" t="s">
        <v>552</v>
      </c>
      <c r="C242" s="410"/>
      <c r="D242" s="411"/>
      <c r="E242" s="411"/>
      <c r="F242" s="412"/>
      <c r="G242" s="344"/>
      <c r="H242" s="344"/>
      <c r="I242" s="344"/>
      <c r="J242" s="344"/>
      <c r="K242" s="344"/>
      <c r="L242" s="344"/>
      <c r="M242" s="344"/>
      <c r="N242" s="344"/>
      <c r="O242" s="344"/>
      <c r="P242" s="344"/>
      <c r="Q242" s="344"/>
      <c r="R242" s="344"/>
      <c r="S242" s="344"/>
      <c r="T242" s="344"/>
      <c r="U242" s="344"/>
      <c r="V242" s="344"/>
      <c r="W242" s="344"/>
      <c r="X242" s="344"/>
      <c r="Y242" s="344"/>
      <c r="Z242" s="344"/>
      <c r="AA242" s="344"/>
      <c r="AB242" s="344"/>
      <c r="AC242" s="344"/>
      <c r="AD242" s="344"/>
      <c r="AE242" s="344"/>
      <c r="AF242" s="344"/>
      <c r="AG242" s="344"/>
    </row>
    <row r="243">
      <c r="A243" s="408">
        <v>17.0</v>
      </c>
      <c r="B243" s="415" t="s">
        <v>750</v>
      </c>
      <c r="C243" s="410"/>
      <c r="D243" s="411"/>
      <c r="E243" s="411"/>
      <c r="F243" s="412"/>
      <c r="G243" s="344"/>
      <c r="H243" s="344"/>
      <c r="I243" s="344"/>
      <c r="J243" s="344"/>
      <c r="K243" s="344"/>
      <c r="L243" s="344"/>
      <c r="M243" s="344"/>
      <c r="N243" s="344"/>
      <c r="O243" s="344"/>
      <c r="P243" s="344"/>
      <c r="Q243" s="344"/>
      <c r="R243" s="344"/>
      <c r="S243" s="344"/>
      <c r="T243" s="344"/>
      <c r="U243" s="344"/>
      <c r="V243" s="344"/>
      <c r="W243" s="344"/>
      <c r="X243" s="344"/>
      <c r="Y243" s="344"/>
      <c r="Z243" s="344"/>
      <c r="AA243" s="344"/>
      <c r="AB243" s="344"/>
      <c r="AC243" s="344"/>
      <c r="AD243" s="344"/>
      <c r="AE243" s="344"/>
      <c r="AF243" s="344"/>
      <c r="AG243" s="344"/>
    </row>
    <row r="244">
      <c r="A244" s="408">
        <v>18.0</v>
      </c>
      <c r="B244" s="409" t="s">
        <v>553</v>
      </c>
      <c r="C244" s="410"/>
      <c r="D244" s="411"/>
      <c r="E244" s="411"/>
      <c r="F244" s="412"/>
      <c r="G244" s="344"/>
      <c r="H244" s="344"/>
      <c r="I244" s="344"/>
      <c r="J244" s="344"/>
      <c r="K244" s="344"/>
      <c r="L244" s="344"/>
      <c r="M244" s="344"/>
      <c r="N244" s="344"/>
      <c r="O244" s="344"/>
      <c r="P244" s="344"/>
      <c r="Q244" s="344"/>
      <c r="R244" s="344"/>
      <c r="S244" s="344"/>
      <c r="T244" s="344"/>
      <c r="U244" s="344"/>
      <c r="V244" s="344"/>
      <c r="W244" s="344"/>
      <c r="X244" s="344"/>
      <c r="Y244" s="344"/>
      <c r="Z244" s="344"/>
      <c r="AA244" s="344"/>
      <c r="AB244" s="344"/>
      <c r="AC244" s="344"/>
      <c r="AD244" s="344"/>
      <c r="AE244" s="344"/>
      <c r="AF244" s="344"/>
      <c r="AG244" s="344"/>
    </row>
    <row r="245">
      <c r="A245" s="408">
        <v>19.0</v>
      </c>
      <c r="B245" s="415" t="s">
        <v>576</v>
      </c>
      <c r="C245" s="358" t="s">
        <v>858</v>
      </c>
      <c r="D245" s="357" t="s">
        <v>859</v>
      </c>
      <c r="E245" s="357" t="s">
        <v>851</v>
      </c>
      <c r="F245" s="412"/>
      <c r="G245" s="344"/>
      <c r="H245" s="344"/>
      <c r="I245" s="344"/>
      <c r="J245" s="344"/>
      <c r="K245" s="344"/>
      <c r="L245" s="344"/>
      <c r="M245" s="344"/>
      <c r="N245" s="344"/>
      <c r="O245" s="344"/>
      <c r="P245" s="344"/>
      <c r="Q245" s="344"/>
      <c r="R245" s="344"/>
      <c r="S245" s="344"/>
      <c r="T245" s="344"/>
      <c r="U245" s="344"/>
      <c r="V245" s="344"/>
      <c r="W245" s="344"/>
      <c r="X245" s="344"/>
      <c r="Y245" s="344"/>
      <c r="Z245" s="344"/>
      <c r="AA245" s="344"/>
      <c r="AB245" s="344"/>
      <c r="AC245" s="344"/>
      <c r="AD245" s="344"/>
      <c r="AE245" s="344"/>
      <c r="AF245" s="344"/>
      <c r="AG245" s="344"/>
    </row>
    <row r="246">
      <c r="A246" s="408">
        <v>20.0</v>
      </c>
      <c r="B246" s="415" t="s">
        <v>752</v>
      </c>
      <c r="C246" s="416"/>
      <c r="D246" s="417"/>
      <c r="E246" s="417"/>
      <c r="F246" s="412"/>
      <c r="G246" s="344"/>
      <c r="H246" s="344"/>
      <c r="I246" s="344"/>
      <c r="J246" s="344"/>
      <c r="K246" s="344"/>
      <c r="L246" s="344"/>
      <c r="M246" s="344"/>
      <c r="N246" s="344"/>
      <c r="O246" s="344"/>
      <c r="P246" s="344"/>
      <c r="Q246" s="344"/>
      <c r="R246" s="344"/>
      <c r="S246" s="344"/>
      <c r="T246" s="344"/>
      <c r="U246" s="344"/>
      <c r="V246" s="344"/>
      <c r="W246" s="344"/>
      <c r="X246" s="344"/>
      <c r="Y246" s="344"/>
      <c r="Z246" s="344"/>
      <c r="AA246" s="344"/>
      <c r="AB246" s="344"/>
      <c r="AC246" s="344"/>
      <c r="AD246" s="344"/>
      <c r="AE246" s="344"/>
      <c r="AF246" s="344"/>
      <c r="AG246" s="344"/>
    </row>
    <row r="247">
      <c r="A247" s="408">
        <v>21.0</v>
      </c>
      <c r="B247" s="415" t="s">
        <v>555</v>
      </c>
      <c r="C247" s="418" t="s">
        <v>860</v>
      </c>
      <c r="D247" s="419">
        <v>2019.0</v>
      </c>
      <c r="E247" s="419" t="s">
        <v>851</v>
      </c>
      <c r="F247" s="412"/>
      <c r="G247" s="344"/>
      <c r="H247" s="344"/>
      <c r="I247" s="344"/>
      <c r="J247" s="344"/>
      <c r="K247" s="344"/>
      <c r="L247" s="344"/>
      <c r="M247" s="344"/>
      <c r="N247" s="344"/>
      <c r="O247" s="344"/>
      <c r="P247" s="344"/>
      <c r="Q247" s="344"/>
      <c r="R247" s="344"/>
      <c r="S247" s="344"/>
      <c r="T247" s="344"/>
      <c r="U247" s="344"/>
      <c r="V247" s="344"/>
      <c r="W247" s="344"/>
      <c r="X247" s="344"/>
      <c r="Y247" s="344"/>
      <c r="Z247" s="344"/>
      <c r="AA247" s="344"/>
      <c r="AB247" s="344"/>
      <c r="AC247" s="344"/>
      <c r="AD247" s="344"/>
      <c r="AE247" s="344"/>
      <c r="AF247" s="344"/>
      <c r="AG247" s="344"/>
    </row>
    <row r="248">
      <c r="A248" s="408">
        <v>22.0</v>
      </c>
      <c r="B248" s="415" t="s">
        <v>557</v>
      </c>
      <c r="C248" s="420" t="s">
        <v>850</v>
      </c>
      <c r="D248" s="421"/>
      <c r="E248" s="422" t="s">
        <v>851</v>
      </c>
      <c r="F248" s="412"/>
      <c r="G248" s="344"/>
      <c r="H248" s="344"/>
      <c r="I248" s="344"/>
      <c r="J248" s="344"/>
      <c r="K248" s="344"/>
      <c r="L248" s="344"/>
      <c r="M248" s="344"/>
      <c r="N248" s="344"/>
      <c r="O248" s="344"/>
      <c r="P248" s="344"/>
      <c r="Q248" s="344"/>
      <c r="R248" s="344"/>
      <c r="S248" s="344"/>
      <c r="T248" s="344"/>
      <c r="U248" s="344"/>
      <c r="V248" s="344"/>
      <c r="W248" s="344"/>
      <c r="X248" s="344"/>
      <c r="Y248" s="344"/>
      <c r="Z248" s="344"/>
      <c r="AA248" s="344"/>
      <c r="AB248" s="344"/>
      <c r="AC248" s="344"/>
      <c r="AD248" s="344"/>
      <c r="AE248" s="344"/>
      <c r="AF248" s="344"/>
      <c r="AG248" s="344"/>
    </row>
    <row r="249">
      <c r="A249" s="408">
        <v>23.0</v>
      </c>
      <c r="B249" s="415" t="s">
        <v>753</v>
      </c>
      <c r="C249" s="418" t="s">
        <v>861</v>
      </c>
      <c r="D249" s="419">
        <v>2022.0</v>
      </c>
      <c r="E249" s="419" t="s">
        <v>851</v>
      </c>
      <c r="F249" s="412"/>
      <c r="G249" s="344"/>
      <c r="H249" s="344"/>
      <c r="I249" s="344"/>
      <c r="J249" s="344"/>
      <c r="K249" s="344"/>
      <c r="L249" s="344"/>
      <c r="M249" s="344"/>
      <c r="N249" s="344"/>
      <c r="O249" s="344"/>
      <c r="P249" s="344"/>
      <c r="Q249" s="344"/>
      <c r="R249" s="344"/>
      <c r="S249" s="344"/>
      <c r="T249" s="344"/>
      <c r="U249" s="344"/>
      <c r="V249" s="344"/>
      <c r="W249" s="344"/>
      <c r="X249" s="344"/>
      <c r="Y249" s="344"/>
      <c r="Z249" s="344"/>
      <c r="AA249" s="344"/>
      <c r="AB249" s="344"/>
      <c r="AC249" s="344"/>
      <c r="AD249" s="344"/>
      <c r="AE249" s="344"/>
      <c r="AF249" s="344"/>
      <c r="AG249" s="344"/>
    </row>
    <row r="250">
      <c r="A250" s="408">
        <v>24.0</v>
      </c>
      <c r="B250" s="415" t="s">
        <v>756</v>
      </c>
      <c r="C250" s="416"/>
      <c r="D250" s="417"/>
      <c r="E250" s="417"/>
      <c r="F250" s="412"/>
      <c r="G250" s="344"/>
      <c r="H250" s="344"/>
      <c r="I250" s="344"/>
      <c r="J250" s="344"/>
      <c r="K250" s="344"/>
      <c r="L250" s="344"/>
      <c r="M250" s="344"/>
      <c r="N250" s="344"/>
      <c r="O250" s="344"/>
      <c r="P250" s="344"/>
      <c r="Q250" s="344"/>
      <c r="R250" s="344"/>
      <c r="S250" s="344"/>
      <c r="T250" s="344"/>
      <c r="U250" s="344"/>
      <c r="V250" s="344"/>
      <c r="W250" s="344"/>
      <c r="X250" s="344"/>
      <c r="Y250" s="344"/>
      <c r="Z250" s="344"/>
      <c r="AA250" s="344"/>
      <c r="AB250" s="344"/>
      <c r="AC250" s="344"/>
      <c r="AD250" s="344"/>
      <c r="AE250" s="344"/>
      <c r="AF250" s="344"/>
      <c r="AG250" s="344"/>
    </row>
    <row r="251">
      <c r="A251" s="408">
        <v>25.0</v>
      </c>
      <c r="B251" s="415" t="s">
        <v>757</v>
      </c>
      <c r="C251" s="418" t="s">
        <v>857</v>
      </c>
      <c r="D251" s="419">
        <v>2019.0</v>
      </c>
      <c r="E251" s="419" t="s">
        <v>851</v>
      </c>
      <c r="F251" s="412"/>
      <c r="G251" s="344"/>
      <c r="H251" s="344"/>
      <c r="I251" s="344"/>
      <c r="J251" s="344"/>
      <c r="K251" s="344"/>
      <c r="L251" s="344"/>
      <c r="M251" s="344"/>
      <c r="N251" s="344"/>
      <c r="O251" s="344"/>
      <c r="P251" s="344"/>
      <c r="Q251" s="344"/>
      <c r="R251" s="344"/>
      <c r="S251" s="344"/>
      <c r="T251" s="344"/>
      <c r="U251" s="344"/>
      <c r="V251" s="344"/>
      <c r="W251" s="344"/>
      <c r="X251" s="344"/>
      <c r="Y251" s="344"/>
      <c r="Z251" s="344"/>
      <c r="AA251" s="344"/>
      <c r="AB251" s="344"/>
      <c r="AC251" s="344"/>
      <c r="AD251" s="344"/>
      <c r="AE251" s="344"/>
      <c r="AF251" s="344"/>
      <c r="AG251" s="344"/>
    </row>
    <row r="252">
      <c r="A252" s="408">
        <v>26.0</v>
      </c>
      <c r="B252" s="409" t="s">
        <v>862</v>
      </c>
      <c r="C252" s="358" t="s">
        <v>863</v>
      </c>
      <c r="D252" s="357" t="s">
        <v>864</v>
      </c>
      <c r="E252" s="357" t="s">
        <v>851</v>
      </c>
      <c r="F252" s="412"/>
      <c r="G252" s="344"/>
      <c r="H252" s="344"/>
      <c r="I252" s="344"/>
      <c r="J252" s="344"/>
      <c r="K252" s="344"/>
      <c r="L252" s="344"/>
      <c r="M252" s="344"/>
      <c r="N252" s="344"/>
      <c r="O252" s="344"/>
      <c r="P252" s="344"/>
      <c r="Q252" s="344"/>
      <c r="R252" s="344"/>
      <c r="S252" s="344"/>
      <c r="T252" s="344"/>
      <c r="U252" s="344"/>
      <c r="V252" s="344"/>
      <c r="W252" s="344"/>
      <c r="X252" s="344"/>
      <c r="Y252" s="344"/>
      <c r="Z252" s="344"/>
      <c r="AA252" s="344"/>
      <c r="AB252" s="344"/>
      <c r="AC252" s="344"/>
      <c r="AD252" s="344"/>
      <c r="AE252" s="344"/>
      <c r="AF252" s="344"/>
      <c r="AG252" s="344"/>
    </row>
    <row r="253">
      <c r="A253" s="408">
        <v>27.0</v>
      </c>
      <c r="B253" s="409" t="s">
        <v>865</v>
      </c>
      <c r="C253" s="358" t="s">
        <v>866</v>
      </c>
      <c r="D253" s="357">
        <v>2019.0</v>
      </c>
      <c r="E253" s="357" t="s">
        <v>854</v>
      </c>
      <c r="F253" s="412"/>
      <c r="G253" s="344"/>
      <c r="H253" s="344"/>
      <c r="I253" s="344"/>
      <c r="J253" s="344"/>
      <c r="K253" s="344"/>
      <c r="L253" s="344"/>
      <c r="M253" s="344"/>
      <c r="N253" s="344"/>
      <c r="O253" s="344"/>
      <c r="P253" s="344"/>
      <c r="Q253" s="344"/>
      <c r="R253" s="344"/>
      <c r="S253" s="344"/>
      <c r="T253" s="344"/>
      <c r="U253" s="344"/>
      <c r="V253" s="344"/>
      <c r="W253" s="344"/>
      <c r="X253" s="344"/>
      <c r="Y253" s="344"/>
      <c r="Z253" s="344"/>
      <c r="AA253" s="344"/>
      <c r="AB253" s="344"/>
      <c r="AC253" s="344"/>
      <c r="AD253" s="344"/>
      <c r="AE253" s="344"/>
      <c r="AF253" s="344"/>
      <c r="AG253" s="344"/>
    </row>
    <row r="254">
      <c r="A254" s="408">
        <v>28.0</v>
      </c>
      <c r="B254" s="409" t="s">
        <v>867</v>
      </c>
      <c r="C254" s="358" t="s">
        <v>861</v>
      </c>
      <c r="D254" s="357" t="s">
        <v>730</v>
      </c>
      <c r="E254" s="357" t="s">
        <v>851</v>
      </c>
      <c r="F254" s="412"/>
      <c r="G254" s="344"/>
      <c r="H254" s="344"/>
      <c r="I254" s="344"/>
      <c r="J254" s="344"/>
      <c r="K254" s="344"/>
      <c r="L254" s="344"/>
      <c r="M254" s="344"/>
      <c r="N254" s="344"/>
      <c r="O254" s="344"/>
      <c r="P254" s="344"/>
      <c r="Q254" s="344"/>
      <c r="R254" s="344"/>
      <c r="S254" s="344"/>
      <c r="T254" s="344"/>
      <c r="U254" s="344"/>
      <c r="V254" s="344"/>
      <c r="W254" s="344"/>
      <c r="X254" s="344"/>
      <c r="Y254" s="344"/>
      <c r="Z254" s="344"/>
      <c r="AA254" s="344"/>
      <c r="AB254" s="344"/>
      <c r="AC254" s="344"/>
      <c r="AD254" s="344"/>
      <c r="AE254" s="344"/>
      <c r="AF254" s="344"/>
      <c r="AG254" s="344"/>
    </row>
    <row r="255">
      <c r="A255" s="408">
        <v>29.0</v>
      </c>
      <c r="B255" s="409" t="s">
        <v>868</v>
      </c>
      <c r="C255" s="358" t="s">
        <v>869</v>
      </c>
      <c r="D255" s="357">
        <v>2023.0</v>
      </c>
      <c r="E255" s="357" t="s">
        <v>851</v>
      </c>
      <c r="F255" s="412"/>
      <c r="G255" s="344"/>
      <c r="H255" s="344"/>
      <c r="I255" s="344"/>
      <c r="J255" s="344"/>
      <c r="K255" s="344"/>
      <c r="L255" s="344"/>
      <c r="M255" s="344"/>
      <c r="N255" s="344"/>
      <c r="O255" s="344"/>
      <c r="P255" s="344"/>
      <c r="Q255" s="344"/>
      <c r="R255" s="344"/>
      <c r="S255" s="344"/>
      <c r="T255" s="344"/>
      <c r="U255" s="344"/>
      <c r="V255" s="344"/>
      <c r="W255" s="344"/>
      <c r="X255" s="344"/>
      <c r="Y255" s="344"/>
      <c r="Z255" s="344"/>
      <c r="AA255" s="344"/>
      <c r="AB255" s="344"/>
      <c r="AC255" s="344"/>
      <c r="AD255" s="344"/>
      <c r="AE255" s="344"/>
      <c r="AF255" s="344"/>
      <c r="AG255" s="344"/>
    </row>
    <row r="256">
      <c r="A256" s="413">
        <v>30.0</v>
      </c>
      <c r="B256" s="414" t="s">
        <v>767</v>
      </c>
      <c r="C256" s="420" t="s">
        <v>870</v>
      </c>
      <c r="D256" s="421"/>
      <c r="E256" s="422" t="s">
        <v>851</v>
      </c>
      <c r="F256" s="412"/>
      <c r="G256" s="344"/>
      <c r="H256" s="344"/>
      <c r="I256" s="344"/>
      <c r="J256" s="344"/>
      <c r="K256" s="344"/>
      <c r="L256" s="344"/>
      <c r="M256" s="344"/>
      <c r="N256" s="344"/>
      <c r="O256" s="344"/>
      <c r="P256" s="344"/>
      <c r="Q256" s="344"/>
      <c r="R256" s="344"/>
      <c r="S256" s="344"/>
      <c r="T256" s="344"/>
      <c r="U256" s="344"/>
      <c r="V256" s="344"/>
      <c r="W256" s="344"/>
      <c r="X256" s="344"/>
      <c r="Y256" s="344"/>
      <c r="Z256" s="344"/>
      <c r="AA256" s="344"/>
      <c r="AB256" s="344"/>
      <c r="AC256" s="344"/>
      <c r="AD256" s="344"/>
      <c r="AE256" s="344"/>
      <c r="AF256" s="344"/>
      <c r="AG256" s="344"/>
    </row>
    <row r="257">
      <c r="A257" s="129"/>
      <c r="B257" s="129"/>
      <c r="C257" s="423" t="s">
        <v>871</v>
      </c>
      <c r="D257" s="421"/>
      <c r="E257" s="422" t="s">
        <v>854</v>
      </c>
      <c r="F257" s="412"/>
      <c r="G257" s="344"/>
      <c r="H257" s="344"/>
      <c r="I257" s="344"/>
      <c r="J257" s="344"/>
      <c r="K257" s="344"/>
      <c r="L257" s="344"/>
      <c r="M257" s="344"/>
      <c r="N257" s="344"/>
      <c r="O257" s="344"/>
      <c r="P257" s="344"/>
      <c r="Q257" s="344"/>
      <c r="R257" s="344"/>
      <c r="S257" s="344"/>
      <c r="T257" s="344"/>
      <c r="U257" s="344"/>
      <c r="V257" s="344"/>
      <c r="W257" s="344"/>
      <c r="X257" s="344"/>
      <c r="Y257" s="344"/>
      <c r="Z257" s="344"/>
      <c r="AA257" s="344"/>
      <c r="AB257" s="344"/>
      <c r="AC257" s="344"/>
      <c r="AD257" s="344"/>
      <c r="AE257" s="344"/>
      <c r="AF257" s="344"/>
      <c r="AG257" s="344"/>
    </row>
    <row r="258">
      <c r="A258" s="56"/>
      <c r="B258" s="56"/>
      <c r="C258" s="420" t="s">
        <v>850</v>
      </c>
      <c r="D258" s="421"/>
      <c r="E258" s="422" t="s">
        <v>851</v>
      </c>
      <c r="F258" s="412"/>
      <c r="G258" s="344"/>
      <c r="H258" s="344"/>
      <c r="I258" s="344"/>
      <c r="J258" s="344"/>
      <c r="K258" s="344"/>
      <c r="L258" s="344"/>
      <c r="M258" s="344"/>
      <c r="N258" s="344"/>
      <c r="O258" s="344"/>
      <c r="P258" s="344"/>
      <c r="Q258" s="344"/>
      <c r="R258" s="344"/>
      <c r="S258" s="344"/>
      <c r="T258" s="344"/>
      <c r="U258" s="344"/>
      <c r="V258" s="344"/>
      <c r="W258" s="344"/>
      <c r="X258" s="344"/>
      <c r="Y258" s="344"/>
      <c r="Z258" s="344"/>
      <c r="AA258" s="344"/>
      <c r="AB258" s="344"/>
      <c r="AC258" s="344"/>
      <c r="AD258" s="344"/>
      <c r="AE258" s="344"/>
      <c r="AF258" s="344"/>
      <c r="AG258" s="344"/>
    </row>
    <row r="259">
      <c r="A259" s="413">
        <v>31.0</v>
      </c>
      <c r="B259" s="414" t="s">
        <v>872</v>
      </c>
      <c r="C259" s="358" t="s">
        <v>857</v>
      </c>
      <c r="D259" s="357">
        <v>2020.0</v>
      </c>
      <c r="E259" s="357" t="s">
        <v>851</v>
      </c>
      <c r="F259" s="412"/>
      <c r="G259" s="344"/>
      <c r="H259" s="344"/>
      <c r="I259" s="344"/>
      <c r="J259" s="344"/>
      <c r="K259" s="344"/>
      <c r="L259" s="344"/>
      <c r="M259" s="344"/>
      <c r="N259" s="344"/>
      <c r="O259" s="344"/>
      <c r="P259" s="344"/>
      <c r="Q259" s="344"/>
      <c r="R259" s="344"/>
      <c r="S259" s="344"/>
      <c r="T259" s="344"/>
      <c r="U259" s="344"/>
      <c r="V259" s="344"/>
      <c r="W259" s="344"/>
      <c r="X259" s="344"/>
      <c r="Y259" s="344"/>
      <c r="Z259" s="344"/>
      <c r="AA259" s="344"/>
      <c r="AB259" s="344"/>
      <c r="AC259" s="344"/>
      <c r="AD259" s="344"/>
      <c r="AE259" s="344"/>
      <c r="AF259" s="344"/>
      <c r="AG259" s="344"/>
    </row>
    <row r="260">
      <c r="A260" s="56"/>
      <c r="B260" s="56"/>
      <c r="C260" s="358" t="s">
        <v>873</v>
      </c>
      <c r="D260" s="357">
        <v>2021.0</v>
      </c>
      <c r="E260" s="357" t="s">
        <v>854</v>
      </c>
      <c r="F260" s="412"/>
      <c r="G260" s="344"/>
      <c r="H260" s="344"/>
      <c r="I260" s="344"/>
      <c r="J260" s="344"/>
      <c r="K260" s="344"/>
      <c r="L260" s="344"/>
      <c r="M260" s="344"/>
      <c r="N260" s="344"/>
      <c r="O260" s="344"/>
      <c r="P260" s="344"/>
      <c r="Q260" s="344"/>
      <c r="R260" s="344"/>
      <c r="S260" s="344"/>
      <c r="T260" s="344"/>
      <c r="U260" s="344"/>
      <c r="V260" s="344"/>
      <c r="W260" s="344"/>
      <c r="X260" s="344"/>
      <c r="Y260" s="344"/>
      <c r="Z260" s="344"/>
      <c r="AA260" s="344"/>
      <c r="AB260" s="344"/>
      <c r="AC260" s="344"/>
      <c r="AD260" s="344"/>
      <c r="AE260" s="344"/>
      <c r="AF260" s="344"/>
      <c r="AG260" s="344"/>
    </row>
    <row r="261">
      <c r="A261" s="424">
        <v>32.0</v>
      </c>
      <c r="B261" s="415" t="s">
        <v>670</v>
      </c>
      <c r="C261" s="410"/>
      <c r="D261" s="411"/>
      <c r="E261" s="411"/>
      <c r="F261" s="412"/>
      <c r="G261" s="344"/>
      <c r="H261" s="344"/>
      <c r="I261" s="344"/>
      <c r="J261" s="344"/>
      <c r="K261" s="344"/>
      <c r="L261" s="344"/>
      <c r="M261" s="344"/>
      <c r="N261" s="344"/>
      <c r="O261" s="344"/>
      <c r="P261" s="344"/>
      <c r="Q261" s="344"/>
      <c r="R261" s="344"/>
      <c r="S261" s="344"/>
      <c r="T261" s="344"/>
      <c r="U261" s="344"/>
      <c r="V261" s="344"/>
      <c r="W261" s="344"/>
      <c r="X261" s="344"/>
      <c r="Y261" s="344"/>
      <c r="Z261" s="344"/>
      <c r="AA261" s="344"/>
      <c r="AB261" s="344"/>
      <c r="AC261" s="344"/>
      <c r="AD261" s="344"/>
      <c r="AE261" s="344"/>
      <c r="AF261" s="344"/>
      <c r="AG261" s="344"/>
    </row>
    <row r="262">
      <c r="A262" s="408">
        <v>33.0</v>
      </c>
      <c r="B262" s="409" t="s">
        <v>569</v>
      </c>
      <c r="C262" s="410"/>
      <c r="D262" s="411"/>
      <c r="E262" s="411"/>
      <c r="F262" s="412"/>
      <c r="G262" s="344"/>
      <c r="H262" s="344"/>
      <c r="I262" s="344"/>
      <c r="J262" s="344"/>
      <c r="K262" s="344"/>
      <c r="L262" s="344"/>
      <c r="M262" s="344"/>
      <c r="N262" s="344"/>
      <c r="O262" s="344"/>
      <c r="P262" s="344"/>
      <c r="Q262" s="344"/>
      <c r="R262" s="344"/>
      <c r="S262" s="344"/>
      <c r="T262" s="344"/>
      <c r="U262" s="344"/>
      <c r="V262" s="344"/>
      <c r="W262" s="344"/>
      <c r="X262" s="344"/>
      <c r="Y262" s="344"/>
      <c r="Z262" s="344"/>
      <c r="AA262" s="344"/>
      <c r="AB262" s="344"/>
      <c r="AC262" s="344"/>
      <c r="AD262" s="344"/>
      <c r="AE262" s="344"/>
      <c r="AF262" s="344"/>
      <c r="AG262" s="344"/>
    </row>
    <row r="263">
      <c r="A263" s="408">
        <v>34.0</v>
      </c>
      <c r="B263" s="415" t="s">
        <v>570</v>
      </c>
      <c r="C263" s="410"/>
      <c r="D263" s="411"/>
      <c r="E263" s="411"/>
      <c r="F263" s="412"/>
      <c r="G263" s="344"/>
      <c r="H263" s="344"/>
      <c r="I263" s="344"/>
      <c r="J263" s="344"/>
      <c r="K263" s="344"/>
      <c r="L263" s="344"/>
      <c r="M263" s="344"/>
      <c r="N263" s="344"/>
      <c r="O263" s="344"/>
      <c r="P263" s="344"/>
      <c r="Q263" s="344"/>
      <c r="R263" s="344"/>
      <c r="S263" s="344"/>
      <c r="T263" s="344"/>
      <c r="U263" s="344"/>
      <c r="V263" s="344"/>
      <c r="W263" s="344"/>
      <c r="X263" s="344"/>
      <c r="Y263" s="344"/>
      <c r="Z263" s="344"/>
      <c r="AA263" s="344"/>
      <c r="AB263" s="344"/>
      <c r="AC263" s="344"/>
      <c r="AD263" s="344"/>
      <c r="AE263" s="344"/>
      <c r="AF263" s="344"/>
      <c r="AG263" s="344"/>
    </row>
    <row r="264">
      <c r="A264" s="408">
        <v>35.0</v>
      </c>
      <c r="B264" s="415" t="s">
        <v>772</v>
      </c>
      <c r="C264" s="410"/>
      <c r="D264" s="411"/>
      <c r="E264" s="411"/>
      <c r="F264" s="412"/>
      <c r="G264" s="344"/>
      <c r="H264" s="344"/>
      <c r="I264" s="344"/>
      <c r="J264" s="344"/>
      <c r="K264" s="344"/>
      <c r="L264" s="344"/>
      <c r="M264" s="344"/>
      <c r="N264" s="344"/>
      <c r="O264" s="344"/>
      <c r="P264" s="344"/>
      <c r="Q264" s="344"/>
      <c r="R264" s="344"/>
      <c r="S264" s="344"/>
      <c r="T264" s="344"/>
      <c r="U264" s="344"/>
      <c r="V264" s="344"/>
      <c r="W264" s="344"/>
      <c r="X264" s="344"/>
      <c r="Y264" s="344"/>
      <c r="Z264" s="344"/>
      <c r="AA264" s="344"/>
      <c r="AB264" s="344"/>
      <c r="AC264" s="344"/>
      <c r="AD264" s="344"/>
      <c r="AE264" s="344"/>
      <c r="AF264" s="344"/>
      <c r="AG264" s="344"/>
    </row>
    <row r="265">
      <c r="A265" s="408">
        <v>36.0</v>
      </c>
      <c r="B265" s="415" t="s">
        <v>571</v>
      </c>
      <c r="C265" s="418" t="s">
        <v>874</v>
      </c>
      <c r="D265" s="419">
        <v>2021.0</v>
      </c>
      <c r="E265" s="419" t="s">
        <v>851</v>
      </c>
      <c r="F265" s="412"/>
      <c r="G265" s="344"/>
      <c r="H265" s="344"/>
      <c r="I265" s="344"/>
      <c r="J265" s="344"/>
      <c r="K265" s="344"/>
      <c r="L265" s="344"/>
      <c r="M265" s="344"/>
      <c r="N265" s="344"/>
      <c r="O265" s="344"/>
      <c r="P265" s="344"/>
      <c r="Q265" s="344"/>
      <c r="R265" s="344"/>
      <c r="S265" s="344"/>
      <c r="T265" s="344"/>
      <c r="U265" s="344"/>
      <c r="V265" s="344"/>
      <c r="W265" s="344"/>
      <c r="X265" s="344"/>
      <c r="Y265" s="344"/>
      <c r="Z265" s="344"/>
      <c r="AA265" s="344"/>
      <c r="AB265" s="344"/>
      <c r="AC265" s="344"/>
      <c r="AD265" s="344"/>
      <c r="AE265" s="344"/>
      <c r="AF265" s="344"/>
      <c r="AG265" s="344"/>
    </row>
    <row r="266">
      <c r="A266" s="408">
        <v>37.0</v>
      </c>
      <c r="B266" s="409" t="s">
        <v>775</v>
      </c>
      <c r="C266" s="410"/>
      <c r="D266" s="411"/>
      <c r="E266" s="411"/>
      <c r="F266" s="412"/>
      <c r="G266" s="344"/>
      <c r="H266" s="344"/>
      <c r="I266" s="344"/>
      <c r="J266" s="344"/>
      <c r="K266" s="344"/>
      <c r="L266" s="344"/>
      <c r="M266" s="344"/>
      <c r="N266" s="344"/>
      <c r="O266" s="344"/>
      <c r="P266" s="344"/>
      <c r="Q266" s="344"/>
      <c r="R266" s="344"/>
      <c r="S266" s="344"/>
      <c r="T266" s="344"/>
      <c r="U266" s="344"/>
      <c r="V266" s="344"/>
      <c r="W266" s="344"/>
      <c r="X266" s="344"/>
      <c r="Y266" s="344"/>
      <c r="Z266" s="344"/>
      <c r="AA266" s="344"/>
      <c r="AB266" s="344"/>
      <c r="AC266" s="344"/>
      <c r="AD266" s="344"/>
      <c r="AE266" s="344"/>
      <c r="AF266" s="344"/>
      <c r="AG266" s="344"/>
    </row>
    <row r="267">
      <c r="A267" s="408">
        <v>38.0</v>
      </c>
      <c r="B267" s="409" t="s">
        <v>777</v>
      </c>
      <c r="C267" s="410"/>
      <c r="D267" s="411"/>
      <c r="E267" s="411"/>
      <c r="F267" s="412"/>
      <c r="G267" s="344"/>
      <c r="H267" s="344"/>
      <c r="I267" s="344"/>
      <c r="J267" s="344"/>
      <c r="K267" s="344"/>
      <c r="L267" s="344"/>
      <c r="M267" s="344"/>
      <c r="N267" s="344"/>
      <c r="O267" s="344"/>
      <c r="P267" s="344"/>
      <c r="Q267" s="344"/>
      <c r="R267" s="344"/>
      <c r="S267" s="344"/>
      <c r="T267" s="344"/>
      <c r="U267" s="344"/>
      <c r="V267" s="344"/>
      <c r="W267" s="344"/>
      <c r="X267" s="344"/>
      <c r="Y267" s="344"/>
      <c r="Z267" s="344"/>
      <c r="AA267" s="344"/>
      <c r="AB267" s="344"/>
      <c r="AC267" s="344"/>
      <c r="AD267" s="344"/>
      <c r="AE267" s="344"/>
      <c r="AF267" s="344"/>
      <c r="AG267" s="344"/>
    </row>
    <row r="268">
      <c r="A268" s="408">
        <v>39.0</v>
      </c>
      <c r="B268" s="409" t="s">
        <v>574</v>
      </c>
      <c r="C268" s="358" t="s">
        <v>875</v>
      </c>
      <c r="D268" s="357">
        <v>2021.0</v>
      </c>
      <c r="E268" s="357" t="s">
        <v>851</v>
      </c>
      <c r="F268" s="412"/>
      <c r="G268" s="344"/>
      <c r="H268" s="344"/>
      <c r="I268" s="344"/>
      <c r="J268" s="344"/>
      <c r="K268" s="344"/>
      <c r="L268" s="344"/>
      <c r="M268" s="344"/>
      <c r="N268" s="344"/>
      <c r="O268" s="344"/>
      <c r="P268" s="344"/>
      <c r="Q268" s="344"/>
      <c r="R268" s="344"/>
      <c r="S268" s="344"/>
      <c r="T268" s="344"/>
      <c r="U268" s="344"/>
      <c r="V268" s="344"/>
      <c r="W268" s="344"/>
      <c r="X268" s="344"/>
      <c r="Y268" s="344"/>
      <c r="Z268" s="344"/>
      <c r="AA268" s="344"/>
      <c r="AB268" s="344"/>
      <c r="AC268" s="344"/>
      <c r="AD268" s="344"/>
      <c r="AE268" s="344"/>
      <c r="AF268" s="344"/>
      <c r="AG268" s="344"/>
    </row>
    <row r="269">
      <c r="A269" s="408">
        <v>40.0</v>
      </c>
      <c r="B269" s="409" t="s">
        <v>780</v>
      </c>
      <c r="C269" s="410"/>
      <c r="D269" s="411"/>
      <c r="E269" s="411"/>
      <c r="F269" s="412"/>
      <c r="G269" s="344"/>
      <c r="H269" s="344"/>
      <c r="I269" s="344"/>
      <c r="J269" s="344"/>
      <c r="K269" s="344"/>
      <c r="L269" s="344"/>
      <c r="M269" s="344"/>
      <c r="N269" s="344"/>
      <c r="O269" s="344"/>
      <c r="P269" s="344"/>
      <c r="Q269" s="344"/>
      <c r="R269" s="344"/>
      <c r="S269" s="344"/>
      <c r="T269" s="344"/>
      <c r="U269" s="344"/>
      <c r="V269" s="344"/>
      <c r="W269" s="344"/>
      <c r="X269" s="344"/>
      <c r="Y269" s="344"/>
      <c r="Z269" s="344"/>
      <c r="AA269" s="344"/>
      <c r="AB269" s="344"/>
      <c r="AC269" s="344"/>
      <c r="AD269" s="344"/>
      <c r="AE269" s="344"/>
      <c r="AF269" s="344"/>
      <c r="AG269" s="344"/>
    </row>
    <row r="270">
      <c r="A270" s="408">
        <v>41.0</v>
      </c>
      <c r="B270" s="415" t="s">
        <v>781</v>
      </c>
      <c r="C270" s="420" t="s">
        <v>850</v>
      </c>
      <c r="D270" s="421"/>
      <c r="E270" s="422" t="s">
        <v>851</v>
      </c>
      <c r="F270" s="412"/>
      <c r="G270" s="344"/>
      <c r="H270" s="344"/>
      <c r="I270" s="344"/>
      <c r="J270" s="344"/>
      <c r="K270" s="344"/>
      <c r="L270" s="344"/>
      <c r="M270" s="344"/>
      <c r="N270" s="344"/>
      <c r="O270" s="344"/>
      <c r="P270" s="344"/>
      <c r="Q270" s="344"/>
      <c r="R270" s="344"/>
      <c r="S270" s="344"/>
      <c r="T270" s="344"/>
      <c r="U270" s="344"/>
      <c r="V270" s="344"/>
      <c r="W270" s="344"/>
      <c r="X270" s="344"/>
      <c r="Y270" s="344"/>
      <c r="Z270" s="344"/>
      <c r="AA270" s="344"/>
      <c r="AB270" s="344"/>
      <c r="AC270" s="344"/>
      <c r="AD270" s="344"/>
      <c r="AE270" s="344"/>
      <c r="AF270" s="344"/>
      <c r="AG270" s="344"/>
    </row>
    <row r="271">
      <c r="A271" s="408">
        <v>42.0</v>
      </c>
      <c r="B271" s="415" t="s">
        <v>783</v>
      </c>
      <c r="C271" s="410"/>
      <c r="D271" s="411"/>
      <c r="E271" s="411"/>
      <c r="F271" s="412"/>
      <c r="G271" s="344"/>
      <c r="H271" s="344"/>
      <c r="I271" s="344"/>
      <c r="J271" s="344"/>
      <c r="K271" s="344"/>
      <c r="L271" s="344"/>
      <c r="M271" s="344"/>
      <c r="N271" s="344"/>
      <c r="O271" s="344"/>
      <c r="P271" s="344"/>
      <c r="Q271" s="344"/>
      <c r="R271" s="344"/>
      <c r="S271" s="344"/>
      <c r="T271" s="344"/>
      <c r="U271" s="344"/>
      <c r="V271" s="344"/>
      <c r="W271" s="344"/>
      <c r="X271" s="344"/>
      <c r="Y271" s="344"/>
      <c r="Z271" s="344"/>
      <c r="AA271" s="344"/>
      <c r="AB271" s="344"/>
      <c r="AC271" s="344"/>
      <c r="AD271" s="344"/>
      <c r="AE271" s="344"/>
      <c r="AF271" s="344"/>
      <c r="AG271" s="344"/>
    </row>
    <row r="272">
      <c r="A272" s="408">
        <v>43.0</v>
      </c>
      <c r="B272" s="409" t="s">
        <v>784</v>
      </c>
      <c r="C272" s="410"/>
      <c r="D272" s="411"/>
      <c r="E272" s="411"/>
      <c r="F272" s="412"/>
      <c r="G272" s="344"/>
      <c r="H272" s="344"/>
      <c r="I272" s="344"/>
      <c r="J272" s="344"/>
      <c r="K272" s="344"/>
      <c r="L272" s="344"/>
      <c r="M272" s="344"/>
      <c r="N272" s="344"/>
      <c r="O272" s="344"/>
      <c r="P272" s="344"/>
      <c r="Q272" s="344"/>
      <c r="R272" s="344"/>
      <c r="S272" s="344"/>
      <c r="T272" s="344"/>
      <c r="U272" s="344"/>
      <c r="V272" s="344"/>
      <c r="W272" s="344"/>
      <c r="X272" s="344"/>
      <c r="Y272" s="344"/>
      <c r="Z272" s="344"/>
      <c r="AA272" s="344"/>
      <c r="AB272" s="344"/>
      <c r="AC272" s="344"/>
      <c r="AD272" s="344"/>
      <c r="AE272" s="344"/>
      <c r="AF272" s="344"/>
      <c r="AG272" s="344"/>
    </row>
    <row r="273">
      <c r="A273" s="408">
        <v>44.0</v>
      </c>
      <c r="B273" s="409" t="s">
        <v>585</v>
      </c>
      <c r="C273" s="410"/>
      <c r="D273" s="411"/>
      <c r="E273" s="411"/>
      <c r="F273" s="412"/>
      <c r="G273" s="344"/>
      <c r="H273" s="344"/>
      <c r="I273" s="344"/>
      <c r="J273" s="344"/>
      <c r="K273" s="344"/>
      <c r="L273" s="344"/>
      <c r="M273" s="344"/>
      <c r="N273" s="344"/>
      <c r="O273" s="344"/>
      <c r="P273" s="344"/>
      <c r="Q273" s="344"/>
      <c r="R273" s="344"/>
      <c r="S273" s="344"/>
      <c r="T273" s="344"/>
      <c r="U273" s="344"/>
      <c r="V273" s="344"/>
      <c r="W273" s="344"/>
      <c r="X273" s="344"/>
      <c r="Y273" s="344"/>
      <c r="Z273" s="344"/>
      <c r="AA273" s="344"/>
      <c r="AB273" s="344"/>
      <c r="AC273" s="344"/>
      <c r="AD273" s="344"/>
      <c r="AE273" s="344"/>
      <c r="AF273" s="344"/>
      <c r="AG273" s="344"/>
    </row>
    <row r="274">
      <c r="A274" s="408">
        <v>45.0</v>
      </c>
      <c r="B274" s="409" t="s">
        <v>787</v>
      </c>
      <c r="C274" s="358" t="s">
        <v>866</v>
      </c>
      <c r="D274" s="357" t="s">
        <v>876</v>
      </c>
      <c r="E274" s="357" t="s">
        <v>854</v>
      </c>
      <c r="F274" s="412"/>
      <c r="G274" s="344"/>
      <c r="H274" s="344"/>
      <c r="I274" s="344"/>
      <c r="J274" s="344"/>
      <c r="K274" s="344"/>
      <c r="L274" s="344"/>
      <c r="M274" s="344"/>
      <c r="N274" s="344"/>
      <c r="O274" s="344"/>
      <c r="P274" s="344"/>
      <c r="Q274" s="344"/>
      <c r="R274" s="344"/>
      <c r="S274" s="344"/>
      <c r="T274" s="344"/>
      <c r="U274" s="344"/>
      <c r="V274" s="344"/>
      <c r="W274" s="344"/>
      <c r="X274" s="344"/>
      <c r="Y274" s="344"/>
      <c r="Z274" s="344"/>
      <c r="AA274" s="344"/>
      <c r="AB274" s="344"/>
      <c r="AC274" s="344"/>
      <c r="AD274" s="344"/>
      <c r="AE274" s="344"/>
      <c r="AF274" s="344"/>
      <c r="AG274" s="344"/>
    </row>
    <row r="275">
      <c r="A275" s="408">
        <v>46.0</v>
      </c>
      <c r="B275" s="409" t="s">
        <v>877</v>
      </c>
      <c r="C275" s="358" t="s">
        <v>866</v>
      </c>
      <c r="D275" s="357" t="s">
        <v>876</v>
      </c>
      <c r="E275" s="357" t="s">
        <v>854</v>
      </c>
      <c r="F275" s="412"/>
      <c r="G275" s="344"/>
      <c r="H275" s="344"/>
      <c r="I275" s="344"/>
      <c r="J275" s="344"/>
      <c r="K275" s="344"/>
      <c r="L275" s="344"/>
      <c r="M275" s="344"/>
      <c r="N275" s="344"/>
      <c r="O275" s="344"/>
      <c r="P275" s="344"/>
      <c r="Q275" s="344"/>
      <c r="R275" s="344"/>
      <c r="S275" s="344"/>
      <c r="T275" s="344"/>
      <c r="U275" s="344"/>
      <c r="V275" s="344"/>
      <c r="W275" s="344"/>
      <c r="X275" s="344"/>
      <c r="Y275" s="344"/>
      <c r="Z275" s="344"/>
      <c r="AA275" s="344"/>
      <c r="AB275" s="344"/>
      <c r="AC275" s="344"/>
      <c r="AD275" s="344"/>
      <c r="AE275" s="344"/>
      <c r="AF275" s="344"/>
      <c r="AG275" s="344"/>
    </row>
    <row r="276">
      <c r="A276" s="408">
        <v>47.0</v>
      </c>
      <c r="B276" s="409" t="s">
        <v>790</v>
      </c>
      <c r="C276" s="410"/>
      <c r="D276" s="411"/>
      <c r="E276" s="411"/>
      <c r="F276" s="412"/>
      <c r="G276" s="344"/>
      <c r="H276" s="344"/>
      <c r="I276" s="344"/>
      <c r="J276" s="344"/>
      <c r="K276" s="344"/>
      <c r="L276" s="344"/>
      <c r="M276" s="344"/>
      <c r="N276" s="344"/>
      <c r="O276" s="344"/>
      <c r="P276" s="344"/>
      <c r="Q276" s="344"/>
      <c r="R276" s="344"/>
      <c r="S276" s="344"/>
      <c r="T276" s="344"/>
      <c r="U276" s="344"/>
      <c r="V276" s="344"/>
      <c r="W276" s="344"/>
      <c r="X276" s="344"/>
      <c r="Y276" s="344"/>
      <c r="Z276" s="344"/>
      <c r="AA276" s="344"/>
      <c r="AB276" s="344"/>
      <c r="AC276" s="344"/>
      <c r="AD276" s="344"/>
      <c r="AE276" s="344"/>
      <c r="AF276" s="344"/>
      <c r="AG276" s="344"/>
    </row>
    <row r="277">
      <c r="A277" s="408">
        <v>48.0</v>
      </c>
      <c r="B277" s="409" t="s">
        <v>791</v>
      </c>
      <c r="C277" s="418" t="s">
        <v>857</v>
      </c>
      <c r="D277" s="419">
        <v>2019.0</v>
      </c>
      <c r="E277" s="419" t="s">
        <v>851</v>
      </c>
      <c r="F277" s="412"/>
      <c r="G277" s="344"/>
      <c r="H277" s="344"/>
      <c r="I277" s="344"/>
      <c r="J277" s="344"/>
      <c r="K277" s="344"/>
      <c r="L277" s="344"/>
      <c r="M277" s="344"/>
      <c r="N277" s="344"/>
      <c r="O277" s="344"/>
      <c r="P277" s="344"/>
      <c r="Q277" s="344"/>
      <c r="R277" s="344"/>
      <c r="S277" s="344"/>
      <c r="T277" s="344"/>
      <c r="U277" s="344"/>
      <c r="V277" s="344"/>
      <c r="W277" s="344"/>
      <c r="X277" s="344"/>
      <c r="Y277" s="344"/>
      <c r="Z277" s="344"/>
      <c r="AA277" s="344"/>
      <c r="AB277" s="344"/>
      <c r="AC277" s="344"/>
      <c r="AD277" s="344"/>
      <c r="AE277" s="344"/>
      <c r="AF277" s="344"/>
      <c r="AG277" s="344"/>
    </row>
    <row r="278">
      <c r="A278" s="408">
        <v>49.0</v>
      </c>
      <c r="B278" s="409" t="s">
        <v>692</v>
      </c>
      <c r="C278" s="358" t="s">
        <v>878</v>
      </c>
      <c r="D278" s="357">
        <v>2023.0</v>
      </c>
      <c r="E278" s="357" t="s">
        <v>851</v>
      </c>
      <c r="F278" s="412"/>
      <c r="G278" s="344"/>
      <c r="H278" s="344"/>
      <c r="I278" s="344"/>
      <c r="J278" s="344"/>
      <c r="K278" s="344"/>
      <c r="L278" s="344"/>
      <c r="M278" s="344"/>
      <c r="N278" s="344"/>
      <c r="O278" s="344"/>
      <c r="P278" s="344"/>
      <c r="Q278" s="344"/>
      <c r="R278" s="344"/>
      <c r="S278" s="344"/>
      <c r="T278" s="344"/>
      <c r="U278" s="344"/>
      <c r="V278" s="344"/>
      <c r="W278" s="344"/>
      <c r="X278" s="344"/>
      <c r="Y278" s="344"/>
      <c r="Z278" s="344"/>
      <c r="AA278" s="344"/>
      <c r="AB278" s="344"/>
      <c r="AC278" s="344"/>
      <c r="AD278" s="344"/>
      <c r="AE278" s="344"/>
      <c r="AF278" s="344"/>
      <c r="AG278" s="344"/>
    </row>
    <row r="279">
      <c r="A279" s="408">
        <v>50.0</v>
      </c>
      <c r="B279" s="415" t="s">
        <v>794</v>
      </c>
      <c r="C279" s="418" t="s">
        <v>857</v>
      </c>
      <c r="D279" s="419">
        <v>2019.0</v>
      </c>
      <c r="E279" s="419" t="s">
        <v>851</v>
      </c>
      <c r="F279" s="412"/>
      <c r="G279" s="344"/>
      <c r="H279" s="344"/>
      <c r="I279" s="344"/>
      <c r="J279" s="344"/>
      <c r="K279" s="344"/>
      <c r="L279" s="344"/>
      <c r="M279" s="344"/>
      <c r="N279" s="344"/>
      <c r="O279" s="344"/>
      <c r="P279" s="344"/>
      <c r="Q279" s="344"/>
      <c r="R279" s="344"/>
      <c r="S279" s="344"/>
      <c r="T279" s="344"/>
      <c r="U279" s="344"/>
      <c r="V279" s="344"/>
      <c r="W279" s="344"/>
      <c r="X279" s="344"/>
      <c r="Y279" s="344"/>
      <c r="Z279" s="344"/>
      <c r="AA279" s="344"/>
      <c r="AB279" s="344"/>
      <c r="AC279" s="344"/>
      <c r="AD279" s="344"/>
      <c r="AE279" s="344"/>
      <c r="AF279" s="344"/>
      <c r="AG279" s="344"/>
    </row>
    <row r="280">
      <c r="A280" s="413">
        <v>51.0</v>
      </c>
      <c r="B280" s="425" t="s">
        <v>796</v>
      </c>
      <c r="C280" s="418" t="s">
        <v>879</v>
      </c>
      <c r="D280" s="419">
        <v>2021.0</v>
      </c>
      <c r="E280" s="419" t="s">
        <v>854</v>
      </c>
      <c r="F280" s="412"/>
      <c r="G280" s="344"/>
      <c r="H280" s="344"/>
      <c r="I280" s="344"/>
      <c r="J280" s="344"/>
      <c r="K280" s="344"/>
      <c r="L280" s="344"/>
      <c r="M280" s="344"/>
      <c r="N280" s="344"/>
      <c r="O280" s="344"/>
      <c r="P280" s="344"/>
      <c r="Q280" s="344"/>
      <c r="R280" s="344"/>
      <c r="S280" s="344"/>
      <c r="T280" s="344"/>
      <c r="U280" s="344"/>
      <c r="V280" s="344"/>
      <c r="W280" s="344"/>
      <c r="X280" s="344"/>
      <c r="Y280" s="344"/>
      <c r="Z280" s="344"/>
      <c r="AA280" s="344"/>
      <c r="AB280" s="344"/>
      <c r="AC280" s="344"/>
      <c r="AD280" s="344"/>
      <c r="AE280" s="344"/>
      <c r="AF280" s="344"/>
      <c r="AG280" s="344"/>
    </row>
    <row r="281">
      <c r="A281" s="56"/>
      <c r="B281" s="56"/>
      <c r="C281" s="418" t="s">
        <v>875</v>
      </c>
      <c r="D281" s="419">
        <v>2020.0</v>
      </c>
      <c r="E281" s="419" t="s">
        <v>851</v>
      </c>
      <c r="F281" s="412"/>
      <c r="G281" s="344"/>
      <c r="H281" s="344"/>
      <c r="I281" s="344"/>
      <c r="J281" s="344"/>
      <c r="K281" s="344"/>
      <c r="L281" s="344"/>
      <c r="M281" s="344"/>
      <c r="N281" s="344"/>
      <c r="O281" s="344"/>
      <c r="P281" s="344"/>
      <c r="Q281" s="344"/>
      <c r="R281" s="344"/>
      <c r="S281" s="344"/>
      <c r="T281" s="344"/>
      <c r="U281" s="344"/>
      <c r="V281" s="344"/>
      <c r="W281" s="344"/>
      <c r="X281" s="344"/>
      <c r="Y281" s="344"/>
      <c r="Z281" s="344"/>
      <c r="AA281" s="344"/>
      <c r="AB281" s="344"/>
      <c r="AC281" s="344"/>
      <c r="AD281" s="344"/>
      <c r="AE281" s="344"/>
      <c r="AF281" s="344"/>
      <c r="AG281" s="344"/>
    </row>
    <row r="282">
      <c r="A282" s="408">
        <v>52.0</v>
      </c>
      <c r="B282" s="409" t="s">
        <v>797</v>
      </c>
      <c r="C282" s="416"/>
      <c r="D282" s="417"/>
      <c r="E282" s="417"/>
      <c r="F282" s="412"/>
      <c r="G282" s="344"/>
      <c r="H282" s="344"/>
      <c r="I282" s="344"/>
      <c r="J282" s="344"/>
      <c r="K282" s="344"/>
      <c r="L282" s="344"/>
      <c r="M282" s="344"/>
      <c r="N282" s="344"/>
      <c r="O282" s="344"/>
      <c r="P282" s="344"/>
      <c r="Q282" s="344"/>
      <c r="R282" s="344"/>
      <c r="S282" s="344"/>
      <c r="T282" s="344"/>
      <c r="U282" s="344"/>
      <c r="V282" s="344"/>
      <c r="W282" s="344"/>
      <c r="X282" s="344"/>
      <c r="Y282" s="344"/>
      <c r="Z282" s="344"/>
      <c r="AA282" s="344"/>
      <c r="AB282" s="344"/>
      <c r="AC282" s="344"/>
      <c r="AD282" s="344"/>
      <c r="AE282" s="344"/>
      <c r="AF282" s="344"/>
      <c r="AG282" s="344"/>
    </row>
    <row r="283">
      <c r="A283" s="408">
        <v>53.0</v>
      </c>
      <c r="B283" s="415" t="s">
        <v>595</v>
      </c>
      <c r="C283" s="416"/>
      <c r="D283" s="417"/>
      <c r="E283" s="417"/>
      <c r="F283" s="412"/>
      <c r="G283" s="344"/>
      <c r="H283" s="344"/>
      <c r="I283" s="344"/>
      <c r="J283" s="344"/>
      <c r="K283" s="344"/>
      <c r="L283" s="344"/>
      <c r="M283" s="344"/>
      <c r="N283" s="344"/>
      <c r="O283" s="344"/>
      <c r="P283" s="344"/>
      <c r="Q283" s="344"/>
      <c r="R283" s="344"/>
      <c r="S283" s="344"/>
      <c r="T283" s="344"/>
      <c r="U283" s="344"/>
      <c r="V283" s="344"/>
      <c r="W283" s="344"/>
      <c r="X283" s="344"/>
      <c r="Y283" s="344"/>
      <c r="Z283" s="344"/>
      <c r="AA283" s="344"/>
      <c r="AB283" s="344"/>
      <c r="AC283" s="344"/>
      <c r="AD283" s="344"/>
      <c r="AE283" s="344"/>
      <c r="AF283" s="344"/>
      <c r="AG283" s="344"/>
    </row>
    <row r="284">
      <c r="A284" s="408">
        <v>54.0</v>
      </c>
      <c r="B284" s="415" t="s">
        <v>597</v>
      </c>
      <c r="C284" s="416"/>
      <c r="D284" s="417"/>
      <c r="E284" s="417"/>
      <c r="F284" s="412"/>
      <c r="G284" s="344"/>
      <c r="H284" s="344"/>
      <c r="I284" s="344"/>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row>
    <row r="285">
      <c r="A285" s="408">
        <v>55.0</v>
      </c>
      <c r="B285" s="415" t="s">
        <v>799</v>
      </c>
      <c r="C285" s="416"/>
      <c r="D285" s="417"/>
      <c r="E285" s="417"/>
      <c r="F285" s="412"/>
      <c r="G285" s="344"/>
      <c r="H285" s="344"/>
      <c r="I285" s="344"/>
      <c r="J285" s="344"/>
      <c r="K285" s="344"/>
      <c r="L285" s="344"/>
      <c r="M285" s="344"/>
      <c r="N285" s="344"/>
      <c r="O285" s="344"/>
      <c r="P285" s="344"/>
      <c r="Q285" s="344"/>
      <c r="R285" s="344"/>
      <c r="S285" s="344"/>
      <c r="T285" s="344"/>
      <c r="U285" s="344"/>
      <c r="V285" s="344"/>
      <c r="W285" s="344"/>
      <c r="X285" s="344"/>
      <c r="Y285" s="344"/>
      <c r="Z285" s="344"/>
      <c r="AA285" s="344"/>
      <c r="AB285" s="344"/>
      <c r="AC285" s="344"/>
      <c r="AD285" s="344"/>
      <c r="AE285" s="344"/>
      <c r="AF285" s="344"/>
      <c r="AG285" s="344"/>
    </row>
    <row r="286">
      <c r="A286" s="408">
        <v>56.0</v>
      </c>
      <c r="B286" s="409" t="s">
        <v>598</v>
      </c>
      <c r="C286" s="358" t="s">
        <v>869</v>
      </c>
      <c r="D286" s="357">
        <v>2022.0</v>
      </c>
      <c r="E286" s="357" t="s">
        <v>851</v>
      </c>
      <c r="F286" s="412"/>
      <c r="G286" s="344"/>
      <c r="H286" s="344"/>
      <c r="I286" s="344"/>
      <c r="J286" s="344"/>
      <c r="K286" s="344"/>
      <c r="L286" s="344"/>
      <c r="M286" s="344"/>
      <c r="N286" s="344"/>
      <c r="O286" s="344"/>
      <c r="P286" s="344"/>
      <c r="Q286" s="344"/>
      <c r="R286" s="344"/>
      <c r="S286" s="344"/>
      <c r="T286" s="344"/>
      <c r="U286" s="344"/>
      <c r="V286" s="344"/>
      <c r="W286" s="344"/>
      <c r="X286" s="344"/>
      <c r="Y286" s="344"/>
      <c r="Z286" s="344"/>
      <c r="AA286" s="344"/>
      <c r="AB286" s="344"/>
      <c r="AC286" s="344"/>
      <c r="AD286" s="344"/>
      <c r="AE286" s="344"/>
      <c r="AF286" s="344"/>
      <c r="AG286" s="344"/>
    </row>
    <row r="287">
      <c r="A287" s="413">
        <v>57.0</v>
      </c>
      <c r="B287" s="414" t="s">
        <v>800</v>
      </c>
      <c r="C287" s="358" t="s">
        <v>873</v>
      </c>
      <c r="D287" s="357">
        <v>2021.0</v>
      </c>
      <c r="E287" s="357" t="s">
        <v>854</v>
      </c>
      <c r="F287" s="412"/>
      <c r="G287" s="344"/>
      <c r="H287" s="344"/>
      <c r="I287" s="344"/>
      <c r="J287" s="344"/>
      <c r="K287" s="344"/>
      <c r="L287" s="344"/>
      <c r="M287" s="344"/>
      <c r="N287" s="344"/>
      <c r="O287" s="344"/>
      <c r="P287" s="344"/>
      <c r="Q287" s="344"/>
      <c r="R287" s="344"/>
      <c r="S287" s="344"/>
      <c r="T287" s="344"/>
      <c r="U287" s="344"/>
      <c r="V287" s="344"/>
      <c r="W287" s="344"/>
      <c r="X287" s="344"/>
      <c r="Y287" s="344"/>
      <c r="Z287" s="344"/>
      <c r="AA287" s="344"/>
      <c r="AB287" s="344"/>
      <c r="AC287" s="344"/>
      <c r="AD287" s="344"/>
      <c r="AE287" s="344"/>
      <c r="AF287" s="344"/>
      <c r="AG287" s="344"/>
    </row>
    <row r="288">
      <c r="A288" s="56"/>
      <c r="B288" s="56"/>
      <c r="C288" s="358" t="s">
        <v>880</v>
      </c>
      <c r="D288" s="357">
        <v>2021.0</v>
      </c>
      <c r="E288" s="357" t="s">
        <v>854</v>
      </c>
      <c r="F288" s="412"/>
      <c r="G288" s="344"/>
      <c r="H288" s="344"/>
      <c r="I288" s="344"/>
      <c r="J288" s="344"/>
      <c r="K288" s="344"/>
      <c r="L288" s="344"/>
      <c r="M288" s="344"/>
      <c r="N288" s="344"/>
      <c r="O288" s="344"/>
      <c r="P288" s="344"/>
      <c r="Q288" s="344"/>
      <c r="R288" s="344"/>
      <c r="S288" s="344"/>
      <c r="T288" s="344"/>
      <c r="U288" s="344"/>
      <c r="V288" s="344"/>
      <c r="W288" s="344"/>
      <c r="X288" s="344"/>
      <c r="Y288" s="344"/>
      <c r="Z288" s="344"/>
      <c r="AA288" s="344"/>
      <c r="AB288" s="344"/>
      <c r="AC288" s="344"/>
      <c r="AD288" s="344"/>
      <c r="AE288" s="344"/>
      <c r="AF288" s="344"/>
      <c r="AG288" s="344"/>
    </row>
    <row r="289">
      <c r="A289" s="408">
        <v>58.0</v>
      </c>
      <c r="B289" s="409" t="s">
        <v>881</v>
      </c>
      <c r="C289" s="418" t="s">
        <v>857</v>
      </c>
      <c r="D289" s="419">
        <v>2019.0</v>
      </c>
      <c r="E289" s="419" t="s">
        <v>851</v>
      </c>
      <c r="F289" s="412"/>
      <c r="G289" s="344"/>
      <c r="H289" s="344"/>
      <c r="I289" s="344"/>
      <c r="J289" s="344"/>
      <c r="K289" s="344"/>
      <c r="L289" s="344"/>
      <c r="M289" s="344"/>
      <c r="N289" s="344"/>
      <c r="O289" s="344"/>
      <c r="P289" s="344"/>
      <c r="Q289" s="344"/>
      <c r="R289" s="344"/>
      <c r="S289" s="344"/>
      <c r="T289" s="344"/>
      <c r="U289" s="344"/>
      <c r="V289" s="344"/>
      <c r="W289" s="344"/>
      <c r="X289" s="344"/>
      <c r="Y289" s="344"/>
      <c r="Z289" s="344"/>
      <c r="AA289" s="344"/>
      <c r="AB289" s="344"/>
      <c r="AC289" s="344"/>
      <c r="AD289" s="344"/>
      <c r="AE289" s="344"/>
      <c r="AF289" s="344"/>
      <c r="AG289" s="344"/>
    </row>
    <row r="290">
      <c r="A290" s="408">
        <v>59.0</v>
      </c>
      <c r="B290" s="415" t="s">
        <v>805</v>
      </c>
      <c r="C290" s="416"/>
      <c r="D290" s="417"/>
      <c r="E290" s="417"/>
      <c r="F290" s="412"/>
      <c r="G290" s="344"/>
      <c r="H290" s="344"/>
      <c r="I290" s="344"/>
      <c r="J290" s="344"/>
      <c r="K290" s="344"/>
      <c r="L290" s="344"/>
      <c r="M290" s="344"/>
      <c r="N290" s="344"/>
      <c r="O290" s="344"/>
      <c r="P290" s="344"/>
      <c r="Q290" s="344"/>
      <c r="R290" s="344"/>
      <c r="S290" s="344"/>
      <c r="T290" s="344"/>
      <c r="U290" s="344"/>
      <c r="V290" s="344"/>
      <c r="W290" s="344"/>
      <c r="X290" s="344"/>
      <c r="Y290" s="344"/>
      <c r="Z290" s="344"/>
      <c r="AA290" s="344"/>
      <c r="AB290" s="344"/>
      <c r="AC290" s="344"/>
      <c r="AD290" s="344"/>
      <c r="AE290" s="344"/>
      <c r="AF290" s="344"/>
      <c r="AG290" s="344"/>
    </row>
    <row r="291">
      <c r="A291" s="413">
        <v>60.0</v>
      </c>
      <c r="B291" s="425" t="s">
        <v>806</v>
      </c>
      <c r="C291" s="418" t="s">
        <v>882</v>
      </c>
      <c r="D291" s="419">
        <v>2022.0</v>
      </c>
      <c r="E291" s="422" t="s">
        <v>854</v>
      </c>
      <c r="F291" s="412"/>
      <c r="G291" s="344"/>
      <c r="H291" s="344"/>
      <c r="I291" s="344"/>
      <c r="J291" s="344"/>
      <c r="K291" s="344"/>
      <c r="L291" s="344"/>
      <c r="M291" s="344"/>
      <c r="N291" s="344"/>
      <c r="O291" s="344"/>
      <c r="P291" s="344"/>
      <c r="Q291" s="344"/>
      <c r="R291" s="344"/>
      <c r="S291" s="344"/>
      <c r="T291" s="344"/>
      <c r="U291" s="344"/>
      <c r="V291" s="344"/>
      <c r="W291" s="344"/>
      <c r="X291" s="344"/>
      <c r="Y291" s="344"/>
      <c r="Z291" s="344"/>
      <c r="AA291" s="344"/>
      <c r="AB291" s="344"/>
      <c r="AC291" s="344"/>
      <c r="AD291" s="344"/>
      <c r="AE291" s="344"/>
      <c r="AF291" s="344"/>
      <c r="AG291" s="344"/>
    </row>
    <row r="292">
      <c r="A292" s="56"/>
      <c r="B292" s="56"/>
      <c r="C292" s="418" t="s">
        <v>883</v>
      </c>
      <c r="D292" s="419">
        <v>2022.0</v>
      </c>
      <c r="E292" s="419" t="s">
        <v>851</v>
      </c>
      <c r="F292" s="412"/>
      <c r="G292" s="344"/>
      <c r="H292" s="344"/>
      <c r="I292" s="344"/>
      <c r="J292" s="344"/>
      <c r="K292" s="344"/>
      <c r="L292" s="344"/>
      <c r="M292" s="344"/>
      <c r="N292" s="344"/>
      <c r="O292" s="344"/>
      <c r="P292" s="344"/>
      <c r="Q292" s="344"/>
      <c r="R292" s="344"/>
      <c r="S292" s="344"/>
      <c r="T292" s="344"/>
      <c r="U292" s="344"/>
      <c r="V292" s="344"/>
      <c r="W292" s="344"/>
      <c r="X292" s="344"/>
      <c r="Y292" s="344"/>
      <c r="Z292" s="344"/>
      <c r="AA292" s="344"/>
      <c r="AB292" s="344"/>
      <c r="AC292" s="344"/>
      <c r="AD292" s="344"/>
      <c r="AE292" s="344"/>
      <c r="AF292" s="344"/>
      <c r="AG292" s="344"/>
    </row>
    <row r="293">
      <c r="A293" s="408">
        <v>61.0</v>
      </c>
      <c r="B293" s="415" t="s">
        <v>600</v>
      </c>
      <c r="C293" s="418" t="s">
        <v>857</v>
      </c>
      <c r="D293" s="419">
        <v>2019.0</v>
      </c>
      <c r="E293" s="419" t="s">
        <v>851</v>
      </c>
      <c r="F293" s="412"/>
      <c r="G293" s="344"/>
      <c r="H293" s="344"/>
      <c r="I293" s="344"/>
      <c r="J293" s="344"/>
      <c r="K293" s="344"/>
      <c r="L293" s="344"/>
      <c r="M293" s="344"/>
      <c r="N293" s="344"/>
      <c r="O293" s="344"/>
      <c r="P293" s="344"/>
      <c r="Q293" s="344"/>
      <c r="R293" s="344"/>
      <c r="S293" s="344"/>
      <c r="T293" s="344"/>
      <c r="U293" s="344"/>
      <c r="V293" s="344"/>
      <c r="W293" s="344"/>
      <c r="X293" s="344"/>
      <c r="Y293" s="344"/>
      <c r="Z293" s="344"/>
      <c r="AA293" s="344"/>
      <c r="AB293" s="344"/>
      <c r="AC293" s="344"/>
      <c r="AD293" s="344"/>
      <c r="AE293" s="344"/>
      <c r="AF293" s="344"/>
      <c r="AG293" s="344"/>
    </row>
    <row r="294">
      <c r="A294" s="408">
        <v>62.0</v>
      </c>
      <c r="B294" s="415" t="s">
        <v>712</v>
      </c>
      <c r="C294" s="416"/>
      <c r="D294" s="417"/>
      <c r="E294" s="417"/>
      <c r="F294" s="412"/>
      <c r="G294" s="344"/>
      <c r="H294" s="344"/>
      <c r="I294" s="344"/>
      <c r="J294" s="344"/>
      <c r="K294" s="344"/>
      <c r="L294" s="344"/>
      <c r="M294" s="344"/>
      <c r="N294" s="344"/>
      <c r="O294" s="344"/>
      <c r="P294" s="344"/>
      <c r="Q294" s="344"/>
      <c r="R294" s="344"/>
      <c r="S294" s="344"/>
      <c r="T294" s="344"/>
      <c r="U294" s="344"/>
      <c r="V294" s="344"/>
      <c r="W294" s="344"/>
      <c r="X294" s="344"/>
      <c r="Y294" s="344"/>
      <c r="Z294" s="344"/>
      <c r="AA294" s="344"/>
      <c r="AB294" s="344"/>
      <c r="AC294" s="344"/>
      <c r="AD294" s="344"/>
      <c r="AE294" s="344"/>
      <c r="AF294" s="344"/>
      <c r="AG294" s="344"/>
    </row>
    <row r="295">
      <c r="A295" s="408">
        <v>63.0</v>
      </c>
      <c r="B295" s="415" t="s">
        <v>807</v>
      </c>
      <c r="C295" s="418" t="s">
        <v>857</v>
      </c>
      <c r="D295" s="419">
        <v>2019.0</v>
      </c>
      <c r="E295" s="419" t="s">
        <v>851</v>
      </c>
      <c r="F295" s="412"/>
      <c r="G295" s="344"/>
      <c r="H295" s="344"/>
      <c r="I295" s="344"/>
      <c r="J295" s="344"/>
      <c r="K295" s="344"/>
      <c r="L295" s="344"/>
      <c r="M295" s="344"/>
      <c r="N295" s="344"/>
      <c r="O295" s="344"/>
      <c r="P295" s="344"/>
      <c r="Q295" s="344"/>
      <c r="R295" s="344"/>
      <c r="S295" s="344"/>
      <c r="T295" s="344"/>
      <c r="U295" s="344"/>
      <c r="V295" s="344"/>
      <c r="W295" s="344"/>
      <c r="X295" s="344"/>
      <c r="Y295" s="344"/>
      <c r="Z295" s="344"/>
      <c r="AA295" s="344"/>
      <c r="AB295" s="344"/>
      <c r="AC295" s="344"/>
      <c r="AD295" s="344"/>
      <c r="AE295" s="344"/>
      <c r="AF295" s="344"/>
      <c r="AG295" s="344"/>
    </row>
    <row r="296">
      <c r="A296" s="413">
        <v>64.0</v>
      </c>
      <c r="B296" s="414" t="s">
        <v>884</v>
      </c>
      <c r="C296" s="418" t="s">
        <v>869</v>
      </c>
      <c r="D296" s="419">
        <v>2019.0</v>
      </c>
      <c r="E296" s="419" t="s">
        <v>851</v>
      </c>
      <c r="F296" s="412"/>
      <c r="G296" s="344"/>
      <c r="H296" s="344"/>
      <c r="I296" s="344"/>
      <c r="J296" s="344"/>
      <c r="K296" s="344"/>
      <c r="L296" s="344"/>
      <c r="M296" s="344"/>
      <c r="N296" s="344"/>
      <c r="O296" s="344"/>
      <c r="P296" s="344"/>
      <c r="Q296" s="344"/>
      <c r="R296" s="344"/>
      <c r="S296" s="344"/>
      <c r="T296" s="344"/>
      <c r="U296" s="344"/>
      <c r="V296" s="344"/>
      <c r="W296" s="344"/>
      <c r="X296" s="344"/>
      <c r="Y296" s="344"/>
      <c r="Z296" s="344"/>
      <c r="AA296" s="344"/>
      <c r="AB296" s="344"/>
      <c r="AC296" s="344"/>
      <c r="AD296" s="344"/>
      <c r="AE296" s="344"/>
      <c r="AF296" s="344"/>
      <c r="AG296" s="344"/>
    </row>
    <row r="297">
      <c r="A297" s="56"/>
      <c r="B297" s="56"/>
      <c r="C297" s="418" t="s">
        <v>857</v>
      </c>
      <c r="D297" s="419">
        <v>2019.0</v>
      </c>
      <c r="E297" s="419" t="s">
        <v>851</v>
      </c>
      <c r="F297" s="412"/>
      <c r="G297" s="344"/>
      <c r="H297" s="344"/>
      <c r="I297" s="344"/>
      <c r="J297" s="344"/>
      <c r="K297" s="344"/>
      <c r="L297" s="344"/>
      <c r="M297" s="344"/>
      <c r="N297" s="344"/>
      <c r="O297" s="344"/>
      <c r="P297" s="344"/>
      <c r="Q297" s="344"/>
      <c r="R297" s="344"/>
      <c r="S297" s="344"/>
      <c r="T297" s="344"/>
      <c r="U297" s="344"/>
      <c r="V297" s="344"/>
      <c r="W297" s="344"/>
      <c r="X297" s="344"/>
      <c r="Y297" s="344"/>
      <c r="Z297" s="344"/>
      <c r="AA297" s="344"/>
      <c r="AB297" s="344"/>
      <c r="AC297" s="344"/>
      <c r="AD297" s="344"/>
      <c r="AE297" s="344"/>
      <c r="AF297" s="344"/>
      <c r="AG297" s="344"/>
    </row>
    <row r="298">
      <c r="A298" s="408">
        <v>65.0</v>
      </c>
      <c r="B298" s="409" t="s">
        <v>811</v>
      </c>
      <c r="C298" s="418" t="s">
        <v>885</v>
      </c>
      <c r="D298" s="419">
        <v>2021.0</v>
      </c>
      <c r="E298" s="419" t="s">
        <v>851</v>
      </c>
      <c r="F298" s="412"/>
      <c r="G298" s="344"/>
      <c r="H298" s="344"/>
      <c r="I298" s="344"/>
      <c r="J298" s="344"/>
      <c r="K298" s="344"/>
      <c r="L298" s="344"/>
      <c r="M298" s="344"/>
      <c r="N298" s="344"/>
      <c r="O298" s="344"/>
      <c r="P298" s="344"/>
      <c r="Q298" s="344"/>
      <c r="R298" s="344"/>
      <c r="S298" s="344"/>
      <c r="T298" s="344"/>
      <c r="U298" s="344"/>
      <c r="V298" s="344"/>
      <c r="W298" s="344"/>
      <c r="X298" s="344"/>
      <c r="Y298" s="344"/>
      <c r="Z298" s="344"/>
      <c r="AA298" s="344"/>
      <c r="AB298" s="344"/>
      <c r="AC298" s="344"/>
      <c r="AD298" s="344"/>
      <c r="AE298" s="344"/>
      <c r="AF298" s="344"/>
      <c r="AG298" s="344"/>
    </row>
    <row r="299">
      <c r="A299" s="408">
        <v>66.0</v>
      </c>
      <c r="B299" s="409" t="s">
        <v>886</v>
      </c>
      <c r="C299" s="358" t="s">
        <v>866</v>
      </c>
      <c r="D299" s="357">
        <v>2020.0</v>
      </c>
      <c r="E299" s="357" t="s">
        <v>854</v>
      </c>
      <c r="F299" s="412"/>
      <c r="G299" s="344"/>
      <c r="H299" s="344"/>
      <c r="I299" s="344"/>
      <c r="J299" s="344"/>
      <c r="K299" s="344"/>
      <c r="L299" s="344"/>
      <c r="M299" s="344"/>
      <c r="N299" s="344"/>
      <c r="O299" s="344"/>
      <c r="P299" s="344"/>
      <c r="Q299" s="344"/>
      <c r="R299" s="344"/>
      <c r="S299" s="344"/>
      <c r="T299" s="344"/>
      <c r="U299" s="344"/>
      <c r="V299" s="344"/>
      <c r="W299" s="344"/>
      <c r="X299" s="344"/>
      <c r="Y299" s="344"/>
      <c r="Z299" s="344"/>
      <c r="AA299" s="344"/>
      <c r="AB299" s="344"/>
      <c r="AC299" s="344"/>
      <c r="AD299" s="344"/>
      <c r="AE299" s="344"/>
      <c r="AF299" s="344"/>
      <c r="AG299" s="344"/>
    </row>
    <row r="300">
      <c r="A300" s="408">
        <v>67.0</v>
      </c>
      <c r="B300" s="409" t="s">
        <v>814</v>
      </c>
      <c r="C300" s="410"/>
      <c r="D300" s="411"/>
      <c r="E300" s="411"/>
      <c r="F300" s="412"/>
      <c r="G300" s="344"/>
      <c r="H300" s="344"/>
      <c r="I300" s="344"/>
      <c r="J300" s="344"/>
      <c r="K300" s="344"/>
      <c r="L300" s="344"/>
      <c r="M300" s="344"/>
      <c r="N300" s="344"/>
      <c r="O300" s="344"/>
      <c r="P300" s="344"/>
      <c r="Q300" s="344"/>
      <c r="R300" s="344"/>
      <c r="S300" s="344"/>
      <c r="T300" s="344"/>
      <c r="U300" s="344"/>
      <c r="V300" s="344"/>
      <c r="W300" s="344"/>
      <c r="X300" s="344"/>
      <c r="Y300" s="344"/>
      <c r="Z300" s="344"/>
      <c r="AA300" s="344"/>
      <c r="AB300" s="344"/>
      <c r="AC300" s="344"/>
      <c r="AD300" s="344"/>
      <c r="AE300" s="344"/>
      <c r="AF300" s="344"/>
      <c r="AG300" s="344"/>
    </row>
    <row r="301">
      <c r="A301" s="408">
        <v>68.0</v>
      </c>
      <c r="B301" s="409" t="s">
        <v>606</v>
      </c>
      <c r="C301" s="358" t="s">
        <v>887</v>
      </c>
      <c r="D301" s="411"/>
      <c r="E301" s="357" t="s">
        <v>851</v>
      </c>
      <c r="F301" s="412"/>
      <c r="G301" s="344"/>
      <c r="H301" s="344"/>
      <c r="I301" s="344"/>
      <c r="J301" s="344"/>
      <c r="K301" s="344"/>
      <c r="L301" s="344"/>
      <c r="M301" s="344"/>
      <c r="N301" s="344"/>
      <c r="O301" s="344"/>
      <c r="P301" s="344"/>
      <c r="Q301" s="344"/>
      <c r="R301" s="344"/>
      <c r="S301" s="344"/>
      <c r="T301" s="344"/>
      <c r="U301" s="344"/>
      <c r="V301" s="344"/>
      <c r="W301" s="344"/>
      <c r="X301" s="344"/>
      <c r="Y301" s="344"/>
      <c r="Z301" s="344"/>
      <c r="AA301" s="344"/>
      <c r="AB301" s="344"/>
      <c r="AC301" s="344"/>
      <c r="AD301" s="344"/>
      <c r="AE301" s="344"/>
      <c r="AF301" s="344"/>
      <c r="AG301" s="344"/>
    </row>
    <row r="302">
      <c r="A302" s="413">
        <v>69.0</v>
      </c>
      <c r="B302" s="414" t="s">
        <v>843</v>
      </c>
      <c r="C302" s="358" t="s">
        <v>875</v>
      </c>
      <c r="D302" s="357">
        <v>2021.0</v>
      </c>
      <c r="E302" s="357" t="s">
        <v>851</v>
      </c>
      <c r="F302" s="412"/>
      <c r="G302" s="344"/>
      <c r="H302" s="344"/>
      <c r="I302" s="344"/>
      <c r="J302" s="344"/>
      <c r="K302" s="344"/>
      <c r="L302" s="344"/>
      <c r="M302" s="344"/>
      <c r="N302" s="344"/>
      <c r="O302" s="344"/>
      <c r="P302" s="344"/>
      <c r="Q302" s="344"/>
      <c r="R302" s="344"/>
      <c r="S302" s="344"/>
      <c r="T302" s="344"/>
      <c r="U302" s="344"/>
      <c r="V302" s="344"/>
      <c r="W302" s="344"/>
      <c r="X302" s="344"/>
      <c r="Y302" s="344"/>
      <c r="Z302" s="344"/>
      <c r="AA302" s="344"/>
      <c r="AB302" s="344"/>
      <c r="AC302" s="344"/>
      <c r="AD302" s="344"/>
      <c r="AE302" s="344"/>
      <c r="AF302" s="344"/>
      <c r="AG302" s="344"/>
    </row>
    <row r="303">
      <c r="A303" s="129"/>
      <c r="B303" s="129"/>
      <c r="C303" s="358" t="s">
        <v>888</v>
      </c>
      <c r="D303" s="357">
        <v>2022.0</v>
      </c>
      <c r="E303" s="357" t="s">
        <v>854</v>
      </c>
      <c r="F303" s="412"/>
      <c r="G303" s="344"/>
      <c r="H303" s="344"/>
      <c r="I303" s="344"/>
      <c r="J303" s="344"/>
      <c r="K303" s="344"/>
      <c r="L303" s="344"/>
      <c r="M303" s="344"/>
      <c r="N303" s="344"/>
      <c r="O303" s="344"/>
      <c r="P303" s="344"/>
      <c r="Q303" s="344"/>
      <c r="R303" s="344"/>
      <c r="S303" s="344"/>
      <c r="T303" s="344"/>
      <c r="U303" s="344"/>
      <c r="V303" s="344"/>
      <c r="W303" s="344"/>
      <c r="X303" s="344"/>
      <c r="Y303" s="344"/>
      <c r="Z303" s="344"/>
      <c r="AA303" s="344"/>
      <c r="AB303" s="344"/>
      <c r="AC303" s="344"/>
      <c r="AD303" s="344"/>
      <c r="AE303" s="344"/>
      <c r="AF303" s="344"/>
      <c r="AG303" s="344"/>
    </row>
    <row r="304">
      <c r="A304" s="56"/>
      <c r="B304" s="56"/>
      <c r="C304" s="418" t="s">
        <v>889</v>
      </c>
      <c r="D304" s="419" t="s">
        <v>890</v>
      </c>
      <c r="E304" s="426" t="s">
        <v>851</v>
      </c>
      <c r="F304" s="193" t="s">
        <v>891</v>
      </c>
      <c r="G304" s="344"/>
      <c r="H304" s="344"/>
      <c r="I304" s="344"/>
      <c r="J304" s="344"/>
      <c r="K304" s="344"/>
      <c r="L304" s="344"/>
      <c r="M304" s="344"/>
      <c r="N304" s="344"/>
      <c r="O304" s="344"/>
      <c r="P304" s="344"/>
      <c r="Q304" s="344"/>
      <c r="R304" s="344"/>
      <c r="S304" s="344"/>
      <c r="T304" s="344"/>
      <c r="U304" s="344"/>
      <c r="V304" s="344"/>
      <c r="W304" s="344"/>
      <c r="X304" s="344"/>
      <c r="Y304" s="344"/>
      <c r="Z304" s="344"/>
      <c r="AA304" s="344"/>
      <c r="AB304" s="344"/>
      <c r="AC304" s="344"/>
      <c r="AD304" s="344"/>
      <c r="AE304" s="344"/>
      <c r="AF304" s="344"/>
      <c r="AG304" s="344"/>
    </row>
    <row r="305">
      <c r="A305" s="357">
        <v>70.0</v>
      </c>
      <c r="B305" s="427" t="s">
        <v>607</v>
      </c>
      <c r="C305" s="418" t="s">
        <v>857</v>
      </c>
      <c r="D305" s="419">
        <v>2019.0</v>
      </c>
      <c r="E305" s="426" t="s">
        <v>851</v>
      </c>
      <c r="F305" s="412"/>
      <c r="G305" s="344"/>
      <c r="H305" s="344"/>
      <c r="I305" s="344"/>
      <c r="J305" s="344"/>
      <c r="K305" s="344"/>
      <c r="L305" s="344"/>
      <c r="M305" s="344"/>
      <c r="N305" s="344"/>
      <c r="O305" s="344"/>
      <c r="P305" s="344"/>
      <c r="Q305" s="344"/>
      <c r="R305" s="344"/>
      <c r="S305" s="344"/>
      <c r="T305" s="344"/>
      <c r="U305" s="344"/>
      <c r="V305" s="344"/>
      <c r="W305" s="344"/>
      <c r="X305" s="344"/>
      <c r="Y305" s="344"/>
      <c r="Z305" s="344"/>
      <c r="AA305" s="344"/>
      <c r="AB305" s="344"/>
      <c r="AC305" s="344"/>
      <c r="AD305" s="344"/>
      <c r="AE305" s="344"/>
      <c r="AF305" s="344"/>
      <c r="AG305" s="344"/>
    </row>
    <row r="306">
      <c r="A306" s="413">
        <v>71.0</v>
      </c>
      <c r="B306" s="425" t="s">
        <v>608</v>
      </c>
      <c r="C306" s="418" t="s">
        <v>869</v>
      </c>
      <c r="D306" s="419">
        <v>2020.0</v>
      </c>
      <c r="E306" s="426" t="s">
        <v>851</v>
      </c>
      <c r="F306" s="412"/>
      <c r="G306" s="344"/>
      <c r="H306" s="344"/>
      <c r="I306" s="344"/>
      <c r="J306" s="344"/>
      <c r="K306" s="344"/>
      <c r="L306" s="344"/>
      <c r="M306" s="344"/>
      <c r="N306" s="344"/>
      <c r="O306" s="344"/>
      <c r="P306" s="344"/>
      <c r="Q306" s="344"/>
      <c r="R306" s="344"/>
      <c r="S306" s="344"/>
      <c r="T306" s="344"/>
      <c r="U306" s="344"/>
      <c r="V306" s="344"/>
      <c r="W306" s="344"/>
      <c r="X306" s="344"/>
      <c r="Y306" s="344"/>
      <c r="Z306" s="344"/>
      <c r="AA306" s="344"/>
      <c r="AB306" s="344"/>
      <c r="AC306" s="344"/>
      <c r="AD306" s="344"/>
      <c r="AE306" s="344"/>
      <c r="AF306" s="344"/>
      <c r="AG306" s="344"/>
    </row>
    <row r="307">
      <c r="A307" s="129"/>
      <c r="B307" s="129"/>
      <c r="C307" s="418" t="s">
        <v>857</v>
      </c>
      <c r="D307" s="419">
        <v>2022.0</v>
      </c>
      <c r="E307" s="426" t="s">
        <v>851</v>
      </c>
      <c r="F307" s="412"/>
      <c r="G307" s="344"/>
      <c r="H307" s="344"/>
      <c r="I307" s="344"/>
      <c r="J307" s="344"/>
      <c r="K307" s="344"/>
      <c r="L307" s="344"/>
      <c r="M307" s="344"/>
      <c r="N307" s="344"/>
      <c r="O307" s="344"/>
      <c r="P307" s="344"/>
      <c r="Q307" s="344"/>
      <c r="R307" s="344"/>
      <c r="S307" s="344"/>
      <c r="T307" s="344"/>
      <c r="U307" s="344"/>
      <c r="V307" s="344"/>
      <c r="W307" s="344"/>
      <c r="X307" s="344"/>
      <c r="Y307" s="344"/>
      <c r="Z307" s="344"/>
      <c r="AA307" s="344"/>
      <c r="AB307" s="344"/>
      <c r="AC307" s="344"/>
      <c r="AD307" s="344"/>
      <c r="AE307" s="344"/>
      <c r="AF307" s="344"/>
      <c r="AG307" s="344"/>
    </row>
    <row r="308">
      <c r="A308" s="56"/>
      <c r="B308" s="56"/>
      <c r="C308" s="418" t="s">
        <v>873</v>
      </c>
      <c r="D308" s="419">
        <v>2022.0</v>
      </c>
      <c r="E308" s="426" t="s">
        <v>854</v>
      </c>
      <c r="F308" s="412"/>
      <c r="G308" s="344"/>
      <c r="H308" s="344"/>
      <c r="I308" s="344"/>
      <c r="J308" s="344"/>
      <c r="K308" s="344"/>
      <c r="L308" s="344"/>
      <c r="M308" s="344"/>
      <c r="N308" s="344"/>
      <c r="O308" s="344"/>
      <c r="P308" s="344"/>
      <c r="Q308" s="344"/>
      <c r="R308" s="344"/>
      <c r="S308" s="344"/>
      <c r="T308" s="344"/>
      <c r="U308" s="344"/>
      <c r="V308" s="344"/>
      <c r="W308" s="344"/>
      <c r="X308" s="344"/>
      <c r="Y308" s="344"/>
      <c r="Z308" s="344"/>
      <c r="AA308" s="344"/>
      <c r="AB308" s="344"/>
      <c r="AC308" s="344"/>
      <c r="AD308" s="344"/>
      <c r="AE308" s="344"/>
      <c r="AF308" s="344"/>
      <c r="AG308" s="344"/>
    </row>
    <row r="309">
      <c r="A309" s="405"/>
      <c r="B309" s="428" t="s">
        <v>723</v>
      </c>
      <c r="C309" s="429"/>
      <c r="D309" s="430"/>
      <c r="E309" s="431"/>
      <c r="F309" s="348"/>
      <c r="G309" s="344"/>
      <c r="H309" s="344"/>
      <c r="I309" s="344"/>
      <c r="J309" s="344"/>
      <c r="K309" s="344"/>
      <c r="L309" s="344"/>
      <c r="M309" s="344"/>
      <c r="N309" s="344"/>
      <c r="O309" s="344"/>
      <c r="P309" s="344"/>
      <c r="Q309" s="344"/>
      <c r="R309" s="344"/>
      <c r="S309" s="344"/>
      <c r="T309" s="344"/>
      <c r="U309" s="344"/>
      <c r="V309" s="344"/>
      <c r="W309" s="344"/>
      <c r="X309" s="344"/>
      <c r="Y309" s="344"/>
      <c r="Z309" s="344"/>
      <c r="AA309" s="344"/>
      <c r="AB309" s="344"/>
      <c r="AC309" s="344"/>
      <c r="AD309" s="344"/>
      <c r="AE309" s="344"/>
      <c r="AF309" s="344"/>
      <c r="AG309" s="344"/>
    </row>
    <row r="310">
      <c r="A310" s="344"/>
      <c r="B310" s="344"/>
      <c r="C310" s="344"/>
      <c r="D310" s="344"/>
      <c r="E310" s="344"/>
      <c r="F310" s="348"/>
      <c r="G310" s="344"/>
      <c r="H310" s="344"/>
      <c r="I310" s="344"/>
      <c r="J310" s="344"/>
      <c r="K310" s="344"/>
      <c r="L310" s="344"/>
      <c r="M310" s="344"/>
      <c r="N310" s="344"/>
      <c r="O310" s="344"/>
      <c r="P310" s="344"/>
      <c r="Q310" s="344"/>
      <c r="R310" s="344"/>
      <c r="S310" s="344"/>
      <c r="T310" s="344"/>
      <c r="U310" s="344"/>
      <c r="V310" s="344"/>
      <c r="W310" s="344"/>
      <c r="X310" s="344"/>
      <c r="Y310" s="344"/>
      <c r="Z310" s="344"/>
      <c r="AA310" s="344"/>
      <c r="AB310" s="344"/>
      <c r="AC310" s="344"/>
      <c r="AD310" s="344"/>
      <c r="AE310" s="344"/>
      <c r="AF310" s="344"/>
      <c r="AG310" s="344"/>
    </row>
    <row r="311">
      <c r="A311" s="341" t="s">
        <v>892</v>
      </c>
      <c r="B311" s="344"/>
      <c r="C311" s="344"/>
      <c r="D311" s="344"/>
      <c r="E311" s="344"/>
      <c r="F311" s="348"/>
      <c r="G311" s="344"/>
      <c r="H311" s="344"/>
      <c r="I311" s="344"/>
      <c r="J311" s="344"/>
      <c r="K311" s="344"/>
      <c r="L311" s="344"/>
      <c r="M311" s="344"/>
      <c r="N311" s="344"/>
      <c r="O311" s="344"/>
      <c r="P311" s="344"/>
      <c r="Q311" s="344"/>
      <c r="R311" s="344"/>
      <c r="S311" s="344"/>
      <c r="T311" s="344"/>
      <c r="U311" s="344"/>
      <c r="V311" s="344"/>
      <c r="W311" s="344"/>
      <c r="X311" s="344"/>
      <c r="Y311" s="344"/>
      <c r="Z311" s="344"/>
      <c r="AA311" s="344"/>
      <c r="AB311" s="344"/>
      <c r="AC311" s="344"/>
      <c r="AD311" s="344"/>
      <c r="AE311" s="344"/>
      <c r="AF311" s="344"/>
      <c r="AG311" s="344"/>
    </row>
    <row r="312">
      <c r="A312" s="407" t="s">
        <v>0</v>
      </c>
      <c r="B312" s="407" t="s">
        <v>270</v>
      </c>
      <c r="C312" s="356" t="s">
        <v>893</v>
      </c>
      <c r="D312" s="356" t="s">
        <v>728</v>
      </c>
      <c r="E312" s="356" t="s">
        <v>846</v>
      </c>
      <c r="F312" s="348"/>
      <c r="G312" s="344"/>
      <c r="H312" s="344"/>
      <c r="I312" s="344"/>
      <c r="J312" s="344"/>
      <c r="K312" s="344"/>
      <c r="L312" s="344"/>
      <c r="M312" s="344"/>
      <c r="N312" s="344"/>
      <c r="O312" s="344"/>
      <c r="P312" s="344"/>
      <c r="Q312" s="344"/>
      <c r="R312" s="344"/>
      <c r="S312" s="344"/>
      <c r="T312" s="344"/>
      <c r="U312" s="344"/>
      <c r="V312" s="344"/>
      <c r="W312" s="344"/>
      <c r="X312" s="344"/>
      <c r="Y312" s="344"/>
      <c r="Z312" s="344"/>
      <c r="AA312" s="344"/>
      <c r="AB312" s="344"/>
      <c r="AC312" s="344"/>
      <c r="AD312" s="344"/>
      <c r="AE312" s="344"/>
      <c r="AF312" s="344"/>
      <c r="AG312" s="344"/>
    </row>
    <row r="313">
      <c r="A313" s="432">
        <v>1.0</v>
      </c>
      <c r="B313" s="414" t="s">
        <v>540</v>
      </c>
      <c r="C313" s="358" t="s">
        <v>894</v>
      </c>
      <c r="D313" s="357">
        <v>2022.0</v>
      </c>
      <c r="E313" s="357" t="s">
        <v>854</v>
      </c>
      <c r="F313" s="348"/>
      <c r="G313" s="344"/>
      <c r="H313" s="344"/>
      <c r="I313" s="344"/>
      <c r="J313" s="344"/>
      <c r="K313" s="344"/>
      <c r="L313" s="344"/>
      <c r="M313" s="344"/>
      <c r="N313" s="344"/>
      <c r="O313" s="344"/>
      <c r="P313" s="344"/>
      <c r="Q313" s="344"/>
      <c r="R313" s="344"/>
      <c r="S313" s="344"/>
      <c r="T313" s="344"/>
      <c r="U313" s="344"/>
      <c r="V313" s="344"/>
      <c r="W313" s="344"/>
      <c r="X313" s="344"/>
      <c r="Y313" s="344"/>
      <c r="Z313" s="344"/>
      <c r="AA313" s="344"/>
      <c r="AB313" s="344"/>
      <c r="AC313" s="344"/>
      <c r="AD313" s="344"/>
      <c r="AE313" s="344"/>
      <c r="AF313" s="344"/>
      <c r="AG313" s="344"/>
    </row>
    <row r="314">
      <c r="A314" s="56"/>
      <c r="B314" s="56"/>
      <c r="C314" s="433" t="s">
        <v>895</v>
      </c>
      <c r="D314" s="357">
        <v>2024.0</v>
      </c>
      <c r="E314" s="357" t="s">
        <v>851</v>
      </c>
      <c r="F314" s="348"/>
      <c r="G314" s="344"/>
      <c r="H314" s="344"/>
      <c r="I314" s="344"/>
      <c r="J314" s="344"/>
      <c r="K314" s="344"/>
      <c r="L314" s="344"/>
      <c r="M314" s="344"/>
      <c r="N314" s="344"/>
      <c r="O314" s="344"/>
      <c r="P314" s="344"/>
      <c r="Q314" s="344"/>
      <c r="R314" s="344"/>
      <c r="S314" s="344"/>
      <c r="T314" s="344"/>
      <c r="U314" s="344"/>
      <c r="V314" s="344"/>
      <c r="W314" s="344"/>
      <c r="X314" s="344"/>
      <c r="Y314" s="344"/>
      <c r="Z314" s="344"/>
      <c r="AA314" s="344"/>
      <c r="AB314" s="344"/>
      <c r="AC314" s="344"/>
      <c r="AD314" s="344"/>
      <c r="AE314" s="344"/>
      <c r="AF314" s="344"/>
      <c r="AG314" s="344"/>
    </row>
    <row r="315">
      <c r="A315" s="432">
        <v>2.0</v>
      </c>
      <c r="B315" s="414" t="s">
        <v>855</v>
      </c>
      <c r="C315" s="358" t="s">
        <v>896</v>
      </c>
      <c r="D315" s="357">
        <v>2023.0</v>
      </c>
      <c r="E315" s="357" t="s">
        <v>854</v>
      </c>
      <c r="F315" s="348"/>
      <c r="G315" s="344"/>
      <c r="H315" s="344"/>
      <c r="I315" s="344"/>
      <c r="J315" s="344"/>
      <c r="K315" s="344"/>
      <c r="L315" s="344"/>
      <c r="M315" s="344"/>
      <c r="N315" s="344"/>
      <c r="O315" s="344"/>
      <c r="P315" s="344"/>
      <c r="Q315" s="344"/>
      <c r="R315" s="344"/>
      <c r="S315" s="344"/>
      <c r="T315" s="344"/>
      <c r="U315" s="344"/>
      <c r="V315" s="344"/>
      <c r="W315" s="344"/>
      <c r="X315" s="344"/>
      <c r="Y315" s="344"/>
      <c r="Z315" s="344"/>
      <c r="AA315" s="344"/>
      <c r="AB315" s="344"/>
      <c r="AC315" s="344"/>
      <c r="AD315" s="344"/>
      <c r="AE315" s="344"/>
      <c r="AF315" s="344"/>
      <c r="AG315" s="344"/>
    </row>
    <row r="316">
      <c r="A316" s="56"/>
      <c r="B316" s="56"/>
      <c r="C316" s="358" t="s">
        <v>897</v>
      </c>
      <c r="D316" s="357">
        <v>2023.0</v>
      </c>
      <c r="E316" s="357" t="s">
        <v>854</v>
      </c>
      <c r="F316" s="348"/>
      <c r="G316" s="344"/>
      <c r="H316" s="344"/>
      <c r="I316" s="344"/>
      <c r="J316" s="344"/>
      <c r="K316" s="344"/>
      <c r="L316" s="344"/>
      <c r="M316" s="344"/>
      <c r="N316" s="344"/>
      <c r="O316" s="344"/>
      <c r="P316" s="344"/>
      <c r="Q316" s="344"/>
      <c r="R316" s="344"/>
      <c r="S316" s="344"/>
      <c r="T316" s="344"/>
      <c r="U316" s="344"/>
      <c r="V316" s="344"/>
      <c r="W316" s="344"/>
      <c r="X316" s="344"/>
      <c r="Y316" s="344"/>
      <c r="Z316" s="344"/>
      <c r="AA316" s="344"/>
      <c r="AB316" s="344"/>
      <c r="AC316" s="344"/>
      <c r="AD316" s="344"/>
      <c r="AE316" s="344"/>
      <c r="AF316" s="344"/>
      <c r="AG316" s="344"/>
    </row>
    <row r="317">
      <c r="A317" s="434">
        <v>3.0</v>
      </c>
      <c r="B317" s="427" t="s">
        <v>557</v>
      </c>
      <c r="C317" s="433" t="s">
        <v>895</v>
      </c>
      <c r="D317" s="357">
        <v>2024.0</v>
      </c>
      <c r="E317" s="357" t="s">
        <v>851</v>
      </c>
      <c r="F317" s="348"/>
      <c r="G317" s="344"/>
      <c r="H317" s="344"/>
      <c r="I317" s="344"/>
      <c r="J317" s="344"/>
      <c r="K317" s="344"/>
      <c r="L317" s="344"/>
      <c r="M317" s="344"/>
      <c r="N317" s="344"/>
      <c r="O317" s="344"/>
      <c r="P317" s="344"/>
      <c r="Q317" s="344"/>
      <c r="R317" s="344"/>
      <c r="S317" s="344"/>
      <c r="T317" s="344"/>
      <c r="U317" s="344"/>
      <c r="V317" s="344"/>
      <c r="W317" s="344"/>
      <c r="X317" s="344"/>
      <c r="Y317" s="344"/>
      <c r="Z317" s="344"/>
      <c r="AA317" s="344"/>
      <c r="AB317" s="344"/>
      <c r="AC317" s="344"/>
      <c r="AD317" s="344"/>
      <c r="AE317" s="344"/>
      <c r="AF317" s="344"/>
      <c r="AG317" s="344"/>
    </row>
    <row r="318">
      <c r="A318" s="435">
        <v>4.0</v>
      </c>
      <c r="B318" s="409" t="s">
        <v>569</v>
      </c>
      <c r="C318" s="358" t="s">
        <v>894</v>
      </c>
      <c r="D318" s="357">
        <v>2022.0</v>
      </c>
      <c r="E318" s="357" t="s">
        <v>854</v>
      </c>
      <c r="F318" s="348"/>
      <c r="G318" s="344"/>
      <c r="H318" s="344"/>
      <c r="I318" s="344"/>
      <c r="J318" s="344"/>
      <c r="K318" s="344"/>
      <c r="L318" s="344"/>
      <c r="M318" s="344"/>
      <c r="N318" s="344"/>
      <c r="O318" s="344"/>
      <c r="P318" s="344"/>
      <c r="Q318" s="344"/>
      <c r="R318" s="344"/>
      <c r="S318" s="344"/>
      <c r="T318" s="344"/>
      <c r="U318" s="344"/>
      <c r="V318" s="344"/>
      <c r="W318" s="344"/>
      <c r="X318" s="344"/>
      <c r="Y318" s="344"/>
      <c r="Z318" s="344"/>
      <c r="AA318" s="344"/>
      <c r="AB318" s="344"/>
      <c r="AC318" s="344"/>
      <c r="AD318" s="344"/>
      <c r="AE318" s="344"/>
      <c r="AF318" s="344"/>
      <c r="AG318" s="344"/>
    </row>
    <row r="319">
      <c r="A319" s="373">
        <v>5.0</v>
      </c>
      <c r="B319" s="414" t="s">
        <v>586</v>
      </c>
      <c r="C319" s="409" t="s">
        <v>898</v>
      </c>
      <c r="D319" s="357">
        <v>2022.0</v>
      </c>
      <c r="E319" s="357" t="s">
        <v>854</v>
      </c>
      <c r="F319" s="348"/>
      <c r="G319" s="344"/>
      <c r="H319" s="344"/>
      <c r="I319" s="344"/>
      <c r="J319" s="344"/>
      <c r="K319" s="344"/>
      <c r="L319" s="344"/>
      <c r="M319" s="344"/>
      <c r="N319" s="344"/>
      <c r="O319" s="344"/>
      <c r="P319" s="344"/>
      <c r="Q319" s="344"/>
      <c r="R319" s="344"/>
      <c r="S319" s="344"/>
      <c r="T319" s="344"/>
      <c r="U319" s="344"/>
      <c r="V319" s="344"/>
      <c r="W319" s="344"/>
      <c r="X319" s="344"/>
      <c r="Y319" s="344"/>
      <c r="Z319" s="344"/>
      <c r="AA319" s="344"/>
      <c r="AB319" s="344"/>
      <c r="AC319" s="344"/>
      <c r="AD319" s="344"/>
      <c r="AE319" s="344"/>
      <c r="AF319" s="344"/>
      <c r="AG319" s="344"/>
    </row>
    <row r="320">
      <c r="A320" s="129"/>
      <c r="B320" s="129"/>
      <c r="C320" s="358" t="s">
        <v>899</v>
      </c>
      <c r="D320" s="357">
        <v>2021.0</v>
      </c>
      <c r="E320" s="357" t="s">
        <v>851</v>
      </c>
      <c r="F320" s="348"/>
      <c r="G320" s="344"/>
      <c r="H320" s="344"/>
      <c r="I320" s="344"/>
      <c r="J320" s="344"/>
      <c r="K320" s="344"/>
      <c r="L320" s="344"/>
      <c r="M320" s="344"/>
      <c r="N320" s="344"/>
      <c r="O320" s="344"/>
      <c r="P320" s="344"/>
      <c r="Q320" s="344"/>
      <c r="R320" s="344"/>
      <c r="S320" s="344"/>
      <c r="T320" s="344"/>
      <c r="U320" s="344"/>
      <c r="V320" s="344"/>
      <c r="W320" s="344"/>
      <c r="X320" s="344"/>
      <c r="Y320" s="344"/>
      <c r="Z320" s="344"/>
      <c r="AA320" s="344"/>
      <c r="AB320" s="344"/>
      <c r="AC320" s="344"/>
      <c r="AD320" s="344"/>
      <c r="AE320" s="344"/>
      <c r="AF320" s="344"/>
      <c r="AG320" s="344"/>
    </row>
    <row r="321">
      <c r="A321" s="129"/>
      <c r="B321" s="129"/>
      <c r="C321" s="358" t="s">
        <v>900</v>
      </c>
      <c r="D321" s="357">
        <v>2021.0</v>
      </c>
      <c r="E321" s="357" t="s">
        <v>851</v>
      </c>
      <c r="F321" s="348"/>
      <c r="G321" s="344"/>
      <c r="H321" s="344"/>
      <c r="I321" s="344"/>
      <c r="J321" s="344"/>
      <c r="K321" s="344"/>
      <c r="L321" s="344"/>
      <c r="M321" s="344"/>
      <c r="N321" s="344"/>
      <c r="O321" s="344"/>
      <c r="P321" s="344"/>
      <c r="Q321" s="344"/>
      <c r="R321" s="344"/>
      <c r="S321" s="344"/>
      <c r="T321" s="344"/>
      <c r="U321" s="344"/>
      <c r="V321" s="344"/>
      <c r="W321" s="344"/>
      <c r="X321" s="344"/>
      <c r="Y321" s="344"/>
      <c r="Z321" s="344"/>
      <c r="AA321" s="344"/>
      <c r="AB321" s="344"/>
      <c r="AC321" s="344"/>
      <c r="AD321" s="344"/>
      <c r="AE321" s="344"/>
      <c r="AF321" s="344"/>
      <c r="AG321" s="344"/>
    </row>
    <row r="322">
      <c r="A322" s="56"/>
      <c r="B322" s="56"/>
      <c r="C322" s="433" t="s">
        <v>895</v>
      </c>
      <c r="D322" s="357">
        <v>2024.0</v>
      </c>
      <c r="E322" s="357" t="s">
        <v>851</v>
      </c>
      <c r="F322" s="348"/>
      <c r="G322" s="344"/>
      <c r="H322" s="344"/>
      <c r="I322" s="344"/>
      <c r="J322" s="344"/>
      <c r="K322" s="344"/>
      <c r="L322" s="344"/>
      <c r="M322" s="344"/>
      <c r="N322" s="344"/>
      <c r="O322" s="344"/>
      <c r="P322" s="344"/>
      <c r="Q322" s="344"/>
      <c r="R322" s="344"/>
      <c r="S322" s="344"/>
      <c r="T322" s="344"/>
      <c r="U322" s="344"/>
      <c r="V322" s="344"/>
      <c r="W322" s="344"/>
      <c r="X322" s="344"/>
      <c r="Y322" s="344"/>
      <c r="Z322" s="344"/>
      <c r="AA322" s="344"/>
      <c r="AB322" s="344"/>
      <c r="AC322" s="344"/>
      <c r="AD322" s="344"/>
      <c r="AE322" s="344"/>
      <c r="AF322" s="344"/>
      <c r="AG322" s="344"/>
    </row>
    <row r="323">
      <c r="A323" s="432">
        <v>6.0</v>
      </c>
      <c r="B323" s="414" t="s">
        <v>877</v>
      </c>
      <c r="C323" s="433" t="s">
        <v>901</v>
      </c>
      <c r="D323" s="436">
        <v>2021.0</v>
      </c>
      <c r="E323" s="436" t="s">
        <v>851</v>
      </c>
      <c r="F323" s="348"/>
      <c r="G323" s="344"/>
      <c r="H323" s="344"/>
      <c r="I323" s="344"/>
      <c r="J323" s="344"/>
      <c r="K323" s="344"/>
      <c r="L323" s="344"/>
      <c r="M323" s="344"/>
      <c r="N323" s="344"/>
      <c r="O323" s="344"/>
      <c r="P323" s="344"/>
      <c r="Q323" s="344"/>
      <c r="R323" s="344"/>
      <c r="S323" s="344"/>
      <c r="T323" s="344"/>
      <c r="U323" s="344"/>
      <c r="V323" s="344"/>
      <c r="W323" s="344"/>
      <c r="X323" s="344"/>
      <c r="Y323" s="344"/>
      <c r="Z323" s="344"/>
      <c r="AA323" s="344"/>
      <c r="AB323" s="344"/>
      <c r="AC323" s="344"/>
      <c r="AD323" s="344"/>
      <c r="AE323" s="344"/>
      <c r="AF323" s="344"/>
      <c r="AG323" s="344"/>
    </row>
    <row r="324">
      <c r="A324" s="129"/>
      <c r="B324" s="129"/>
      <c r="C324" s="433" t="s">
        <v>902</v>
      </c>
      <c r="D324" s="436">
        <v>2023.0</v>
      </c>
      <c r="E324" s="436" t="s">
        <v>851</v>
      </c>
      <c r="F324" s="348"/>
      <c r="G324" s="344"/>
      <c r="H324" s="344"/>
      <c r="I324" s="344"/>
      <c r="J324" s="344"/>
      <c r="K324" s="344"/>
      <c r="L324" s="344"/>
      <c r="M324" s="344"/>
      <c r="N324" s="344"/>
      <c r="O324" s="344"/>
      <c r="P324" s="344"/>
      <c r="Q324" s="344"/>
      <c r="R324" s="344"/>
      <c r="S324" s="344"/>
      <c r="T324" s="344"/>
      <c r="U324" s="344"/>
      <c r="V324" s="344"/>
      <c r="W324" s="344"/>
      <c r="X324" s="344"/>
      <c r="Y324" s="344"/>
      <c r="Z324" s="344"/>
      <c r="AA324" s="344"/>
      <c r="AB324" s="344"/>
      <c r="AC324" s="344"/>
      <c r="AD324" s="344"/>
      <c r="AE324" s="344"/>
      <c r="AF324" s="344"/>
      <c r="AG324" s="344"/>
    </row>
    <row r="325">
      <c r="A325" s="129"/>
      <c r="B325" s="129"/>
      <c r="C325" s="433" t="s">
        <v>903</v>
      </c>
      <c r="D325" s="436">
        <v>2023.0</v>
      </c>
      <c r="E325" s="436" t="s">
        <v>851</v>
      </c>
      <c r="F325" s="348"/>
      <c r="G325" s="344"/>
      <c r="H325" s="344"/>
      <c r="I325" s="344"/>
      <c r="J325" s="344"/>
      <c r="K325" s="344"/>
      <c r="L325" s="344"/>
      <c r="M325" s="344"/>
      <c r="N325" s="344"/>
      <c r="O325" s="344"/>
      <c r="P325" s="344"/>
      <c r="Q325" s="344"/>
      <c r="R325" s="344"/>
      <c r="S325" s="344"/>
      <c r="T325" s="344"/>
      <c r="U325" s="344"/>
      <c r="V325" s="344"/>
      <c r="W325" s="344"/>
      <c r="X325" s="344"/>
      <c r="Y325" s="344"/>
      <c r="Z325" s="344"/>
      <c r="AA325" s="344"/>
      <c r="AB325" s="344"/>
      <c r="AC325" s="344"/>
      <c r="AD325" s="344"/>
      <c r="AE325" s="344"/>
      <c r="AF325" s="344"/>
      <c r="AG325" s="344"/>
    </row>
    <row r="326">
      <c r="A326" s="56"/>
      <c r="B326" s="56"/>
      <c r="C326" s="433" t="s">
        <v>895</v>
      </c>
      <c r="D326" s="357">
        <v>2024.0</v>
      </c>
      <c r="E326" s="357" t="s">
        <v>851</v>
      </c>
      <c r="F326" s="348"/>
      <c r="G326" s="344"/>
      <c r="H326" s="344"/>
      <c r="I326" s="344"/>
      <c r="J326" s="344"/>
      <c r="K326" s="344"/>
      <c r="L326" s="344"/>
      <c r="M326" s="344"/>
      <c r="N326" s="344"/>
      <c r="O326" s="344"/>
      <c r="P326" s="344"/>
      <c r="Q326" s="344"/>
      <c r="R326" s="344"/>
      <c r="S326" s="344"/>
      <c r="T326" s="344"/>
      <c r="U326" s="344"/>
      <c r="V326" s="344"/>
      <c r="W326" s="344"/>
      <c r="X326" s="344"/>
      <c r="Y326" s="344"/>
      <c r="Z326" s="344"/>
      <c r="AA326" s="344"/>
      <c r="AB326" s="344"/>
      <c r="AC326" s="344"/>
      <c r="AD326" s="344"/>
      <c r="AE326" s="344"/>
      <c r="AF326" s="344"/>
      <c r="AG326" s="344"/>
    </row>
    <row r="327">
      <c r="A327" s="434">
        <v>7.0</v>
      </c>
      <c r="B327" s="409" t="s">
        <v>881</v>
      </c>
      <c r="C327" s="358" t="s">
        <v>904</v>
      </c>
      <c r="D327" s="357">
        <v>2023.0</v>
      </c>
      <c r="E327" s="357" t="s">
        <v>851</v>
      </c>
      <c r="F327" s="348"/>
      <c r="G327" s="344"/>
      <c r="H327" s="344"/>
      <c r="I327" s="344"/>
      <c r="J327" s="344"/>
      <c r="K327" s="344"/>
      <c r="L327" s="344"/>
      <c r="M327" s="344"/>
      <c r="N327" s="344"/>
      <c r="O327" s="344"/>
      <c r="P327" s="344"/>
      <c r="Q327" s="344"/>
      <c r="R327" s="344"/>
      <c r="S327" s="344"/>
      <c r="T327" s="344"/>
      <c r="U327" s="344"/>
      <c r="V327" s="344"/>
      <c r="W327" s="344"/>
      <c r="X327" s="344"/>
      <c r="Y327" s="344"/>
      <c r="Z327" s="344"/>
      <c r="AA327" s="344"/>
      <c r="AB327" s="344"/>
      <c r="AC327" s="344"/>
      <c r="AD327" s="344"/>
      <c r="AE327" s="344"/>
      <c r="AF327" s="344"/>
      <c r="AG327" s="344"/>
    </row>
    <row r="328">
      <c r="A328" s="434">
        <v>8.0</v>
      </c>
      <c r="B328" s="409" t="s">
        <v>905</v>
      </c>
      <c r="C328" s="433" t="s">
        <v>906</v>
      </c>
      <c r="D328" s="436">
        <v>2022.0</v>
      </c>
      <c r="E328" s="436" t="s">
        <v>854</v>
      </c>
      <c r="F328" s="348"/>
      <c r="G328" s="344"/>
      <c r="H328" s="344"/>
      <c r="I328" s="344"/>
      <c r="J328" s="344"/>
      <c r="K328" s="344"/>
      <c r="L328" s="344"/>
      <c r="M328" s="344"/>
      <c r="N328" s="344"/>
      <c r="O328" s="344"/>
      <c r="P328" s="344"/>
      <c r="Q328" s="344"/>
      <c r="R328" s="344"/>
      <c r="S328" s="344"/>
      <c r="T328" s="344"/>
      <c r="U328" s="344"/>
      <c r="V328" s="344"/>
      <c r="W328" s="344"/>
      <c r="X328" s="344"/>
      <c r="Y328" s="344"/>
      <c r="Z328" s="344"/>
      <c r="AA328" s="344"/>
      <c r="AB328" s="344"/>
      <c r="AC328" s="344"/>
      <c r="AD328" s="344"/>
      <c r="AE328" s="344"/>
      <c r="AF328" s="344"/>
      <c r="AG328" s="344"/>
    </row>
    <row r="329">
      <c r="A329" s="435">
        <v>9.0</v>
      </c>
      <c r="B329" s="358" t="s">
        <v>811</v>
      </c>
      <c r="C329" s="433" t="s">
        <v>895</v>
      </c>
      <c r="D329" s="357">
        <v>2024.0</v>
      </c>
      <c r="E329" s="357" t="s">
        <v>851</v>
      </c>
      <c r="F329" s="348"/>
      <c r="G329" s="344"/>
      <c r="H329" s="344"/>
      <c r="I329" s="344"/>
      <c r="J329" s="344"/>
      <c r="K329" s="344"/>
      <c r="L329" s="344"/>
      <c r="M329" s="344"/>
      <c r="N329" s="344"/>
      <c r="O329" s="344"/>
      <c r="P329" s="344"/>
      <c r="Q329" s="344"/>
      <c r="R329" s="344"/>
      <c r="S329" s="344"/>
      <c r="T329" s="344"/>
      <c r="U329" s="344"/>
      <c r="V329" s="344"/>
      <c r="W329" s="344"/>
      <c r="X329" s="344"/>
      <c r="Y329" s="344"/>
      <c r="Z329" s="344"/>
      <c r="AA329" s="344"/>
      <c r="AB329" s="344"/>
      <c r="AC329" s="344"/>
      <c r="AD329" s="344"/>
      <c r="AE329" s="344"/>
      <c r="AF329" s="344"/>
      <c r="AG329" s="344"/>
    </row>
    <row r="330">
      <c r="A330" s="432">
        <v>10.0</v>
      </c>
      <c r="B330" s="414" t="s">
        <v>886</v>
      </c>
      <c r="C330" s="358" t="s">
        <v>907</v>
      </c>
      <c r="D330" s="357">
        <v>2022.0</v>
      </c>
      <c r="E330" s="357" t="s">
        <v>851</v>
      </c>
      <c r="F330" s="348"/>
      <c r="G330" s="344"/>
      <c r="H330" s="344"/>
      <c r="I330" s="344"/>
      <c r="J330" s="344"/>
      <c r="K330" s="344"/>
      <c r="L330" s="344"/>
      <c r="M330" s="344"/>
      <c r="N330" s="344"/>
      <c r="O330" s="344"/>
      <c r="P330" s="344"/>
      <c r="Q330" s="344"/>
      <c r="R330" s="344"/>
      <c r="S330" s="344"/>
      <c r="T330" s="344"/>
      <c r="U330" s="344"/>
      <c r="V330" s="344"/>
      <c r="W330" s="344"/>
      <c r="X330" s="344"/>
      <c r="Y330" s="344"/>
      <c r="Z330" s="344"/>
      <c r="AA330" s="344"/>
      <c r="AB330" s="344"/>
      <c r="AC330" s="344"/>
      <c r="AD330" s="344"/>
      <c r="AE330" s="344"/>
      <c r="AF330" s="344"/>
      <c r="AG330" s="344"/>
    </row>
    <row r="331">
      <c r="A331" s="129"/>
      <c r="B331" s="129"/>
      <c r="C331" s="358" t="s">
        <v>908</v>
      </c>
      <c r="D331" s="357">
        <v>2022.0</v>
      </c>
      <c r="E331" s="357" t="s">
        <v>851</v>
      </c>
      <c r="F331" s="348"/>
      <c r="G331" s="344"/>
      <c r="H331" s="344"/>
      <c r="I331" s="344"/>
      <c r="J331" s="344"/>
      <c r="K331" s="344"/>
      <c r="L331" s="344"/>
      <c r="M331" s="344"/>
      <c r="N331" s="344"/>
      <c r="O331" s="344"/>
      <c r="P331" s="344"/>
      <c r="Q331" s="344"/>
      <c r="R331" s="344"/>
      <c r="S331" s="344"/>
      <c r="T331" s="344"/>
      <c r="U331" s="344"/>
      <c r="V331" s="344"/>
      <c r="W331" s="344"/>
      <c r="X331" s="344"/>
      <c r="Y331" s="344"/>
      <c r="Z331" s="344"/>
      <c r="AA331" s="344"/>
      <c r="AB331" s="344"/>
      <c r="AC331" s="344"/>
      <c r="AD331" s="344"/>
      <c r="AE331" s="344"/>
      <c r="AF331" s="344"/>
      <c r="AG331" s="344"/>
    </row>
    <row r="332">
      <c r="A332" s="129"/>
      <c r="B332" s="129"/>
      <c r="C332" s="358" t="s">
        <v>909</v>
      </c>
      <c r="D332" s="357">
        <v>2022.0</v>
      </c>
      <c r="E332" s="357" t="s">
        <v>851</v>
      </c>
      <c r="F332" s="348"/>
      <c r="G332" s="344"/>
      <c r="H332" s="344"/>
      <c r="I332" s="344"/>
      <c r="J332" s="344"/>
      <c r="K332" s="344"/>
      <c r="L332" s="344"/>
      <c r="M332" s="344"/>
      <c r="N332" s="344"/>
      <c r="O332" s="344"/>
      <c r="P332" s="344"/>
      <c r="Q332" s="344"/>
      <c r="R332" s="344"/>
      <c r="S332" s="344"/>
      <c r="T332" s="344"/>
      <c r="U332" s="344"/>
      <c r="V332" s="344"/>
      <c r="W332" s="344"/>
      <c r="X332" s="344"/>
      <c r="Y332" s="344"/>
      <c r="Z332" s="344"/>
      <c r="AA332" s="344"/>
      <c r="AB332" s="344"/>
      <c r="AC332" s="344"/>
      <c r="AD332" s="344"/>
      <c r="AE332" s="344"/>
      <c r="AF332" s="344"/>
      <c r="AG332" s="344"/>
    </row>
    <row r="333">
      <c r="A333" s="129"/>
      <c r="B333" s="129"/>
      <c r="C333" s="358" t="s">
        <v>910</v>
      </c>
      <c r="D333" s="357">
        <v>2022.0</v>
      </c>
      <c r="E333" s="357" t="s">
        <v>851</v>
      </c>
      <c r="F333" s="348"/>
      <c r="G333" s="344"/>
      <c r="H333" s="344"/>
      <c r="I333" s="344"/>
      <c r="J333" s="344"/>
      <c r="K333" s="344"/>
      <c r="L333" s="344"/>
      <c r="M333" s="344"/>
      <c r="N333" s="344"/>
      <c r="O333" s="344"/>
      <c r="P333" s="344"/>
      <c r="Q333" s="344"/>
      <c r="R333" s="344"/>
      <c r="S333" s="344"/>
      <c r="T333" s="344"/>
      <c r="U333" s="344"/>
      <c r="V333" s="344"/>
      <c r="W333" s="344"/>
      <c r="X333" s="344"/>
      <c r="Y333" s="344"/>
      <c r="Z333" s="344"/>
      <c r="AA333" s="344"/>
      <c r="AB333" s="344"/>
      <c r="AC333" s="344"/>
      <c r="AD333" s="344"/>
      <c r="AE333" s="344"/>
      <c r="AF333" s="344"/>
      <c r="AG333" s="344"/>
    </row>
    <row r="334">
      <c r="A334" s="129"/>
      <c r="B334" s="129"/>
      <c r="C334" s="358" t="s">
        <v>911</v>
      </c>
      <c r="D334" s="357">
        <v>2022.0</v>
      </c>
      <c r="E334" s="357" t="s">
        <v>851</v>
      </c>
      <c r="F334" s="348"/>
      <c r="G334" s="344"/>
      <c r="H334" s="344"/>
      <c r="I334" s="344"/>
      <c r="J334" s="344"/>
      <c r="K334" s="344"/>
      <c r="L334" s="344"/>
      <c r="M334" s="344"/>
      <c r="N334" s="344"/>
      <c r="O334" s="344"/>
      <c r="P334" s="344"/>
      <c r="Q334" s="344"/>
      <c r="R334" s="344"/>
      <c r="S334" s="344"/>
      <c r="T334" s="344"/>
      <c r="U334" s="344"/>
      <c r="V334" s="344"/>
      <c r="W334" s="344"/>
      <c r="X334" s="344"/>
      <c r="Y334" s="344"/>
      <c r="Z334" s="344"/>
      <c r="AA334" s="344"/>
      <c r="AB334" s="344"/>
      <c r="AC334" s="344"/>
      <c r="AD334" s="344"/>
      <c r="AE334" s="344"/>
      <c r="AF334" s="344"/>
      <c r="AG334" s="344"/>
    </row>
    <row r="335">
      <c r="A335" s="129"/>
      <c r="B335" s="129"/>
      <c r="C335" s="358" t="s">
        <v>912</v>
      </c>
      <c r="D335" s="357">
        <v>2022.0</v>
      </c>
      <c r="E335" s="357" t="s">
        <v>851</v>
      </c>
      <c r="F335" s="348"/>
      <c r="G335" s="344"/>
      <c r="H335" s="344"/>
      <c r="I335" s="344"/>
      <c r="J335" s="344"/>
      <c r="K335" s="344"/>
      <c r="L335" s="344"/>
      <c r="M335" s="344"/>
      <c r="N335" s="344"/>
      <c r="O335" s="344"/>
      <c r="P335" s="344"/>
      <c r="Q335" s="344"/>
      <c r="R335" s="344"/>
      <c r="S335" s="344"/>
      <c r="T335" s="344"/>
      <c r="U335" s="344"/>
      <c r="V335" s="344"/>
      <c r="W335" s="344"/>
      <c r="X335" s="344"/>
      <c r="Y335" s="344"/>
      <c r="Z335" s="344"/>
      <c r="AA335" s="344"/>
      <c r="AB335" s="344"/>
      <c r="AC335" s="344"/>
      <c r="AD335" s="344"/>
      <c r="AE335" s="344"/>
      <c r="AF335" s="344"/>
      <c r="AG335" s="344"/>
    </row>
    <row r="336">
      <c r="A336" s="129"/>
      <c r="B336" s="129"/>
      <c r="C336" s="358" t="s">
        <v>913</v>
      </c>
      <c r="D336" s="357">
        <v>2022.0</v>
      </c>
      <c r="E336" s="357" t="s">
        <v>851</v>
      </c>
      <c r="F336" s="348"/>
      <c r="G336" s="344"/>
      <c r="H336" s="344"/>
      <c r="I336" s="344"/>
      <c r="J336" s="344"/>
      <c r="K336" s="344"/>
      <c r="L336" s="344"/>
      <c r="M336" s="344"/>
      <c r="N336" s="344"/>
      <c r="O336" s="344"/>
      <c r="P336" s="344"/>
      <c r="Q336" s="344"/>
      <c r="R336" s="344"/>
      <c r="S336" s="344"/>
      <c r="T336" s="344"/>
      <c r="U336" s="344"/>
      <c r="V336" s="344"/>
      <c r="W336" s="344"/>
      <c r="X336" s="344"/>
      <c r="Y336" s="344"/>
      <c r="Z336" s="344"/>
      <c r="AA336" s="344"/>
      <c r="AB336" s="344"/>
      <c r="AC336" s="344"/>
      <c r="AD336" s="344"/>
      <c r="AE336" s="344"/>
      <c r="AF336" s="344"/>
      <c r="AG336" s="344"/>
    </row>
    <row r="337">
      <c r="A337" s="129"/>
      <c r="B337" s="129"/>
      <c r="C337" s="358" t="s">
        <v>914</v>
      </c>
      <c r="D337" s="357">
        <v>2022.0</v>
      </c>
      <c r="E337" s="357" t="s">
        <v>851</v>
      </c>
      <c r="F337" s="348"/>
      <c r="G337" s="344"/>
      <c r="H337" s="344"/>
      <c r="I337" s="344"/>
      <c r="J337" s="344"/>
      <c r="K337" s="344"/>
      <c r="L337" s="344"/>
      <c r="M337" s="344"/>
      <c r="N337" s="344"/>
      <c r="O337" s="344"/>
      <c r="P337" s="344"/>
      <c r="Q337" s="344"/>
      <c r="R337" s="344"/>
      <c r="S337" s="344"/>
      <c r="T337" s="344"/>
      <c r="U337" s="344"/>
      <c r="V337" s="344"/>
      <c r="W337" s="344"/>
      <c r="X337" s="344"/>
      <c r="Y337" s="344"/>
      <c r="Z337" s="344"/>
      <c r="AA337" s="344"/>
      <c r="AB337" s="344"/>
      <c r="AC337" s="344"/>
      <c r="AD337" s="344"/>
      <c r="AE337" s="344"/>
      <c r="AF337" s="344"/>
      <c r="AG337" s="344"/>
    </row>
    <row r="338">
      <c r="A338" s="129"/>
      <c r="B338" s="129"/>
      <c r="C338" s="358" t="s">
        <v>915</v>
      </c>
      <c r="D338" s="357">
        <v>2022.0</v>
      </c>
      <c r="E338" s="357" t="s">
        <v>851</v>
      </c>
      <c r="F338" s="348"/>
      <c r="G338" s="344"/>
      <c r="H338" s="344"/>
      <c r="I338" s="344"/>
      <c r="J338" s="344"/>
      <c r="K338" s="344"/>
      <c r="L338" s="344"/>
      <c r="M338" s="344"/>
      <c r="N338" s="344"/>
      <c r="O338" s="344"/>
      <c r="P338" s="344"/>
      <c r="Q338" s="344"/>
      <c r="R338" s="344"/>
      <c r="S338" s="344"/>
      <c r="T338" s="344"/>
      <c r="U338" s="344"/>
      <c r="V338" s="344"/>
      <c r="W338" s="344"/>
      <c r="X338" s="344"/>
      <c r="Y338" s="344"/>
      <c r="Z338" s="344"/>
      <c r="AA338" s="344"/>
      <c r="AB338" s="344"/>
      <c r="AC338" s="344"/>
      <c r="AD338" s="344"/>
      <c r="AE338" s="344"/>
      <c r="AF338" s="344"/>
      <c r="AG338" s="344"/>
    </row>
    <row r="339">
      <c r="A339" s="129"/>
      <c r="B339" s="129"/>
      <c r="C339" s="358" t="s">
        <v>916</v>
      </c>
      <c r="D339" s="357">
        <v>2020.0</v>
      </c>
      <c r="E339" s="357" t="s">
        <v>851</v>
      </c>
      <c r="F339" s="348"/>
      <c r="G339" s="344"/>
      <c r="H339" s="344"/>
      <c r="I339" s="344"/>
      <c r="J339" s="344"/>
      <c r="K339" s="344"/>
      <c r="L339" s="344"/>
      <c r="M339" s="344"/>
      <c r="N339" s="344"/>
      <c r="O339" s="344"/>
      <c r="P339" s="344"/>
      <c r="Q339" s="344"/>
      <c r="R339" s="344"/>
      <c r="S339" s="344"/>
      <c r="T339" s="344"/>
      <c r="U339" s="344"/>
      <c r="V339" s="344"/>
      <c r="W339" s="344"/>
      <c r="X339" s="344"/>
      <c r="Y339" s="344"/>
      <c r="Z339" s="344"/>
      <c r="AA339" s="344"/>
      <c r="AB339" s="344"/>
      <c r="AC339" s="344"/>
      <c r="AD339" s="344"/>
      <c r="AE339" s="344"/>
      <c r="AF339" s="344"/>
      <c r="AG339" s="344"/>
    </row>
    <row r="340">
      <c r="A340" s="56"/>
      <c r="B340" s="56"/>
      <c r="C340" s="358" t="s">
        <v>917</v>
      </c>
      <c r="D340" s="357">
        <v>2021.0</v>
      </c>
      <c r="E340" s="357" t="s">
        <v>851</v>
      </c>
      <c r="F340" s="348"/>
      <c r="G340" s="344"/>
      <c r="H340" s="344"/>
      <c r="I340" s="344"/>
      <c r="J340" s="344"/>
      <c r="K340" s="344"/>
      <c r="L340" s="344"/>
      <c r="M340" s="344"/>
      <c r="N340" s="344"/>
      <c r="O340" s="344"/>
      <c r="P340" s="344"/>
      <c r="Q340" s="344"/>
      <c r="R340" s="344"/>
      <c r="S340" s="344"/>
      <c r="T340" s="344"/>
      <c r="U340" s="344"/>
      <c r="V340" s="344"/>
      <c r="W340" s="344"/>
      <c r="X340" s="344"/>
      <c r="Y340" s="344"/>
      <c r="Z340" s="344"/>
      <c r="AA340" s="344"/>
      <c r="AB340" s="344"/>
      <c r="AC340" s="344"/>
      <c r="AD340" s="344"/>
      <c r="AE340" s="344"/>
      <c r="AF340" s="344"/>
      <c r="AG340" s="344"/>
    </row>
    <row r="341">
      <c r="A341" s="432">
        <v>11.0</v>
      </c>
      <c r="B341" s="437" t="s">
        <v>843</v>
      </c>
      <c r="C341" s="433" t="s">
        <v>918</v>
      </c>
      <c r="D341" s="436">
        <v>2021.0</v>
      </c>
      <c r="E341" s="436" t="s">
        <v>854</v>
      </c>
      <c r="F341" s="348"/>
      <c r="G341" s="344"/>
      <c r="H341" s="344"/>
      <c r="I341" s="344"/>
      <c r="J341" s="344"/>
      <c r="K341" s="344"/>
      <c r="L341" s="344"/>
      <c r="M341" s="344"/>
      <c r="N341" s="344"/>
      <c r="O341" s="344"/>
      <c r="P341" s="344"/>
      <c r="Q341" s="344"/>
      <c r="R341" s="344"/>
      <c r="S341" s="344"/>
      <c r="T341" s="344"/>
      <c r="U341" s="344"/>
      <c r="V341" s="344"/>
      <c r="W341" s="344"/>
      <c r="X341" s="344"/>
      <c r="Y341" s="344"/>
      <c r="Z341" s="344"/>
      <c r="AA341" s="344"/>
      <c r="AB341" s="344"/>
      <c r="AC341" s="344"/>
      <c r="AD341" s="344"/>
      <c r="AE341" s="344"/>
      <c r="AF341" s="344"/>
      <c r="AG341" s="344"/>
    </row>
    <row r="342">
      <c r="A342" s="129"/>
      <c r="B342" s="129"/>
      <c r="C342" s="433" t="s">
        <v>919</v>
      </c>
      <c r="D342" s="436">
        <v>2021.0</v>
      </c>
      <c r="E342" s="436" t="s">
        <v>854</v>
      </c>
      <c r="F342" s="348"/>
      <c r="G342" s="344"/>
      <c r="H342" s="344"/>
      <c r="I342" s="344"/>
      <c r="J342" s="344"/>
      <c r="K342" s="344"/>
      <c r="L342" s="344"/>
      <c r="M342" s="344"/>
      <c r="N342" s="344"/>
      <c r="O342" s="344"/>
      <c r="P342" s="344"/>
      <c r="Q342" s="344"/>
      <c r="R342" s="344"/>
      <c r="S342" s="344"/>
      <c r="T342" s="344"/>
      <c r="U342" s="344"/>
      <c r="V342" s="344"/>
      <c r="W342" s="344"/>
      <c r="X342" s="344"/>
      <c r="Y342" s="344"/>
      <c r="Z342" s="344"/>
      <c r="AA342" s="344"/>
      <c r="AB342" s="344"/>
      <c r="AC342" s="344"/>
      <c r="AD342" s="344"/>
      <c r="AE342" s="344"/>
      <c r="AF342" s="344"/>
      <c r="AG342" s="344"/>
    </row>
    <row r="343">
      <c r="A343" s="129"/>
      <c r="B343" s="129"/>
      <c r="C343" s="433" t="s">
        <v>920</v>
      </c>
      <c r="D343" s="436">
        <v>2021.0</v>
      </c>
      <c r="E343" s="436" t="s">
        <v>854</v>
      </c>
      <c r="F343" s="348"/>
      <c r="G343" s="344"/>
      <c r="H343" s="344"/>
      <c r="I343" s="344"/>
      <c r="J343" s="344"/>
      <c r="K343" s="344"/>
      <c r="L343" s="344"/>
      <c r="M343" s="344"/>
      <c r="N343" s="344"/>
      <c r="O343" s="344"/>
      <c r="P343" s="344"/>
      <c r="Q343" s="344"/>
      <c r="R343" s="344"/>
      <c r="S343" s="344"/>
      <c r="T343" s="344"/>
      <c r="U343" s="344"/>
      <c r="V343" s="344"/>
      <c r="W343" s="344"/>
      <c r="X343" s="344"/>
      <c r="Y343" s="344"/>
      <c r="Z343" s="344"/>
      <c r="AA343" s="344"/>
      <c r="AB343" s="344"/>
      <c r="AC343" s="344"/>
      <c r="AD343" s="344"/>
      <c r="AE343" s="344"/>
      <c r="AF343" s="344"/>
      <c r="AG343" s="344"/>
    </row>
    <row r="344">
      <c r="A344" s="56"/>
      <c r="B344" s="56"/>
      <c r="C344" s="433" t="s">
        <v>921</v>
      </c>
      <c r="D344" s="436">
        <v>2021.0</v>
      </c>
      <c r="E344" s="436" t="s">
        <v>854</v>
      </c>
      <c r="F344" s="348"/>
      <c r="G344" s="344"/>
      <c r="H344" s="344"/>
      <c r="I344" s="344"/>
      <c r="J344" s="344"/>
      <c r="K344" s="344"/>
      <c r="L344" s="344"/>
      <c r="M344" s="344"/>
      <c r="N344" s="344"/>
      <c r="O344" s="344"/>
      <c r="P344" s="344"/>
      <c r="Q344" s="344"/>
      <c r="R344" s="344"/>
      <c r="S344" s="344"/>
      <c r="T344" s="344"/>
      <c r="U344" s="344"/>
      <c r="V344" s="344"/>
      <c r="W344" s="344"/>
      <c r="X344" s="344"/>
      <c r="Y344" s="344"/>
      <c r="Z344" s="344"/>
      <c r="AA344" s="344"/>
      <c r="AB344" s="344"/>
      <c r="AC344" s="344"/>
      <c r="AD344" s="344"/>
      <c r="AE344" s="344"/>
      <c r="AF344" s="344"/>
      <c r="AG344" s="344"/>
    </row>
    <row r="345">
      <c r="A345" s="344"/>
      <c r="B345" s="362" t="s">
        <v>723</v>
      </c>
      <c r="C345" s="344"/>
      <c r="D345" s="344"/>
      <c r="E345" s="344"/>
      <c r="F345" s="348"/>
      <c r="G345" s="344"/>
      <c r="H345" s="344"/>
      <c r="I345" s="344"/>
      <c r="J345" s="344"/>
      <c r="K345" s="344"/>
      <c r="L345" s="344"/>
      <c r="M345" s="344"/>
      <c r="N345" s="344"/>
      <c r="O345" s="344"/>
      <c r="P345" s="344"/>
      <c r="Q345" s="344"/>
      <c r="R345" s="344"/>
      <c r="S345" s="344"/>
      <c r="T345" s="344"/>
      <c r="U345" s="344"/>
      <c r="V345" s="344"/>
      <c r="W345" s="344"/>
      <c r="X345" s="344"/>
      <c r="Y345" s="344"/>
      <c r="Z345" s="344"/>
      <c r="AA345" s="344"/>
      <c r="AB345" s="344"/>
      <c r="AC345" s="344"/>
      <c r="AD345" s="344"/>
      <c r="AE345" s="344"/>
      <c r="AF345" s="344"/>
      <c r="AG345" s="344"/>
    </row>
    <row r="346">
      <c r="A346" s="344"/>
      <c r="B346" s="344"/>
      <c r="C346" s="344"/>
      <c r="D346" s="344"/>
      <c r="E346" s="344"/>
      <c r="F346" s="348"/>
      <c r="G346" s="344"/>
      <c r="H346" s="344"/>
      <c r="I346" s="344"/>
      <c r="J346" s="344"/>
      <c r="K346" s="344"/>
      <c r="L346" s="344"/>
      <c r="M346" s="344"/>
      <c r="N346" s="344"/>
      <c r="O346" s="344"/>
      <c r="P346" s="344"/>
      <c r="Q346" s="344"/>
      <c r="R346" s="344"/>
      <c r="S346" s="344"/>
      <c r="T346" s="344"/>
      <c r="U346" s="344"/>
      <c r="V346" s="344"/>
      <c r="W346" s="344"/>
      <c r="X346" s="344"/>
      <c r="Y346" s="344"/>
      <c r="Z346" s="344"/>
      <c r="AA346" s="344"/>
      <c r="AB346" s="344"/>
      <c r="AC346" s="344"/>
      <c r="AD346" s="344"/>
      <c r="AE346" s="344"/>
      <c r="AF346" s="344"/>
      <c r="AG346" s="344"/>
    </row>
    <row r="347">
      <c r="A347" s="341" t="s">
        <v>922</v>
      </c>
      <c r="B347" s="344"/>
      <c r="C347" s="344"/>
      <c r="D347" s="344"/>
      <c r="E347" s="344"/>
      <c r="F347" s="348"/>
      <c r="G347" s="344"/>
      <c r="H347" s="344"/>
      <c r="I347" s="344"/>
      <c r="J347" s="344"/>
      <c r="K347" s="344"/>
      <c r="L347" s="344"/>
      <c r="M347" s="344"/>
      <c r="N347" s="344"/>
      <c r="O347" s="344"/>
      <c r="P347" s="344"/>
      <c r="Q347" s="344"/>
      <c r="R347" s="344"/>
      <c r="S347" s="344"/>
      <c r="T347" s="344"/>
      <c r="U347" s="344"/>
      <c r="V347" s="344"/>
      <c r="W347" s="344"/>
      <c r="X347" s="344"/>
      <c r="Y347" s="344"/>
      <c r="Z347" s="344"/>
      <c r="AA347" s="344"/>
      <c r="AB347" s="344"/>
      <c r="AC347" s="344"/>
      <c r="AD347" s="344"/>
      <c r="AE347" s="344"/>
      <c r="AF347" s="344"/>
      <c r="AG347" s="344"/>
    </row>
    <row r="348">
      <c r="A348" s="438" t="s">
        <v>0</v>
      </c>
      <c r="B348" s="439" t="s">
        <v>923</v>
      </c>
      <c r="C348" s="439" t="s">
        <v>924</v>
      </c>
      <c r="D348" s="439" t="s">
        <v>925</v>
      </c>
      <c r="E348" s="439" t="s">
        <v>926</v>
      </c>
      <c r="F348" s="440"/>
      <c r="G348" s="216"/>
      <c r="H348" s="216"/>
      <c r="I348" s="216"/>
      <c r="J348" s="216"/>
      <c r="K348" s="216"/>
      <c r="L348" s="216"/>
      <c r="M348" s="216"/>
      <c r="N348" s="216"/>
      <c r="O348" s="216"/>
      <c r="P348" s="216"/>
      <c r="Q348" s="216"/>
      <c r="R348" s="216"/>
      <c r="S348" s="216"/>
      <c r="T348" s="216"/>
      <c r="U348" s="216"/>
      <c r="V348" s="216"/>
      <c r="W348" s="216"/>
      <c r="X348" s="216"/>
      <c r="Y348" s="216"/>
      <c r="Z348" s="216"/>
      <c r="AA348" s="216"/>
      <c r="AB348" s="216"/>
      <c r="AC348" s="216"/>
      <c r="AD348" s="344"/>
      <c r="AE348" s="344"/>
      <c r="AF348" s="344"/>
      <c r="AG348" s="344"/>
    </row>
    <row r="349">
      <c r="A349" s="441">
        <v>1.0</v>
      </c>
      <c r="B349" s="442" t="s">
        <v>848</v>
      </c>
      <c r="C349" s="443">
        <v>2022.0</v>
      </c>
      <c r="D349" s="444" t="s">
        <v>927</v>
      </c>
      <c r="E349" s="444"/>
      <c r="F349" s="440"/>
      <c r="G349" s="216"/>
      <c r="H349" s="216"/>
      <c r="I349" s="216"/>
      <c r="J349" s="216"/>
      <c r="K349" s="216"/>
      <c r="L349" s="216"/>
      <c r="M349" s="216"/>
      <c r="N349" s="216"/>
      <c r="O349" s="216"/>
      <c r="P349" s="216"/>
      <c r="Q349" s="216"/>
      <c r="R349" s="216"/>
      <c r="S349" s="216"/>
      <c r="T349" s="216"/>
      <c r="U349" s="216"/>
      <c r="V349" s="216"/>
      <c r="W349" s="216"/>
      <c r="X349" s="216"/>
      <c r="Y349" s="216"/>
      <c r="Z349" s="216"/>
      <c r="AA349" s="216"/>
      <c r="AB349" s="216"/>
      <c r="AC349" s="216"/>
      <c r="AD349" s="344"/>
      <c r="AE349" s="344"/>
      <c r="AF349" s="344"/>
      <c r="AG349" s="344"/>
    </row>
    <row r="350">
      <c r="A350" s="445"/>
      <c r="B350" s="442"/>
      <c r="C350" s="443">
        <v>2022.0</v>
      </c>
      <c r="D350" s="442" t="s">
        <v>928</v>
      </c>
      <c r="E350" s="442" t="s">
        <v>929</v>
      </c>
      <c r="F350" s="440"/>
      <c r="G350" s="216"/>
      <c r="H350" s="216"/>
      <c r="I350" s="216"/>
      <c r="J350" s="216"/>
      <c r="K350" s="216"/>
      <c r="L350" s="216"/>
      <c r="M350" s="216"/>
      <c r="N350" s="216"/>
      <c r="O350" s="216"/>
      <c r="P350" s="216"/>
      <c r="Q350" s="216"/>
      <c r="R350" s="216"/>
      <c r="S350" s="216"/>
      <c r="T350" s="216"/>
      <c r="U350" s="216"/>
      <c r="V350" s="216"/>
      <c r="W350" s="216"/>
      <c r="X350" s="216"/>
      <c r="Y350" s="216"/>
      <c r="Z350" s="216"/>
      <c r="AA350" s="216"/>
      <c r="AB350" s="216"/>
      <c r="AC350" s="216"/>
      <c r="AD350" s="344"/>
      <c r="AE350" s="344"/>
      <c r="AF350" s="344"/>
      <c r="AG350" s="344"/>
    </row>
    <row r="351">
      <c r="A351" s="445"/>
      <c r="B351" s="442"/>
      <c r="C351" s="443">
        <v>2023.0</v>
      </c>
      <c r="D351" s="442" t="s">
        <v>930</v>
      </c>
      <c r="E351" s="442" t="s">
        <v>929</v>
      </c>
      <c r="F351" s="440"/>
      <c r="G351" s="216"/>
      <c r="H351" s="216"/>
      <c r="I351" s="216"/>
      <c r="J351" s="216"/>
      <c r="K351" s="216"/>
      <c r="L351" s="216"/>
      <c r="M351" s="216"/>
      <c r="N351" s="216"/>
      <c r="O351" s="216"/>
      <c r="P351" s="216"/>
      <c r="Q351" s="216"/>
      <c r="R351" s="216"/>
      <c r="S351" s="216"/>
      <c r="T351" s="216"/>
      <c r="U351" s="216"/>
      <c r="V351" s="216"/>
      <c r="W351" s="216"/>
      <c r="X351" s="216"/>
      <c r="Y351" s="216"/>
      <c r="Z351" s="216"/>
      <c r="AA351" s="216"/>
      <c r="AB351" s="216"/>
      <c r="AC351" s="216"/>
      <c r="AD351" s="344"/>
      <c r="AE351" s="344"/>
      <c r="AF351" s="344"/>
      <c r="AG351" s="344"/>
    </row>
    <row r="352">
      <c r="A352" s="445"/>
      <c r="B352" s="442"/>
      <c r="C352" s="443">
        <v>2023.0</v>
      </c>
      <c r="D352" s="442" t="s">
        <v>931</v>
      </c>
      <c r="E352" s="442" t="s">
        <v>929</v>
      </c>
      <c r="F352" s="440"/>
      <c r="G352" s="216"/>
      <c r="H352" s="216"/>
      <c r="I352" s="216"/>
      <c r="J352" s="216"/>
      <c r="K352" s="216"/>
      <c r="L352" s="216"/>
      <c r="M352" s="216"/>
      <c r="N352" s="216"/>
      <c r="O352" s="216"/>
      <c r="P352" s="216"/>
      <c r="Q352" s="216"/>
      <c r="R352" s="216"/>
      <c r="S352" s="216"/>
      <c r="T352" s="216"/>
      <c r="U352" s="216"/>
      <c r="V352" s="216"/>
      <c r="W352" s="216"/>
      <c r="X352" s="216"/>
      <c r="Y352" s="216"/>
      <c r="Z352" s="216"/>
      <c r="AA352" s="216"/>
      <c r="AB352" s="216"/>
      <c r="AC352" s="216"/>
      <c r="AD352" s="344"/>
      <c r="AE352" s="344"/>
      <c r="AF352" s="344"/>
      <c r="AG352" s="344"/>
    </row>
    <row r="353">
      <c r="A353" s="445"/>
      <c r="B353" s="442"/>
      <c r="C353" s="443">
        <v>2023.0</v>
      </c>
      <c r="D353" s="442" t="s">
        <v>932</v>
      </c>
      <c r="E353" s="442" t="s">
        <v>933</v>
      </c>
      <c r="F353" s="440"/>
      <c r="G353" s="216"/>
      <c r="H353" s="216"/>
      <c r="I353" s="216"/>
      <c r="J353" s="216"/>
      <c r="K353" s="216"/>
      <c r="L353" s="216"/>
      <c r="M353" s="216"/>
      <c r="N353" s="216"/>
      <c r="O353" s="216"/>
      <c r="P353" s="216"/>
      <c r="Q353" s="216"/>
      <c r="R353" s="216"/>
      <c r="S353" s="216"/>
      <c r="T353" s="216"/>
      <c r="U353" s="216"/>
      <c r="V353" s="216"/>
      <c r="W353" s="216"/>
      <c r="X353" s="216"/>
      <c r="Y353" s="216"/>
      <c r="Z353" s="216"/>
      <c r="AA353" s="216"/>
      <c r="AB353" s="216"/>
      <c r="AC353" s="216"/>
      <c r="AD353" s="344"/>
      <c r="AE353" s="344"/>
      <c r="AF353" s="344"/>
      <c r="AG353" s="344"/>
    </row>
    <row r="354">
      <c r="A354" s="445"/>
      <c r="B354" s="442"/>
      <c r="C354" s="443">
        <v>2023.0</v>
      </c>
      <c r="D354" s="444" t="s">
        <v>934</v>
      </c>
      <c r="E354" s="442"/>
      <c r="F354" s="440"/>
      <c r="G354" s="216"/>
      <c r="H354" s="216"/>
      <c r="I354" s="216"/>
      <c r="J354" s="216"/>
      <c r="K354" s="216"/>
      <c r="L354" s="216"/>
      <c r="M354" s="216"/>
      <c r="N354" s="216"/>
      <c r="O354" s="216"/>
      <c r="P354" s="216"/>
      <c r="Q354" s="216"/>
      <c r="R354" s="216"/>
      <c r="S354" s="216"/>
      <c r="T354" s="216"/>
      <c r="U354" s="216"/>
      <c r="V354" s="216"/>
      <c r="W354" s="216"/>
      <c r="X354" s="216"/>
      <c r="Y354" s="216"/>
      <c r="Z354" s="216"/>
      <c r="AA354" s="216"/>
      <c r="AB354" s="216"/>
      <c r="AC354" s="216"/>
      <c r="AD354" s="344"/>
      <c r="AE354" s="344"/>
      <c r="AF354" s="344"/>
      <c r="AG354" s="344"/>
    </row>
    <row r="355">
      <c r="A355" s="445"/>
      <c r="B355" s="442"/>
      <c r="C355" s="443">
        <v>2024.0</v>
      </c>
      <c r="D355" s="446" t="s">
        <v>935</v>
      </c>
      <c r="E355" s="442" t="s">
        <v>929</v>
      </c>
      <c r="F355" s="440"/>
      <c r="G355" s="216"/>
      <c r="H355" s="216"/>
      <c r="I355" s="216"/>
      <c r="J355" s="216"/>
      <c r="K355" s="216"/>
      <c r="L355" s="216"/>
      <c r="M355" s="216"/>
      <c r="N355" s="216"/>
      <c r="O355" s="216"/>
      <c r="P355" s="216"/>
      <c r="Q355" s="216"/>
      <c r="R355" s="216"/>
      <c r="S355" s="216"/>
      <c r="T355" s="216"/>
      <c r="U355" s="216"/>
      <c r="V355" s="216"/>
      <c r="W355" s="216"/>
      <c r="X355" s="216"/>
      <c r="Y355" s="216"/>
      <c r="Z355" s="216"/>
      <c r="AA355" s="216"/>
      <c r="AB355" s="216"/>
      <c r="AC355" s="216"/>
      <c r="AD355" s="344"/>
      <c r="AE355" s="344"/>
      <c r="AF355" s="344"/>
      <c r="AG355" s="344"/>
    </row>
    <row r="356">
      <c r="A356" s="445"/>
      <c r="B356" s="442"/>
      <c r="C356" s="443">
        <v>2024.0</v>
      </c>
      <c r="D356" s="447" t="s">
        <v>936</v>
      </c>
      <c r="E356" s="444"/>
      <c r="F356" s="440"/>
      <c r="G356" s="216"/>
      <c r="H356" s="216"/>
      <c r="I356" s="216"/>
      <c r="J356" s="216"/>
      <c r="K356" s="216"/>
      <c r="L356" s="216"/>
      <c r="M356" s="216"/>
      <c r="N356" s="216"/>
      <c r="O356" s="216"/>
      <c r="P356" s="216"/>
      <c r="Q356" s="216"/>
      <c r="R356" s="216"/>
      <c r="S356" s="216"/>
      <c r="T356" s="216"/>
      <c r="U356" s="216"/>
      <c r="V356" s="216"/>
      <c r="W356" s="216"/>
      <c r="X356" s="216"/>
      <c r="Y356" s="216"/>
      <c r="Z356" s="216"/>
      <c r="AA356" s="216"/>
      <c r="AB356" s="216"/>
      <c r="AC356" s="216"/>
      <c r="AD356" s="344"/>
      <c r="AE356" s="344"/>
      <c r="AF356" s="344"/>
      <c r="AG356" s="344"/>
    </row>
    <row r="357">
      <c r="A357" s="445"/>
      <c r="B357" s="442"/>
      <c r="C357" s="443">
        <v>2024.0</v>
      </c>
      <c r="D357" s="442" t="s">
        <v>937</v>
      </c>
      <c r="E357" s="442"/>
      <c r="F357" s="440"/>
      <c r="G357" s="216"/>
      <c r="H357" s="216"/>
      <c r="I357" s="216"/>
      <c r="J357" s="216"/>
      <c r="K357" s="216"/>
      <c r="L357" s="216"/>
      <c r="M357" s="216"/>
      <c r="N357" s="216"/>
      <c r="O357" s="216"/>
      <c r="P357" s="216"/>
      <c r="Q357" s="216"/>
      <c r="R357" s="216"/>
      <c r="S357" s="216"/>
      <c r="T357" s="216"/>
      <c r="U357" s="216"/>
      <c r="V357" s="216"/>
      <c r="W357" s="216"/>
      <c r="X357" s="216"/>
      <c r="Y357" s="216"/>
      <c r="Z357" s="216"/>
      <c r="AA357" s="216"/>
      <c r="AB357" s="216"/>
      <c r="AC357" s="216"/>
      <c r="AD357" s="344"/>
      <c r="AE357" s="344"/>
      <c r="AF357" s="344"/>
      <c r="AG357" s="344"/>
    </row>
    <row r="358">
      <c r="A358" s="445"/>
      <c r="B358" s="442"/>
      <c r="C358" s="443">
        <v>2024.0</v>
      </c>
      <c r="D358" s="444" t="s">
        <v>938</v>
      </c>
      <c r="E358" s="442"/>
      <c r="F358" s="440"/>
      <c r="G358" s="216"/>
      <c r="H358" s="216"/>
      <c r="I358" s="216"/>
      <c r="J358" s="216"/>
      <c r="K358" s="216"/>
      <c r="L358" s="216"/>
      <c r="M358" s="216"/>
      <c r="N358" s="216"/>
      <c r="O358" s="216"/>
      <c r="P358" s="216"/>
      <c r="Q358" s="216"/>
      <c r="R358" s="216"/>
      <c r="S358" s="216"/>
      <c r="T358" s="216"/>
      <c r="U358" s="216"/>
      <c r="V358" s="216"/>
      <c r="W358" s="216"/>
      <c r="X358" s="216"/>
      <c r="Y358" s="216"/>
      <c r="Z358" s="216"/>
      <c r="AA358" s="216"/>
      <c r="AB358" s="216"/>
      <c r="AC358" s="216"/>
      <c r="AD358" s="344"/>
      <c r="AE358" s="344"/>
      <c r="AF358" s="344"/>
      <c r="AG358" s="344"/>
    </row>
    <row r="359">
      <c r="A359" s="445"/>
      <c r="B359" s="442"/>
      <c r="C359" s="443">
        <v>2024.0</v>
      </c>
      <c r="D359" s="444" t="s">
        <v>936</v>
      </c>
      <c r="E359" s="444"/>
      <c r="F359" s="440"/>
      <c r="G359" s="216"/>
      <c r="H359" s="216"/>
      <c r="I359" s="216"/>
      <c r="J359" s="216"/>
      <c r="K359" s="216"/>
      <c r="L359" s="216"/>
      <c r="M359" s="216"/>
      <c r="N359" s="216"/>
      <c r="O359" s="216"/>
      <c r="P359" s="216"/>
      <c r="Q359" s="216"/>
      <c r="R359" s="216"/>
      <c r="S359" s="216"/>
      <c r="T359" s="216"/>
      <c r="U359" s="216"/>
      <c r="V359" s="216"/>
      <c r="W359" s="216"/>
      <c r="X359" s="216"/>
      <c r="Y359" s="216"/>
      <c r="Z359" s="216"/>
      <c r="AA359" s="216"/>
      <c r="AB359" s="216"/>
      <c r="AC359" s="216"/>
      <c r="AD359" s="344"/>
      <c r="AE359" s="344"/>
      <c r="AF359" s="344"/>
      <c r="AG359" s="344"/>
    </row>
    <row r="360">
      <c r="A360" s="441">
        <v>2.0</v>
      </c>
      <c r="B360" s="442" t="s">
        <v>731</v>
      </c>
      <c r="C360" s="443">
        <v>2024.0</v>
      </c>
      <c r="D360" s="447" t="s">
        <v>939</v>
      </c>
      <c r="E360" s="442"/>
      <c r="F360" s="440"/>
      <c r="G360" s="216"/>
      <c r="H360" s="216"/>
      <c r="I360" s="216"/>
      <c r="J360" s="216"/>
      <c r="K360" s="216"/>
      <c r="L360" s="216"/>
      <c r="M360" s="216"/>
      <c r="N360" s="216"/>
      <c r="O360" s="216"/>
      <c r="P360" s="216"/>
      <c r="Q360" s="216"/>
      <c r="R360" s="216"/>
      <c r="S360" s="216"/>
      <c r="T360" s="216"/>
      <c r="U360" s="216"/>
      <c r="V360" s="216"/>
      <c r="W360" s="216"/>
      <c r="X360" s="216"/>
      <c r="Y360" s="216"/>
      <c r="Z360" s="216"/>
      <c r="AA360" s="216"/>
      <c r="AB360" s="216"/>
      <c r="AC360" s="216"/>
      <c r="AD360" s="344"/>
      <c r="AE360" s="344"/>
      <c r="AF360" s="344"/>
      <c r="AG360" s="344"/>
    </row>
    <row r="361">
      <c r="A361" s="441">
        <v>3.0</v>
      </c>
      <c r="B361" s="442" t="s">
        <v>540</v>
      </c>
      <c r="C361" s="443">
        <v>2022.0</v>
      </c>
      <c r="D361" s="444" t="s">
        <v>940</v>
      </c>
      <c r="E361" s="444"/>
      <c r="F361" s="440"/>
      <c r="G361" s="216"/>
      <c r="H361" s="216"/>
      <c r="I361" s="216"/>
      <c r="J361" s="216"/>
      <c r="K361" s="216"/>
      <c r="L361" s="216"/>
      <c r="M361" s="216"/>
      <c r="N361" s="216"/>
      <c r="O361" s="216"/>
      <c r="P361" s="216"/>
      <c r="Q361" s="216"/>
      <c r="R361" s="216"/>
      <c r="S361" s="216"/>
      <c r="T361" s="216"/>
      <c r="U361" s="216"/>
      <c r="V361" s="216"/>
      <c r="W361" s="216"/>
      <c r="X361" s="216"/>
      <c r="Y361" s="216"/>
      <c r="Z361" s="216"/>
      <c r="AA361" s="216"/>
      <c r="AB361" s="216"/>
      <c r="AC361" s="216"/>
      <c r="AD361" s="344"/>
      <c r="AE361" s="344"/>
      <c r="AF361" s="344"/>
      <c r="AG361" s="344"/>
    </row>
    <row r="362">
      <c r="A362" s="445"/>
      <c r="B362" s="442"/>
      <c r="C362" s="443">
        <v>2022.0</v>
      </c>
      <c r="D362" s="444" t="s">
        <v>941</v>
      </c>
      <c r="E362" s="444"/>
      <c r="F362" s="440"/>
      <c r="G362" s="216"/>
      <c r="H362" s="216"/>
      <c r="I362" s="216"/>
      <c r="J362" s="216"/>
      <c r="K362" s="216"/>
      <c r="L362" s="216"/>
      <c r="M362" s="216"/>
      <c r="N362" s="216"/>
      <c r="O362" s="216"/>
      <c r="P362" s="216"/>
      <c r="Q362" s="216"/>
      <c r="R362" s="216"/>
      <c r="S362" s="216"/>
      <c r="T362" s="216"/>
      <c r="U362" s="216"/>
      <c r="V362" s="216"/>
      <c r="W362" s="216"/>
      <c r="X362" s="216"/>
      <c r="Y362" s="216"/>
      <c r="Z362" s="216"/>
      <c r="AA362" s="216"/>
      <c r="AB362" s="216"/>
      <c r="AC362" s="216"/>
      <c r="AD362" s="344"/>
      <c r="AE362" s="344"/>
      <c r="AF362" s="344"/>
      <c r="AG362" s="344"/>
    </row>
    <row r="363">
      <c r="A363" s="445"/>
      <c r="B363" s="442"/>
      <c r="C363" s="443">
        <v>2023.0</v>
      </c>
      <c r="D363" s="442" t="s">
        <v>942</v>
      </c>
      <c r="E363" s="442" t="s">
        <v>929</v>
      </c>
      <c r="F363" s="440"/>
      <c r="G363" s="216"/>
      <c r="H363" s="216"/>
      <c r="I363" s="216"/>
      <c r="J363" s="216"/>
      <c r="K363" s="216"/>
      <c r="L363" s="216"/>
      <c r="M363" s="216"/>
      <c r="N363" s="216"/>
      <c r="O363" s="216"/>
      <c r="P363" s="216"/>
      <c r="Q363" s="216"/>
      <c r="R363" s="216"/>
      <c r="S363" s="216"/>
      <c r="T363" s="216"/>
      <c r="U363" s="216"/>
      <c r="V363" s="216"/>
      <c r="W363" s="216"/>
      <c r="X363" s="216"/>
      <c r="Y363" s="216"/>
      <c r="Z363" s="216"/>
      <c r="AA363" s="216"/>
      <c r="AB363" s="216"/>
      <c r="AC363" s="216"/>
      <c r="AD363" s="344"/>
      <c r="AE363" s="344"/>
      <c r="AF363" s="344"/>
      <c r="AG363" s="344"/>
    </row>
    <row r="364">
      <c r="A364" s="445"/>
      <c r="B364" s="442"/>
      <c r="C364" s="443">
        <v>2023.0</v>
      </c>
      <c r="D364" s="444" t="s">
        <v>943</v>
      </c>
      <c r="E364" s="442"/>
      <c r="F364" s="440"/>
      <c r="G364" s="216"/>
      <c r="H364" s="216"/>
      <c r="I364" s="216"/>
      <c r="J364" s="216"/>
      <c r="K364" s="216"/>
      <c r="L364" s="216"/>
      <c r="M364" s="216"/>
      <c r="N364" s="216"/>
      <c r="O364" s="216"/>
      <c r="P364" s="216"/>
      <c r="Q364" s="216"/>
      <c r="R364" s="216"/>
      <c r="S364" s="216"/>
      <c r="T364" s="216"/>
      <c r="U364" s="216"/>
      <c r="V364" s="216"/>
      <c r="W364" s="216"/>
      <c r="X364" s="216"/>
      <c r="Y364" s="216"/>
      <c r="Z364" s="216"/>
      <c r="AA364" s="216"/>
      <c r="AB364" s="216"/>
      <c r="AC364" s="216"/>
      <c r="AD364" s="344"/>
      <c r="AE364" s="344"/>
      <c r="AF364" s="344"/>
      <c r="AG364" s="344"/>
    </row>
    <row r="365">
      <c r="A365" s="445"/>
      <c r="B365" s="442"/>
      <c r="C365" s="443">
        <v>2024.0</v>
      </c>
      <c r="D365" s="442" t="s">
        <v>938</v>
      </c>
      <c r="E365" s="442" t="s">
        <v>929</v>
      </c>
      <c r="F365" s="440"/>
      <c r="G365" s="216"/>
      <c r="H365" s="216"/>
      <c r="I365" s="216"/>
      <c r="J365" s="216"/>
      <c r="K365" s="216"/>
      <c r="L365" s="216"/>
      <c r="M365" s="216"/>
      <c r="N365" s="216"/>
      <c r="O365" s="216"/>
      <c r="P365" s="216"/>
      <c r="Q365" s="216"/>
      <c r="R365" s="216"/>
      <c r="S365" s="216"/>
      <c r="T365" s="216"/>
      <c r="U365" s="216"/>
      <c r="V365" s="216"/>
      <c r="W365" s="216"/>
      <c r="X365" s="216"/>
      <c r="Y365" s="216"/>
      <c r="Z365" s="216"/>
      <c r="AA365" s="216"/>
      <c r="AB365" s="216"/>
      <c r="AC365" s="216"/>
      <c r="AD365" s="344"/>
      <c r="AE365" s="344"/>
      <c r="AF365" s="344"/>
      <c r="AG365" s="344"/>
    </row>
    <row r="366">
      <c r="A366" s="445"/>
      <c r="B366" s="442"/>
      <c r="C366" s="443">
        <v>2024.0</v>
      </c>
      <c r="D366" s="446" t="s">
        <v>944</v>
      </c>
      <c r="E366" s="442" t="s">
        <v>929</v>
      </c>
      <c r="F366" s="440"/>
      <c r="G366" s="216"/>
      <c r="H366" s="216"/>
      <c r="I366" s="216"/>
      <c r="J366" s="216"/>
      <c r="K366" s="216"/>
      <c r="L366" s="216"/>
      <c r="M366" s="216"/>
      <c r="N366" s="216"/>
      <c r="O366" s="216"/>
      <c r="P366" s="216"/>
      <c r="Q366" s="216"/>
      <c r="R366" s="216"/>
      <c r="S366" s="216"/>
      <c r="T366" s="216"/>
      <c r="U366" s="216"/>
      <c r="V366" s="216"/>
      <c r="W366" s="216"/>
      <c r="X366" s="216"/>
      <c r="Y366" s="216"/>
      <c r="Z366" s="216"/>
      <c r="AA366" s="216"/>
      <c r="AB366" s="216"/>
      <c r="AC366" s="216"/>
      <c r="AD366" s="344"/>
      <c r="AE366" s="344"/>
      <c r="AF366" s="344"/>
      <c r="AG366" s="344"/>
    </row>
    <row r="367">
      <c r="A367" s="441">
        <v>4.0</v>
      </c>
      <c r="B367" s="442" t="s">
        <v>733</v>
      </c>
      <c r="C367" s="443">
        <v>2022.0</v>
      </c>
      <c r="D367" s="447" t="s">
        <v>945</v>
      </c>
      <c r="E367" s="444"/>
      <c r="F367" s="440"/>
      <c r="G367" s="216"/>
      <c r="H367" s="216"/>
      <c r="I367" s="216"/>
      <c r="J367" s="216"/>
      <c r="K367" s="216"/>
      <c r="L367" s="216"/>
      <c r="M367" s="216"/>
      <c r="N367" s="216"/>
      <c r="O367" s="216"/>
      <c r="P367" s="216"/>
      <c r="Q367" s="216"/>
      <c r="R367" s="216"/>
      <c r="S367" s="216"/>
      <c r="T367" s="216"/>
      <c r="U367" s="216"/>
      <c r="V367" s="216"/>
      <c r="W367" s="216"/>
      <c r="X367" s="216"/>
      <c r="Y367" s="216"/>
      <c r="Z367" s="216"/>
      <c r="AA367" s="216"/>
      <c r="AB367" s="216"/>
      <c r="AC367" s="216"/>
      <c r="AD367" s="344"/>
      <c r="AE367" s="344"/>
      <c r="AF367" s="344"/>
      <c r="AG367" s="344"/>
    </row>
    <row r="368">
      <c r="A368" s="445"/>
      <c r="B368" s="442"/>
      <c r="C368" s="443">
        <v>2023.0</v>
      </c>
      <c r="D368" s="447" t="s">
        <v>946</v>
      </c>
      <c r="E368" s="442"/>
      <c r="F368" s="440"/>
      <c r="G368" s="216"/>
      <c r="H368" s="216"/>
      <c r="I368" s="216"/>
      <c r="J368" s="216"/>
      <c r="K368" s="216"/>
      <c r="L368" s="216"/>
      <c r="M368" s="216"/>
      <c r="N368" s="216"/>
      <c r="O368" s="216"/>
      <c r="P368" s="216"/>
      <c r="Q368" s="216"/>
      <c r="R368" s="216"/>
      <c r="S368" s="216"/>
      <c r="T368" s="216"/>
      <c r="U368" s="216"/>
      <c r="V368" s="216"/>
      <c r="W368" s="216"/>
      <c r="X368" s="216"/>
      <c r="Y368" s="216"/>
      <c r="Z368" s="216"/>
      <c r="AA368" s="216"/>
      <c r="AB368" s="216"/>
      <c r="AC368" s="216"/>
      <c r="AD368" s="344"/>
      <c r="AE368" s="344"/>
      <c r="AF368" s="344"/>
      <c r="AG368" s="344"/>
    </row>
    <row r="369">
      <c r="A369" s="445"/>
      <c r="B369" s="442"/>
      <c r="C369" s="443">
        <v>2024.0</v>
      </c>
      <c r="D369" s="446" t="s">
        <v>947</v>
      </c>
      <c r="E369" s="442"/>
      <c r="F369" s="440"/>
      <c r="G369" s="216"/>
      <c r="H369" s="216"/>
      <c r="I369" s="216"/>
      <c r="J369" s="216"/>
      <c r="K369" s="216"/>
      <c r="L369" s="216"/>
      <c r="M369" s="216"/>
      <c r="N369" s="216"/>
      <c r="O369" s="216"/>
      <c r="P369" s="216"/>
      <c r="Q369" s="216"/>
      <c r="R369" s="216"/>
      <c r="S369" s="216"/>
      <c r="T369" s="216"/>
      <c r="U369" s="216"/>
      <c r="V369" s="216"/>
      <c r="W369" s="216"/>
      <c r="X369" s="216"/>
      <c r="Y369" s="216"/>
      <c r="Z369" s="216"/>
      <c r="AA369" s="216"/>
      <c r="AB369" s="216"/>
      <c r="AC369" s="216"/>
      <c r="AD369" s="344"/>
      <c r="AE369" s="344"/>
      <c r="AF369" s="344"/>
      <c r="AG369" s="344"/>
    </row>
    <row r="370">
      <c r="A370" s="445"/>
      <c r="B370" s="442"/>
      <c r="C370" s="443">
        <v>2024.0</v>
      </c>
      <c r="D370" s="444" t="s">
        <v>948</v>
      </c>
      <c r="E370" s="444"/>
      <c r="F370" s="440"/>
      <c r="G370" s="216"/>
      <c r="H370" s="216"/>
      <c r="I370" s="216"/>
      <c r="J370" s="216"/>
      <c r="K370" s="216"/>
      <c r="L370" s="216"/>
      <c r="M370" s="216"/>
      <c r="N370" s="216"/>
      <c r="O370" s="216"/>
      <c r="P370" s="216"/>
      <c r="Q370" s="216"/>
      <c r="R370" s="216"/>
      <c r="S370" s="216"/>
      <c r="T370" s="216"/>
      <c r="U370" s="216"/>
      <c r="V370" s="216"/>
      <c r="W370" s="216"/>
      <c r="X370" s="216"/>
      <c r="Y370" s="216"/>
      <c r="Z370" s="216"/>
      <c r="AA370" s="216"/>
      <c r="AB370" s="216"/>
      <c r="AC370" s="216"/>
      <c r="AD370" s="344"/>
      <c r="AE370" s="344"/>
      <c r="AF370" s="344"/>
      <c r="AG370" s="344"/>
    </row>
    <row r="371">
      <c r="A371" s="441">
        <v>5.0</v>
      </c>
      <c r="B371" s="442" t="s">
        <v>852</v>
      </c>
      <c r="C371" s="443">
        <v>2022.0</v>
      </c>
      <c r="D371" s="442" t="s">
        <v>949</v>
      </c>
      <c r="E371" s="442" t="s">
        <v>929</v>
      </c>
      <c r="F371" s="440"/>
      <c r="G371" s="216"/>
      <c r="H371" s="216"/>
      <c r="I371" s="216"/>
      <c r="J371" s="216"/>
      <c r="K371" s="216"/>
      <c r="L371" s="216"/>
      <c r="M371" s="216"/>
      <c r="N371" s="216"/>
      <c r="O371" s="216"/>
      <c r="P371" s="216"/>
      <c r="Q371" s="216"/>
      <c r="R371" s="216"/>
      <c r="S371" s="216"/>
      <c r="T371" s="216"/>
      <c r="U371" s="216"/>
      <c r="V371" s="216"/>
      <c r="W371" s="216"/>
      <c r="X371" s="216"/>
      <c r="Y371" s="216"/>
      <c r="Z371" s="216"/>
      <c r="AA371" s="216"/>
      <c r="AB371" s="216"/>
      <c r="AC371" s="216"/>
      <c r="AD371" s="344"/>
      <c r="AE371" s="344"/>
      <c r="AF371" s="344"/>
      <c r="AG371" s="344"/>
    </row>
    <row r="372">
      <c r="A372" s="445"/>
      <c r="B372" s="442"/>
      <c r="C372" s="443">
        <v>2022.0</v>
      </c>
      <c r="D372" s="442" t="s">
        <v>950</v>
      </c>
      <c r="E372" s="442" t="s">
        <v>929</v>
      </c>
      <c r="F372" s="440"/>
      <c r="G372" s="216"/>
      <c r="H372" s="216"/>
      <c r="I372" s="216"/>
      <c r="J372" s="216"/>
      <c r="K372" s="216"/>
      <c r="L372" s="216"/>
      <c r="M372" s="216"/>
      <c r="N372" s="216"/>
      <c r="O372" s="216"/>
      <c r="P372" s="216"/>
      <c r="Q372" s="216"/>
      <c r="R372" s="216"/>
      <c r="S372" s="216"/>
      <c r="T372" s="216"/>
      <c r="U372" s="216"/>
      <c r="V372" s="216"/>
      <c r="W372" s="216"/>
      <c r="X372" s="216"/>
      <c r="Y372" s="216"/>
      <c r="Z372" s="216"/>
      <c r="AA372" s="216"/>
      <c r="AB372" s="216"/>
      <c r="AC372" s="216"/>
      <c r="AD372" s="344"/>
      <c r="AE372" s="344"/>
      <c r="AF372" s="344"/>
      <c r="AG372" s="344"/>
    </row>
    <row r="373">
      <c r="A373" s="445"/>
      <c r="B373" s="442"/>
      <c r="C373" s="443">
        <v>2023.0</v>
      </c>
      <c r="D373" s="442" t="s">
        <v>951</v>
      </c>
      <c r="E373" s="442" t="s">
        <v>929</v>
      </c>
      <c r="F373" s="440"/>
      <c r="G373" s="216"/>
      <c r="H373" s="216"/>
      <c r="I373" s="216"/>
      <c r="J373" s="216"/>
      <c r="K373" s="216"/>
      <c r="L373" s="216"/>
      <c r="M373" s="216"/>
      <c r="N373" s="216"/>
      <c r="O373" s="216"/>
      <c r="P373" s="216"/>
      <c r="Q373" s="216"/>
      <c r="R373" s="216"/>
      <c r="S373" s="216"/>
      <c r="T373" s="216"/>
      <c r="U373" s="216"/>
      <c r="V373" s="216"/>
      <c r="W373" s="216"/>
      <c r="X373" s="216"/>
      <c r="Y373" s="216"/>
      <c r="Z373" s="216"/>
      <c r="AA373" s="216"/>
      <c r="AB373" s="216"/>
      <c r="AC373" s="216"/>
      <c r="AD373" s="344"/>
      <c r="AE373" s="344"/>
      <c r="AF373" s="344"/>
      <c r="AG373" s="344"/>
    </row>
    <row r="374">
      <c r="A374" s="445"/>
      <c r="B374" s="442"/>
      <c r="C374" s="448">
        <v>2024.0</v>
      </c>
      <c r="D374" s="444" t="s">
        <v>952</v>
      </c>
      <c r="E374" s="444"/>
      <c r="F374" s="440"/>
      <c r="G374" s="216"/>
      <c r="H374" s="216"/>
      <c r="I374" s="216"/>
      <c r="J374" s="216"/>
      <c r="K374" s="216"/>
      <c r="L374" s="216"/>
      <c r="M374" s="216"/>
      <c r="N374" s="216"/>
      <c r="O374" s="216"/>
      <c r="P374" s="216"/>
      <c r="Q374" s="216"/>
      <c r="R374" s="216"/>
      <c r="S374" s="216"/>
      <c r="T374" s="216"/>
      <c r="U374" s="216"/>
      <c r="V374" s="216"/>
      <c r="W374" s="216"/>
      <c r="X374" s="216"/>
      <c r="Y374" s="216"/>
      <c r="Z374" s="216"/>
      <c r="AA374" s="216"/>
      <c r="AB374" s="216"/>
      <c r="AC374" s="216"/>
      <c r="AD374" s="344"/>
      <c r="AE374" s="344"/>
      <c r="AF374" s="344"/>
      <c r="AG374" s="344"/>
    </row>
    <row r="375">
      <c r="A375" s="445"/>
      <c r="B375" s="442"/>
      <c r="C375" s="448">
        <v>2024.0</v>
      </c>
      <c r="D375" s="444" t="s">
        <v>953</v>
      </c>
      <c r="E375" s="444"/>
      <c r="F375" s="440"/>
      <c r="G375" s="216"/>
      <c r="H375" s="216"/>
      <c r="I375" s="216"/>
      <c r="J375" s="216"/>
      <c r="K375" s="216"/>
      <c r="L375" s="216"/>
      <c r="M375" s="216"/>
      <c r="N375" s="216"/>
      <c r="O375" s="216"/>
      <c r="P375" s="216"/>
      <c r="Q375" s="216"/>
      <c r="R375" s="216"/>
      <c r="S375" s="216"/>
      <c r="T375" s="216"/>
      <c r="U375" s="216"/>
      <c r="V375" s="216"/>
      <c r="W375" s="216"/>
      <c r="X375" s="216"/>
      <c r="Y375" s="216"/>
      <c r="Z375" s="216"/>
      <c r="AA375" s="216"/>
      <c r="AB375" s="216"/>
      <c r="AC375" s="216"/>
      <c r="AD375" s="344"/>
      <c r="AE375" s="344"/>
      <c r="AF375" s="344"/>
      <c r="AG375" s="344"/>
    </row>
    <row r="376">
      <c r="A376" s="445"/>
      <c r="B376" s="442"/>
      <c r="C376" s="448">
        <v>2024.0</v>
      </c>
      <c r="D376" s="444" t="s">
        <v>954</v>
      </c>
      <c r="E376" s="442"/>
      <c r="F376" s="440"/>
      <c r="G376" s="216"/>
      <c r="H376" s="216"/>
      <c r="I376" s="216"/>
      <c r="J376" s="216"/>
      <c r="K376" s="216"/>
      <c r="L376" s="216"/>
      <c r="M376" s="216"/>
      <c r="N376" s="216"/>
      <c r="O376" s="216"/>
      <c r="P376" s="216"/>
      <c r="Q376" s="216"/>
      <c r="R376" s="216"/>
      <c r="S376" s="216"/>
      <c r="T376" s="216"/>
      <c r="U376" s="216"/>
      <c r="V376" s="216"/>
      <c r="W376" s="216"/>
      <c r="X376" s="216"/>
      <c r="Y376" s="216"/>
      <c r="Z376" s="216"/>
      <c r="AA376" s="216"/>
      <c r="AB376" s="216"/>
      <c r="AC376" s="216"/>
      <c r="AD376" s="344"/>
      <c r="AE376" s="344"/>
      <c r="AF376" s="344"/>
      <c r="AG376" s="344"/>
    </row>
    <row r="377">
      <c r="A377" s="445"/>
      <c r="B377" s="442"/>
      <c r="C377" s="448">
        <v>2024.0</v>
      </c>
      <c r="D377" s="444" t="s">
        <v>955</v>
      </c>
      <c r="E377" s="444"/>
      <c r="F377" s="440"/>
      <c r="G377" s="216"/>
      <c r="H377" s="216"/>
      <c r="I377" s="216"/>
      <c r="J377" s="216"/>
      <c r="K377" s="216"/>
      <c r="L377" s="216"/>
      <c r="M377" s="216"/>
      <c r="N377" s="216"/>
      <c r="O377" s="216"/>
      <c r="P377" s="216"/>
      <c r="Q377" s="216"/>
      <c r="R377" s="216"/>
      <c r="S377" s="216"/>
      <c r="T377" s="216"/>
      <c r="U377" s="216"/>
      <c r="V377" s="216"/>
      <c r="W377" s="216"/>
      <c r="X377" s="216"/>
      <c r="Y377" s="216"/>
      <c r="Z377" s="216"/>
      <c r="AA377" s="216"/>
      <c r="AB377" s="216"/>
      <c r="AC377" s="216"/>
      <c r="AD377" s="344"/>
      <c r="AE377" s="344"/>
      <c r="AF377" s="344"/>
      <c r="AG377" s="344"/>
    </row>
    <row r="378">
      <c r="A378" s="441">
        <v>6.0</v>
      </c>
      <c r="B378" s="442" t="s">
        <v>737</v>
      </c>
      <c r="C378" s="443">
        <v>2022.0</v>
      </c>
      <c r="D378" s="444" t="s">
        <v>956</v>
      </c>
      <c r="E378" s="444"/>
      <c r="F378" s="440"/>
      <c r="G378" s="216"/>
      <c r="H378" s="216"/>
      <c r="I378" s="216"/>
      <c r="J378" s="216"/>
      <c r="K378" s="216"/>
      <c r="L378" s="216"/>
      <c r="M378" s="216"/>
      <c r="N378" s="216"/>
      <c r="O378" s="216"/>
      <c r="P378" s="216"/>
      <c r="Q378" s="216"/>
      <c r="R378" s="216"/>
      <c r="S378" s="216"/>
      <c r="T378" s="216"/>
      <c r="U378" s="216"/>
      <c r="V378" s="216"/>
      <c r="W378" s="216"/>
      <c r="X378" s="216"/>
      <c r="Y378" s="216"/>
      <c r="Z378" s="216"/>
      <c r="AA378" s="216"/>
      <c r="AB378" s="216"/>
      <c r="AC378" s="216"/>
      <c r="AD378" s="344"/>
      <c r="AE378" s="344"/>
      <c r="AF378" s="344"/>
      <c r="AG378" s="344"/>
    </row>
    <row r="379">
      <c r="A379" s="445"/>
      <c r="B379" s="442"/>
      <c r="C379" s="443">
        <v>2022.0</v>
      </c>
      <c r="D379" s="444" t="s">
        <v>957</v>
      </c>
      <c r="E379" s="444"/>
      <c r="F379" s="440"/>
      <c r="G379" s="216"/>
      <c r="H379" s="216"/>
      <c r="I379" s="216"/>
      <c r="J379" s="216"/>
      <c r="K379" s="216"/>
      <c r="L379" s="216"/>
      <c r="M379" s="216"/>
      <c r="N379" s="216"/>
      <c r="O379" s="216"/>
      <c r="P379" s="216"/>
      <c r="Q379" s="216"/>
      <c r="R379" s="216"/>
      <c r="S379" s="216"/>
      <c r="T379" s="216"/>
      <c r="U379" s="216"/>
      <c r="V379" s="216"/>
      <c r="W379" s="216"/>
      <c r="X379" s="216"/>
      <c r="Y379" s="216"/>
      <c r="Z379" s="216"/>
      <c r="AA379" s="216"/>
      <c r="AB379" s="216"/>
      <c r="AC379" s="216"/>
      <c r="AD379" s="344"/>
      <c r="AE379" s="344"/>
      <c r="AF379" s="344"/>
      <c r="AG379" s="344"/>
    </row>
    <row r="380">
      <c r="A380" s="445"/>
      <c r="B380" s="442"/>
      <c r="C380" s="443">
        <v>2022.0</v>
      </c>
      <c r="D380" s="444" t="s">
        <v>958</v>
      </c>
      <c r="E380" s="444"/>
      <c r="F380" s="440"/>
      <c r="G380" s="216"/>
      <c r="H380" s="216"/>
      <c r="I380" s="216"/>
      <c r="J380" s="216"/>
      <c r="K380" s="216"/>
      <c r="L380" s="216"/>
      <c r="M380" s="216"/>
      <c r="N380" s="216"/>
      <c r="O380" s="216"/>
      <c r="P380" s="216"/>
      <c r="Q380" s="216"/>
      <c r="R380" s="216"/>
      <c r="S380" s="216"/>
      <c r="T380" s="216"/>
      <c r="U380" s="216"/>
      <c r="V380" s="216"/>
      <c r="W380" s="216"/>
      <c r="X380" s="216"/>
      <c r="Y380" s="216"/>
      <c r="Z380" s="216"/>
      <c r="AA380" s="216"/>
      <c r="AB380" s="216"/>
      <c r="AC380" s="216"/>
      <c r="AD380" s="344"/>
      <c r="AE380" s="344"/>
      <c r="AF380" s="344"/>
      <c r="AG380" s="344"/>
    </row>
    <row r="381">
      <c r="A381" s="445"/>
      <c r="B381" s="442"/>
      <c r="C381" s="443">
        <v>2023.0</v>
      </c>
      <c r="D381" s="444" t="s">
        <v>959</v>
      </c>
      <c r="E381" s="444"/>
      <c r="F381" s="440"/>
      <c r="G381" s="216"/>
      <c r="H381" s="216"/>
      <c r="I381" s="216"/>
      <c r="J381" s="216"/>
      <c r="K381" s="216"/>
      <c r="L381" s="216"/>
      <c r="M381" s="216"/>
      <c r="N381" s="216"/>
      <c r="O381" s="216"/>
      <c r="P381" s="216"/>
      <c r="Q381" s="216"/>
      <c r="R381" s="216"/>
      <c r="S381" s="216"/>
      <c r="T381" s="216"/>
      <c r="U381" s="216"/>
      <c r="V381" s="216"/>
      <c r="W381" s="216"/>
      <c r="X381" s="216"/>
      <c r="Y381" s="216"/>
      <c r="Z381" s="216"/>
      <c r="AA381" s="216"/>
      <c r="AB381" s="216"/>
      <c r="AC381" s="216"/>
      <c r="AD381" s="344"/>
      <c r="AE381" s="344"/>
      <c r="AF381" s="344"/>
      <c r="AG381" s="344"/>
    </row>
    <row r="382">
      <c r="A382" s="445"/>
      <c r="B382" s="442"/>
      <c r="C382" s="443">
        <v>2023.0</v>
      </c>
      <c r="D382" s="444" t="s">
        <v>960</v>
      </c>
      <c r="E382" s="444"/>
      <c r="F382" s="440"/>
      <c r="G382" s="216"/>
      <c r="H382" s="216"/>
      <c r="I382" s="216"/>
      <c r="J382" s="216"/>
      <c r="K382" s="216"/>
      <c r="L382" s="216"/>
      <c r="M382" s="216"/>
      <c r="N382" s="216"/>
      <c r="O382" s="216"/>
      <c r="P382" s="216"/>
      <c r="Q382" s="216"/>
      <c r="R382" s="216"/>
      <c r="S382" s="216"/>
      <c r="T382" s="216"/>
      <c r="U382" s="216"/>
      <c r="V382" s="216"/>
      <c r="W382" s="216"/>
      <c r="X382" s="216"/>
      <c r="Y382" s="216"/>
      <c r="Z382" s="216"/>
      <c r="AA382" s="216"/>
      <c r="AB382" s="216"/>
      <c r="AC382" s="216"/>
      <c r="AD382" s="344"/>
      <c r="AE382" s="344"/>
      <c r="AF382" s="344"/>
      <c r="AG382" s="344"/>
    </row>
    <row r="383">
      <c r="A383" s="445"/>
      <c r="B383" s="442"/>
      <c r="C383" s="443">
        <v>2024.0</v>
      </c>
      <c r="D383" s="444" t="s">
        <v>935</v>
      </c>
      <c r="E383" s="444"/>
      <c r="F383" s="440"/>
      <c r="G383" s="216"/>
      <c r="H383" s="216"/>
      <c r="I383" s="216"/>
      <c r="J383" s="216"/>
      <c r="K383" s="216"/>
      <c r="L383" s="216"/>
      <c r="M383" s="216"/>
      <c r="N383" s="216"/>
      <c r="O383" s="216"/>
      <c r="P383" s="216"/>
      <c r="Q383" s="216"/>
      <c r="R383" s="216"/>
      <c r="S383" s="216"/>
      <c r="T383" s="216"/>
      <c r="U383" s="216"/>
      <c r="V383" s="216"/>
      <c r="W383" s="216"/>
      <c r="X383" s="216"/>
      <c r="Y383" s="216"/>
      <c r="Z383" s="216"/>
      <c r="AA383" s="216"/>
      <c r="AB383" s="216"/>
      <c r="AC383" s="216"/>
      <c r="AD383" s="344"/>
      <c r="AE383" s="344"/>
      <c r="AF383" s="344"/>
      <c r="AG383" s="344"/>
    </row>
    <row r="384">
      <c r="A384" s="441">
        <v>7.0</v>
      </c>
      <c r="B384" s="442" t="s">
        <v>738</v>
      </c>
      <c r="C384" s="443">
        <v>2022.0</v>
      </c>
      <c r="D384" s="444" t="s">
        <v>961</v>
      </c>
      <c r="E384" s="444"/>
      <c r="F384" s="440"/>
      <c r="G384" s="216"/>
      <c r="H384" s="216"/>
      <c r="I384" s="216"/>
      <c r="J384" s="216"/>
      <c r="K384" s="216"/>
      <c r="L384" s="216"/>
      <c r="M384" s="216"/>
      <c r="N384" s="216"/>
      <c r="O384" s="216"/>
      <c r="P384" s="216"/>
      <c r="Q384" s="216"/>
      <c r="R384" s="216"/>
      <c r="S384" s="216"/>
      <c r="T384" s="216"/>
      <c r="U384" s="216"/>
      <c r="V384" s="216"/>
      <c r="W384" s="216"/>
      <c r="X384" s="216"/>
      <c r="Y384" s="216"/>
      <c r="Z384" s="216"/>
      <c r="AA384" s="216"/>
      <c r="AB384" s="216"/>
      <c r="AC384" s="216"/>
      <c r="AD384" s="344"/>
      <c r="AE384" s="344"/>
      <c r="AF384" s="344"/>
      <c r="AG384" s="344"/>
    </row>
    <row r="385">
      <c r="A385" s="445"/>
      <c r="B385" s="442"/>
      <c r="C385" s="443">
        <v>2022.0</v>
      </c>
      <c r="D385" s="444" t="s">
        <v>962</v>
      </c>
      <c r="E385" s="444"/>
      <c r="F385" s="440"/>
      <c r="G385" s="216"/>
      <c r="H385" s="216"/>
      <c r="I385" s="216"/>
      <c r="J385" s="216"/>
      <c r="K385" s="216"/>
      <c r="L385" s="216"/>
      <c r="M385" s="216"/>
      <c r="N385" s="216"/>
      <c r="O385" s="216"/>
      <c r="P385" s="216"/>
      <c r="Q385" s="216"/>
      <c r="R385" s="216"/>
      <c r="S385" s="216"/>
      <c r="T385" s="216"/>
      <c r="U385" s="216"/>
      <c r="V385" s="216"/>
      <c r="W385" s="216"/>
      <c r="X385" s="216"/>
      <c r="Y385" s="216"/>
      <c r="Z385" s="216"/>
      <c r="AA385" s="216"/>
      <c r="AB385" s="216"/>
      <c r="AC385" s="216"/>
      <c r="AD385" s="344"/>
      <c r="AE385" s="344"/>
      <c r="AF385" s="344"/>
      <c r="AG385" s="344"/>
    </row>
    <row r="386">
      <c r="A386" s="445"/>
      <c r="B386" s="442"/>
      <c r="C386" s="443">
        <v>2022.0</v>
      </c>
      <c r="D386" s="444" t="s">
        <v>963</v>
      </c>
      <c r="E386" s="444"/>
      <c r="F386" s="440"/>
      <c r="G386" s="216"/>
      <c r="H386" s="216"/>
      <c r="I386" s="216"/>
      <c r="J386" s="216"/>
      <c r="K386" s="216"/>
      <c r="L386" s="216"/>
      <c r="M386" s="216"/>
      <c r="N386" s="216"/>
      <c r="O386" s="216"/>
      <c r="P386" s="216"/>
      <c r="Q386" s="216"/>
      <c r="R386" s="216"/>
      <c r="S386" s="216"/>
      <c r="T386" s="216"/>
      <c r="U386" s="216"/>
      <c r="V386" s="216"/>
      <c r="W386" s="216"/>
      <c r="X386" s="216"/>
      <c r="Y386" s="216"/>
      <c r="Z386" s="216"/>
      <c r="AA386" s="216"/>
      <c r="AB386" s="216"/>
      <c r="AC386" s="216"/>
      <c r="AD386" s="344"/>
      <c r="AE386" s="344"/>
      <c r="AF386" s="344"/>
      <c r="AG386" s="344"/>
    </row>
    <row r="387">
      <c r="A387" s="445"/>
      <c r="B387" s="442"/>
      <c r="C387" s="443">
        <v>2023.0</v>
      </c>
      <c r="D387" s="444" t="s">
        <v>964</v>
      </c>
      <c r="E387" s="444"/>
      <c r="F387" s="440"/>
      <c r="G387" s="216"/>
      <c r="H387" s="216"/>
      <c r="I387" s="216"/>
      <c r="J387" s="216"/>
      <c r="K387" s="216"/>
      <c r="L387" s="216"/>
      <c r="M387" s="216"/>
      <c r="N387" s="216"/>
      <c r="O387" s="216"/>
      <c r="P387" s="216"/>
      <c r="Q387" s="216"/>
      <c r="R387" s="216"/>
      <c r="S387" s="216"/>
      <c r="T387" s="216"/>
      <c r="U387" s="216"/>
      <c r="V387" s="216"/>
      <c r="W387" s="216"/>
      <c r="X387" s="216"/>
      <c r="Y387" s="216"/>
      <c r="Z387" s="216"/>
      <c r="AA387" s="216"/>
      <c r="AB387" s="216"/>
      <c r="AC387" s="216"/>
      <c r="AD387" s="344"/>
      <c r="AE387" s="344"/>
      <c r="AF387" s="344"/>
      <c r="AG387" s="344"/>
    </row>
    <row r="388">
      <c r="A388" s="445"/>
      <c r="B388" s="442"/>
      <c r="C388" s="443">
        <v>2023.0</v>
      </c>
      <c r="D388" s="444" t="s">
        <v>946</v>
      </c>
      <c r="E388" s="442"/>
      <c r="F388" s="440"/>
      <c r="G388" s="216"/>
      <c r="H388" s="216"/>
      <c r="I388" s="216"/>
      <c r="J388" s="216"/>
      <c r="K388" s="216"/>
      <c r="L388" s="216"/>
      <c r="M388" s="216"/>
      <c r="N388" s="216"/>
      <c r="O388" s="216"/>
      <c r="P388" s="216"/>
      <c r="Q388" s="216"/>
      <c r="R388" s="216"/>
      <c r="S388" s="216"/>
      <c r="T388" s="216"/>
      <c r="U388" s="216"/>
      <c r="V388" s="216"/>
      <c r="W388" s="216"/>
      <c r="X388" s="216"/>
      <c r="Y388" s="216"/>
      <c r="Z388" s="216"/>
      <c r="AA388" s="216"/>
      <c r="AB388" s="216"/>
      <c r="AC388" s="216"/>
      <c r="AD388" s="344"/>
      <c r="AE388" s="344"/>
      <c r="AF388" s="344"/>
      <c r="AG388" s="344"/>
    </row>
    <row r="389">
      <c r="A389" s="445"/>
      <c r="B389" s="442"/>
      <c r="C389" s="443">
        <v>2023.0</v>
      </c>
      <c r="D389" s="444" t="s">
        <v>965</v>
      </c>
      <c r="E389" s="444"/>
      <c r="F389" s="440"/>
      <c r="G389" s="216"/>
      <c r="H389" s="216"/>
      <c r="I389" s="216"/>
      <c r="J389" s="216"/>
      <c r="K389" s="216"/>
      <c r="L389" s="216"/>
      <c r="M389" s="216"/>
      <c r="N389" s="216"/>
      <c r="O389" s="216"/>
      <c r="P389" s="216"/>
      <c r="Q389" s="216"/>
      <c r="R389" s="216"/>
      <c r="S389" s="216"/>
      <c r="T389" s="216"/>
      <c r="U389" s="216"/>
      <c r="V389" s="216"/>
      <c r="W389" s="216"/>
      <c r="X389" s="216"/>
      <c r="Y389" s="216"/>
      <c r="Z389" s="216"/>
      <c r="AA389" s="216"/>
      <c r="AB389" s="216"/>
      <c r="AC389" s="216"/>
      <c r="AD389" s="344"/>
      <c r="AE389" s="344"/>
      <c r="AF389" s="344"/>
      <c r="AG389" s="344"/>
    </row>
    <row r="390">
      <c r="A390" s="445"/>
      <c r="B390" s="442"/>
      <c r="C390" s="443">
        <v>2024.0</v>
      </c>
      <c r="D390" s="446" t="s">
        <v>966</v>
      </c>
      <c r="E390" s="442"/>
      <c r="F390" s="440"/>
      <c r="G390" s="216"/>
      <c r="H390" s="216"/>
      <c r="I390" s="216"/>
      <c r="J390" s="216"/>
      <c r="K390" s="216"/>
      <c r="L390" s="216"/>
      <c r="M390" s="216"/>
      <c r="N390" s="216"/>
      <c r="O390" s="216"/>
      <c r="P390" s="216"/>
      <c r="Q390" s="216"/>
      <c r="R390" s="216"/>
      <c r="S390" s="216"/>
      <c r="T390" s="216"/>
      <c r="U390" s="216"/>
      <c r="V390" s="216"/>
      <c r="W390" s="216"/>
      <c r="X390" s="216"/>
      <c r="Y390" s="216"/>
      <c r="Z390" s="216"/>
      <c r="AA390" s="216"/>
      <c r="AB390" s="216"/>
      <c r="AC390" s="216"/>
      <c r="AD390" s="344"/>
      <c r="AE390" s="344"/>
      <c r="AF390" s="344"/>
      <c r="AG390" s="344"/>
    </row>
    <row r="391">
      <c r="A391" s="445"/>
      <c r="B391" s="442"/>
      <c r="C391" s="443">
        <v>2024.0</v>
      </c>
      <c r="D391" s="446" t="s">
        <v>967</v>
      </c>
      <c r="E391" s="442"/>
      <c r="F391" s="440"/>
      <c r="G391" s="216"/>
      <c r="H391" s="216"/>
      <c r="I391" s="216"/>
      <c r="J391" s="216"/>
      <c r="K391" s="216"/>
      <c r="L391" s="216"/>
      <c r="M391" s="216"/>
      <c r="N391" s="216"/>
      <c r="O391" s="216"/>
      <c r="P391" s="216"/>
      <c r="Q391" s="216"/>
      <c r="R391" s="216"/>
      <c r="S391" s="216"/>
      <c r="T391" s="216"/>
      <c r="U391" s="216"/>
      <c r="V391" s="216"/>
      <c r="W391" s="216"/>
      <c r="X391" s="216"/>
      <c r="Y391" s="216"/>
      <c r="Z391" s="216"/>
      <c r="AA391" s="216"/>
      <c r="AB391" s="216"/>
      <c r="AC391" s="216"/>
      <c r="AD391" s="344"/>
      <c r="AE391" s="344"/>
      <c r="AF391" s="344"/>
      <c r="AG391" s="344"/>
    </row>
    <row r="392">
      <c r="A392" s="445"/>
      <c r="B392" s="442"/>
      <c r="C392" s="443">
        <v>2024.0</v>
      </c>
      <c r="D392" s="446" t="s">
        <v>968</v>
      </c>
      <c r="E392" s="442"/>
      <c r="F392" s="440"/>
      <c r="G392" s="216"/>
      <c r="H392" s="216"/>
      <c r="I392" s="216"/>
      <c r="J392" s="216"/>
      <c r="K392" s="216"/>
      <c r="L392" s="216"/>
      <c r="M392" s="216"/>
      <c r="N392" s="216"/>
      <c r="O392" s="216"/>
      <c r="P392" s="216"/>
      <c r="Q392" s="216"/>
      <c r="R392" s="216"/>
      <c r="S392" s="216"/>
      <c r="T392" s="216"/>
      <c r="U392" s="216"/>
      <c r="V392" s="216"/>
      <c r="W392" s="216"/>
      <c r="X392" s="216"/>
      <c r="Y392" s="216"/>
      <c r="Z392" s="216"/>
      <c r="AA392" s="216"/>
      <c r="AB392" s="216"/>
      <c r="AC392" s="216"/>
      <c r="AD392" s="344"/>
      <c r="AE392" s="344"/>
      <c r="AF392" s="344"/>
      <c r="AG392" s="344"/>
    </row>
    <row r="393">
      <c r="A393" s="445"/>
      <c r="B393" s="442"/>
      <c r="C393" s="443">
        <v>2024.0</v>
      </c>
      <c r="D393" s="446" t="s">
        <v>969</v>
      </c>
      <c r="E393" s="442"/>
      <c r="F393" s="440"/>
      <c r="G393" s="216"/>
      <c r="H393" s="216"/>
      <c r="I393" s="216"/>
      <c r="J393" s="216"/>
      <c r="K393" s="216"/>
      <c r="L393" s="216"/>
      <c r="M393" s="216"/>
      <c r="N393" s="216"/>
      <c r="O393" s="216"/>
      <c r="P393" s="216"/>
      <c r="Q393" s="216"/>
      <c r="R393" s="216"/>
      <c r="S393" s="216"/>
      <c r="T393" s="216"/>
      <c r="U393" s="216"/>
      <c r="V393" s="216"/>
      <c r="W393" s="216"/>
      <c r="X393" s="216"/>
      <c r="Y393" s="216"/>
      <c r="Z393" s="216"/>
      <c r="AA393" s="216"/>
      <c r="AB393" s="216"/>
      <c r="AC393" s="216"/>
      <c r="AD393" s="344"/>
      <c r="AE393" s="344"/>
      <c r="AF393" s="344"/>
      <c r="AG393" s="344"/>
    </row>
    <row r="394">
      <c r="A394" s="445"/>
      <c r="B394" s="442"/>
      <c r="C394" s="443">
        <v>2024.0</v>
      </c>
      <c r="D394" s="446" t="s">
        <v>970</v>
      </c>
      <c r="E394" s="442"/>
      <c r="F394" s="440"/>
      <c r="G394" s="216"/>
      <c r="H394" s="216"/>
      <c r="I394" s="216"/>
      <c r="J394" s="216"/>
      <c r="K394" s="216"/>
      <c r="L394" s="216"/>
      <c r="M394" s="216"/>
      <c r="N394" s="216"/>
      <c r="O394" s="216"/>
      <c r="P394" s="216"/>
      <c r="Q394" s="216"/>
      <c r="R394" s="216"/>
      <c r="S394" s="216"/>
      <c r="T394" s="216"/>
      <c r="U394" s="216"/>
      <c r="V394" s="216"/>
      <c r="W394" s="216"/>
      <c r="X394" s="216"/>
      <c r="Y394" s="216"/>
      <c r="Z394" s="216"/>
      <c r="AA394" s="216"/>
      <c r="AB394" s="216"/>
      <c r="AC394" s="216"/>
      <c r="AD394" s="344"/>
      <c r="AE394" s="344"/>
      <c r="AF394" s="344"/>
      <c r="AG394" s="344"/>
    </row>
    <row r="395">
      <c r="A395" s="441">
        <v>8.0</v>
      </c>
      <c r="B395" s="442" t="s">
        <v>545</v>
      </c>
      <c r="C395" s="443">
        <v>2022.0</v>
      </c>
      <c r="D395" s="444" t="s">
        <v>962</v>
      </c>
      <c r="E395" s="444"/>
      <c r="F395" s="440"/>
      <c r="G395" s="216"/>
      <c r="H395" s="216"/>
      <c r="I395" s="216"/>
      <c r="J395" s="216"/>
      <c r="K395" s="216"/>
      <c r="L395" s="216"/>
      <c r="M395" s="216"/>
      <c r="N395" s="216"/>
      <c r="O395" s="216"/>
      <c r="P395" s="216"/>
      <c r="Q395" s="216"/>
      <c r="R395" s="216"/>
      <c r="S395" s="216"/>
      <c r="T395" s="216"/>
      <c r="U395" s="216"/>
      <c r="V395" s="216"/>
      <c r="W395" s="216"/>
      <c r="X395" s="216"/>
      <c r="Y395" s="216"/>
      <c r="Z395" s="216"/>
      <c r="AA395" s="216"/>
      <c r="AB395" s="216"/>
      <c r="AC395" s="216"/>
      <c r="AD395" s="344"/>
      <c r="AE395" s="344"/>
      <c r="AF395" s="344"/>
      <c r="AG395" s="344"/>
    </row>
    <row r="396">
      <c r="A396" s="445"/>
      <c r="B396" s="442"/>
      <c r="C396" s="443">
        <v>2022.0</v>
      </c>
      <c r="D396" s="444" t="s">
        <v>963</v>
      </c>
      <c r="E396" s="444"/>
      <c r="F396" s="440"/>
      <c r="G396" s="216"/>
      <c r="H396" s="216"/>
      <c r="I396" s="216"/>
      <c r="J396" s="216"/>
      <c r="K396" s="216"/>
      <c r="L396" s="216"/>
      <c r="M396" s="216"/>
      <c r="N396" s="216"/>
      <c r="O396" s="216"/>
      <c r="P396" s="216"/>
      <c r="Q396" s="216"/>
      <c r="R396" s="216"/>
      <c r="S396" s="216"/>
      <c r="T396" s="216"/>
      <c r="U396" s="216"/>
      <c r="V396" s="216"/>
      <c r="W396" s="216"/>
      <c r="X396" s="216"/>
      <c r="Y396" s="216"/>
      <c r="Z396" s="216"/>
      <c r="AA396" s="216"/>
      <c r="AB396" s="216"/>
      <c r="AC396" s="216"/>
      <c r="AD396" s="344"/>
      <c r="AE396" s="344"/>
      <c r="AF396" s="344"/>
      <c r="AG396" s="344"/>
    </row>
    <row r="397">
      <c r="A397" s="445"/>
      <c r="B397" s="442"/>
      <c r="C397" s="443">
        <v>2023.0</v>
      </c>
      <c r="D397" s="442" t="s">
        <v>971</v>
      </c>
      <c r="E397" s="442"/>
      <c r="F397" s="440"/>
      <c r="G397" s="216"/>
      <c r="H397" s="216"/>
      <c r="I397" s="216"/>
      <c r="J397" s="216"/>
      <c r="K397" s="216"/>
      <c r="L397" s="216"/>
      <c r="M397" s="216"/>
      <c r="N397" s="216"/>
      <c r="O397" s="216"/>
      <c r="P397" s="216"/>
      <c r="Q397" s="216"/>
      <c r="R397" s="216"/>
      <c r="S397" s="216"/>
      <c r="T397" s="216"/>
      <c r="U397" s="216"/>
      <c r="V397" s="216"/>
      <c r="W397" s="216"/>
      <c r="X397" s="216"/>
      <c r="Y397" s="216"/>
      <c r="Z397" s="216"/>
      <c r="AA397" s="216"/>
      <c r="AB397" s="216"/>
      <c r="AC397" s="216"/>
      <c r="AD397" s="344"/>
      <c r="AE397" s="344"/>
      <c r="AF397" s="344"/>
      <c r="AG397" s="344"/>
    </row>
    <row r="398">
      <c r="A398" s="445"/>
      <c r="B398" s="442"/>
      <c r="C398" s="443">
        <v>2024.0</v>
      </c>
      <c r="D398" s="444" t="s">
        <v>972</v>
      </c>
      <c r="E398" s="444"/>
      <c r="F398" s="440"/>
      <c r="G398" s="216"/>
      <c r="H398" s="216"/>
      <c r="I398" s="216"/>
      <c r="J398" s="216"/>
      <c r="K398" s="216"/>
      <c r="L398" s="216"/>
      <c r="M398" s="216"/>
      <c r="N398" s="216"/>
      <c r="O398" s="216"/>
      <c r="P398" s="216"/>
      <c r="Q398" s="216"/>
      <c r="R398" s="216"/>
      <c r="S398" s="216"/>
      <c r="T398" s="216"/>
      <c r="U398" s="216"/>
      <c r="V398" s="216"/>
      <c r="W398" s="216"/>
      <c r="X398" s="216"/>
      <c r="Y398" s="216"/>
      <c r="Z398" s="216"/>
      <c r="AA398" s="216"/>
      <c r="AB398" s="216"/>
      <c r="AC398" s="216"/>
      <c r="AD398" s="344"/>
      <c r="AE398" s="344"/>
      <c r="AF398" s="344"/>
      <c r="AG398" s="344"/>
    </row>
    <row r="399">
      <c r="A399" s="441">
        <v>9.0</v>
      </c>
      <c r="B399" s="442" t="s">
        <v>647</v>
      </c>
      <c r="C399" s="443">
        <v>2022.0</v>
      </c>
      <c r="D399" s="444" t="s">
        <v>973</v>
      </c>
      <c r="E399" s="442"/>
      <c r="F399" s="440"/>
      <c r="G399" s="216"/>
      <c r="H399" s="216"/>
      <c r="I399" s="216"/>
      <c r="J399" s="216"/>
      <c r="K399" s="216"/>
      <c r="L399" s="216"/>
      <c r="M399" s="216"/>
      <c r="N399" s="216"/>
      <c r="O399" s="216"/>
      <c r="P399" s="216"/>
      <c r="Q399" s="216"/>
      <c r="R399" s="216"/>
      <c r="S399" s="216"/>
      <c r="T399" s="216"/>
      <c r="U399" s="216"/>
      <c r="V399" s="216"/>
      <c r="W399" s="216"/>
      <c r="X399" s="216"/>
      <c r="Y399" s="216"/>
      <c r="Z399" s="216"/>
      <c r="AA399" s="216"/>
      <c r="AB399" s="216"/>
      <c r="AC399" s="216"/>
      <c r="AD399" s="344"/>
      <c r="AE399" s="344"/>
      <c r="AF399" s="344"/>
      <c r="AG399" s="344"/>
    </row>
    <row r="400">
      <c r="A400" s="445"/>
      <c r="B400" s="442"/>
      <c r="C400" s="443">
        <v>2023.0</v>
      </c>
      <c r="D400" s="444" t="s">
        <v>974</v>
      </c>
      <c r="E400" s="444"/>
      <c r="F400" s="440"/>
      <c r="G400" s="216"/>
      <c r="H400" s="216"/>
      <c r="I400" s="216"/>
      <c r="J400" s="216"/>
      <c r="K400" s="216"/>
      <c r="L400" s="216"/>
      <c r="M400" s="216"/>
      <c r="N400" s="216"/>
      <c r="O400" s="216"/>
      <c r="P400" s="216"/>
      <c r="Q400" s="216"/>
      <c r="R400" s="216"/>
      <c r="S400" s="216"/>
      <c r="T400" s="216"/>
      <c r="U400" s="216"/>
      <c r="V400" s="216"/>
      <c r="W400" s="216"/>
      <c r="X400" s="216"/>
      <c r="Y400" s="216"/>
      <c r="Z400" s="216"/>
      <c r="AA400" s="216"/>
      <c r="AB400" s="216"/>
      <c r="AC400" s="216"/>
      <c r="AD400" s="344"/>
      <c r="AE400" s="344"/>
      <c r="AF400" s="344"/>
      <c r="AG400" s="344"/>
    </row>
    <row r="401">
      <c r="A401" s="445"/>
      <c r="B401" s="442"/>
      <c r="C401" s="443">
        <v>2023.0</v>
      </c>
      <c r="D401" s="444" t="s">
        <v>975</v>
      </c>
      <c r="E401" s="444"/>
      <c r="F401" s="440"/>
      <c r="G401" s="216"/>
      <c r="H401" s="216"/>
      <c r="I401" s="216"/>
      <c r="J401" s="216"/>
      <c r="K401" s="216"/>
      <c r="L401" s="216"/>
      <c r="M401" s="216"/>
      <c r="N401" s="216"/>
      <c r="O401" s="216"/>
      <c r="P401" s="216"/>
      <c r="Q401" s="216"/>
      <c r="R401" s="216"/>
      <c r="S401" s="216"/>
      <c r="T401" s="216"/>
      <c r="U401" s="216"/>
      <c r="V401" s="216"/>
      <c r="W401" s="216"/>
      <c r="X401" s="216"/>
      <c r="Y401" s="216"/>
      <c r="Z401" s="216"/>
      <c r="AA401" s="216"/>
      <c r="AB401" s="216"/>
      <c r="AC401" s="216"/>
      <c r="AD401" s="344"/>
      <c r="AE401" s="344"/>
      <c r="AF401" s="344"/>
      <c r="AG401" s="344"/>
    </row>
    <row r="402">
      <c r="A402" s="445"/>
      <c r="B402" s="442"/>
      <c r="C402" s="443">
        <v>2024.0</v>
      </c>
      <c r="D402" s="446" t="s">
        <v>939</v>
      </c>
      <c r="E402" s="442"/>
      <c r="F402" s="440"/>
      <c r="G402" s="216"/>
      <c r="H402" s="216"/>
      <c r="I402" s="216"/>
      <c r="J402" s="216"/>
      <c r="K402" s="216"/>
      <c r="L402" s="216"/>
      <c r="M402" s="216"/>
      <c r="N402" s="216"/>
      <c r="O402" s="216"/>
      <c r="P402" s="216"/>
      <c r="Q402" s="216"/>
      <c r="R402" s="216"/>
      <c r="S402" s="216"/>
      <c r="T402" s="216"/>
      <c r="U402" s="216"/>
      <c r="V402" s="216"/>
      <c r="W402" s="216"/>
      <c r="X402" s="216"/>
      <c r="Y402" s="216"/>
      <c r="Z402" s="216"/>
      <c r="AA402" s="216"/>
      <c r="AB402" s="216"/>
      <c r="AC402" s="216"/>
      <c r="AD402" s="344"/>
      <c r="AE402" s="344"/>
      <c r="AF402" s="344"/>
      <c r="AG402" s="344"/>
    </row>
    <row r="403">
      <c r="A403" s="445"/>
      <c r="B403" s="442"/>
      <c r="C403" s="443">
        <v>2024.0</v>
      </c>
      <c r="D403" s="446" t="s">
        <v>976</v>
      </c>
      <c r="E403" s="442"/>
      <c r="F403" s="440"/>
      <c r="G403" s="216"/>
      <c r="H403" s="216"/>
      <c r="I403" s="216"/>
      <c r="J403" s="216"/>
      <c r="K403" s="216"/>
      <c r="L403" s="216"/>
      <c r="M403" s="216"/>
      <c r="N403" s="216"/>
      <c r="O403" s="216"/>
      <c r="P403" s="216"/>
      <c r="Q403" s="216"/>
      <c r="R403" s="216"/>
      <c r="S403" s="216"/>
      <c r="T403" s="216"/>
      <c r="U403" s="216"/>
      <c r="V403" s="216"/>
      <c r="W403" s="216"/>
      <c r="X403" s="216"/>
      <c r="Y403" s="216"/>
      <c r="Z403" s="216"/>
      <c r="AA403" s="216"/>
      <c r="AB403" s="216"/>
      <c r="AC403" s="216"/>
      <c r="AD403" s="344"/>
      <c r="AE403" s="344"/>
      <c r="AF403" s="344"/>
      <c r="AG403" s="344"/>
    </row>
    <row r="404">
      <c r="A404" s="441">
        <v>10.0</v>
      </c>
      <c r="B404" s="442" t="s">
        <v>740</v>
      </c>
      <c r="C404" s="443">
        <v>2023.0</v>
      </c>
      <c r="D404" s="444" t="s">
        <v>977</v>
      </c>
      <c r="E404" s="444"/>
      <c r="F404" s="440"/>
      <c r="G404" s="216"/>
      <c r="H404" s="216"/>
      <c r="I404" s="216"/>
      <c r="J404" s="216"/>
      <c r="K404" s="216"/>
      <c r="L404" s="216"/>
      <c r="M404" s="216"/>
      <c r="N404" s="216"/>
      <c r="O404" s="216"/>
      <c r="P404" s="216"/>
      <c r="Q404" s="216"/>
      <c r="R404" s="216"/>
      <c r="S404" s="216"/>
      <c r="T404" s="216"/>
      <c r="U404" s="216"/>
      <c r="V404" s="216"/>
      <c r="W404" s="216"/>
      <c r="X404" s="216"/>
      <c r="Y404" s="216"/>
      <c r="Z404" s="216"/>
      <c r="AA404" s="216"/>
      <c r="AB404" s="216"/>
      <c r="AC404" s="216"/>
      <c r="AD404" s="344"/>
      <c r="AE404" s="344"/>
      <c r="AF404" s="344"/>
      <c r="AG404" s="344"/>
    </row>
    <row r="405">
      <c r="A405" s="445"/>
      <c r="B405" s="442"/>
      <c r="C405" s="443">
        <v>2024.0</v>
      </c>
      <c r="D405" s="444" t="s">
        <v>978</v>
      </c>
      <c r="E405" s="444"/>
      <c r="F405" s="440"/>
      <c r="G405" s="216"/>
      <c r="H405" s="216"/>
      <c r="I405" s="216"/>
      <c r="J405" s="216"/>
      <c r="K405" s="216"/>
      <c r="L405" s="216"/>
      <c r="M405" s="216"/>
      <c r="N405" s="216"/>
      <c r="O405" s="216"/>
      <c r="P405" s="216"/>
      <c r="Q405" s="216"/>
      <c r="R405" s="216"/>
      <c r="S405" s="216"/>
      <c r="T405" s="216"/>
      <c r="U405" s="216"/>
      <c r="V405" s="216"/>
      <c r="W405" s="216"/>
      <c r="X405" s="216"/>
      <c r="Y405" s="216"/>
      <c r="Z405" s="216"/>
      <c r="AA405" s="216"/>
      <c r="AB405" s="216"/>
      <c r="AC405" s="216"/>
      <c r="AD405" s="344"/>
      <c r="AE405" s="344"/>
      <c r="AF405" s="344"/>
      <c r="AG405" s="344"/>
    </row>
    <row r="406">
      <c r="A406" s="441">
        <v>11.0</v>
      </c>
      <c r="B406" s="442" t="s">
        <v>548</v>
      </c>
      <c r="C406" s="443">
        <v>2022.0</v>
      </c>
      <c r="D406" s="444" t="s">
        <v>979</v>
      </c>
      <c r="E406" s="442"/>
      <c r="F406" s="440"/>
      <c r="G406" s="216"/>
      <c r="H406" s="216"/>
      <c r="I406" s="216"/>
      <c r="J406" s="216"/>
      <c r="K406" s="216"/>
      <c r="L406" s="216"/>
      <c r="M406" s="216"/>
      <c r="N406" s="216"/>
      <c r="O406" s="216"/>
      <c r="P406" s="216"/>
      <c r="Q406" s="216"/>
      <c r="R406" s="216"/>
      <c r="S406" s="216"/>
      <c r="T406" s="216"/>
      <c r="U406" s="216"/>
      <c r="V406" s="216"/>
      <c r="W406" s="216"/>
      <c r="X406" s="216"/>
      <c r="Y406" s="216"/>
      <c r="Z406" s="216"/>
      <c r="AA406" s="216"/>
      <c r="AB406" s="216"/>
      <c r="AC406" s="216"/>
      <c r="AD406" s="344"/>
      <c r="AE406" s="344"/>
      <c r="AF406" s="344"/>
      <c r="AG406" s="344"/>
    </row>
    <row r="407">
      <c r="A407" s="445"/>
      <c r="B407" s="442"/>
      <c r="C407" s="443">
        <v>2022.0</v>
      </c>
      <c r="D407" s="444" t="s">
        <v>980</v>
      </c>
      <c r="E407" s="444"/>
      <c r="F407" s="440"/>
      <c r="G407" s="216"/>
      <c r="H407" s="216"/>
      <c r="I407" s="216"/>
      <c r="J407" s="216"/>
      <c r="K407" s="216"/>
      <c r="L407" s="216"/>
      <c r="M407" s="216"/>
      <c r="N407" s="216"/>
      <c r="O407" s="216"/>
      <c r="P407" s="216"/>
      <c r="Q407" s="216"/>
      <c r="R407" s="216"/>
      <c r="S407" s="216"/>
      <c r="T407" s="216"/>
      <c r="U407" s="216"/>
      <c r="V407" s="216"/>
      <c r="W407" s="216"/>
      <c r="X407" s="216"/>
      <c r="Y407" s="216"/>
      <c r="Z407" s="216"/>
      <c r="AA407" s="216"/>
      <c r="AB407" s="216"/>
      <c r="AC407" s="216"/>
      <c r="AD407" s="344"/>
      <c r="AE407" s="344"/>
      <c r="AF407" s="344"/>
      <c r="AG407" s="344"/>
    </row>
    <row r="408">
      <c r="A408" s="445"/>
      <c r="B408" s="442"/>
      <c r="C408" s="443">
        <v>2022.0</v>
      </c>
      <c r="D408" s="444" t="s">
        <v>981</v>
      </c>
      <c r="E408" s="444"/>
      <c r="F408" s="440"/>
      <c r="G408" s="216"/>
      <c r="H408" s="216"/>
      <c r="I408" s="216"/>
      <c r="J408" s="216"/>
      <c r="K408" s="216"/>
      <c r="L408" s="216"/>
      <c r="M408" s="216"/>
      <c r="N408" s="216"/>
      <c r="O408" s="216"/>
      <c r="P408" s="216"/>
      <c r="Q408" s="216"/>
      <c r="R408" s="216"/>
      <c r="S408" s="216"/>
      <c r="T408" s="216"/>
      <c r="U408" s="216"/>
      <c r="V408" s="216"/>
      <c r="W408" s="216"/>
      <c r="X408" s="216"/>
      <c r="Y408" s="216"/>
      <c r="Z408" s="216"/>
      <c r="AA408" s="216"/>
      <c r="AB408" s="216"/>
      <c r="AC408" s="216"/>
      <c r="AD408" s="344"/>
      <c r="AE408" s="344"/>
      <c r="AF408" s="344"/>
      <c r="AG408" s="344"/>
    </row>
    <row r="409">
      <c r="A409" s="445"/>
      <c r="B409" s="442"/>
      <c r="C409" s="443">
        <v>2023.0</v>
      </c>
      <c r="D409" s="444" t="s">
        <v>982</v>
      </c>
      <c r="E409" s="444"/>
      <c r="F409" s="440"/>
      <c r="G409" s="216"/>
      <c r="H409" s="216"/>
      <c r="I409" s="216"/>
      <c r="J409" s="216"/>
      <c r="K409" s="216"/>
      <c r="L409" s="216"/>
      <c r="M409" s="216"/>
      <c r="N409" s="216"/>
      <c r="O409" s="216"/>
      <c r="P409" s="216"/>
      <c r="Q409" s="216"/>
      <c r="R409" s="216"/>
      <c r="S409" s="216"/>
      <c r="T409" s="216"/>
      <c r="U409" s="216"/>
      <c r="V409" s="216"/>
      <c r="W409" s="216"/>
      <c r="X409" s="216"/>
      <c r="Y409" s="216"/>
      <c r="Z409" s="216"/>
      <c r="AA409" s="216"/>
      <c r="AB409" s="216"/>
      <c r="AC409" s="216"/>
      <c r="AD409" s="344"/>
      <c r="AE409" s="344"/>
      <c r="AF409" s="344"/>
      <c r="AG409" s="344"/>
    </row>
    <row r="410">
      <c r="A410" s="445"/>
      <c r="B410" s="442"/>
      <c r="C410" s="443">
        <v>2023.0</v>
      </c>
      <c r="D410" s="442" t="s">
        <v>983</v>
      </c>
      <c r="E410" s="442"/>
      <c r="F410" s="440"/>
      <c r="G410" s="216"/>
      <c r="H410" s="216"/>
      <c r="I410" s="216"/>
      <c r="J410" s="216"/>
      <c r="K410" s="216"/>
      <c r="L410" s="216"/>
      <c r="M410" s="216"/>
      <c r="N410" s="216"/>
      <c r="O410" s="216"/>
      <c r="P410" s="216"/>
      <c r="Q410" s="216"/>
      <c r="R410" s="216"/>
      <c r="S410" s="216"/>
      <c r="T410" s="216"/>
      <c r="U410" s="216"/>
      <c r="V410" s="216"/>
      <c r="W410" s="216"/>
      <c r="X410" s="216"/>
      <c r="Y410" s="216"/>
      <c r="Z410" s="216"/>
      <c r="AA410" s="216"/>
      <c r="AB410" s="216"/>
      <c r="AC410" s="216"/>
      <c r="AD410" s="344"/>
      <c r="AE410" s="344"/>
      <c r="AF410" s="344"/>
      <c r="AG410" s="344"/>
    </row>
    <row r="411">
      <c r="A411" s="445"/>
      <c r="B411" s="442"/>
      <c r="C411" s="443">
        <v>2023.0</v>
      </c>
      <c r="D411" s="444" t="s">
        <v>946</v>
      </c>
      <c r="E411" s="442"/>
      <c r="F411" s="440"/>
      <c r="G411" s="216"/>
      <c r="H411" s="216"/>
      <c r="I411" s="216"/>
      <c r="J411" s="216"/>
      <c r="K411" s="216"/>
      <c r="L411" s="216"/>
      <c r="M411" s="216"/>
      <c r="N411" s="216"/>
      <c r="O411" s="216"/>
      <c r="P411" s="216"/>
      <c r="Q411" s="216"/>
      <c r="R411" s="216"/>
      <c r="S411" s="216"/>
      <c r="T411" s="216"/>
      <c r="U411" s="216"/>
      <c r="V411" s="216"/>
      <c r="W411" s="216"/>
      <c r="X411" s="216"/>
      <c r="Y411" s="216"/>
      <c r="Z411" s="216"/>
      <c r="AA411" s="216"/>
      <c r="AB411" s="216"/>
      <c r="AC411" s="216"/>
      <c r="AD411" s="344"/>
      <c r="AE411" s="344"/>
      <c r="AF411" s="344"/>
      <c r="AG411" s="344"/>
    </row>
    <row r="412">
      <c r="A412" s="445"/>
      <c r="B412" s="442"/>
      <c r="C412" s="443">
        <v>2024.0</v>
      </c>
      <c r="D412" s="446" t="s">
        <v>967</v>
      </c>
      <c r="E412" s="442"/>
      <c r="F412" s="440"/>
      <c r="G412" s="216"/>
      <c r="H412" s="216"/>
      <c r="I412" s="216"/>
      <c r="J412" s="216"/>
      <c r="K412" s="216"/>
      <c r="L412" s="216"/>
      <c r="M412" s="216"/>
      <c r="N412" s="216"/>
      <c r="O412" s="216"/>
      <c r="P412" s="216"/>
      <c r="Q412" s="216"/>
      <c r="R412" s="216"/>
      <c r="S412" s="216"/>
      <c r="T412" s="216"/>
      <c r="U412" s="216"/>
      <c r="V412" s="216"/>
      <c r="W412" s="216"/>
      <c r="X412" s="216"/>
      <c r="Y412" s="216"/>
      <c r="Z412" s="216"/>
      <c r="AA412" s="216"/>
      <c r="AB412" s="216"/>
      <c r="AC412" s="216"/>
      <c r="AD412" s="344"/>
      <c r="AE412" s="344"/>
      <c r="AF412" s="344"/>
      <c r="AG412" s="344"/>
    </row>
    <row r="413">
      <c r="A413" s="441">
        <v>12.0</v>
      </c>
      <c r="B413" s="442" t="s">
        <v>549</v>
      </c>
      <c r="C413" s="443">
        <v>2023.0</v>
      </c>
      <c r="D413" s="446" t="s">
        <v>964</v>
      </c>
      <c r="E413" s="442"/>
      <c r="F413" s="440"/>
      <c r="G413" s="216"/>
      <c r="H413" s="216"/>
      <c r="I413" s="216"/>
      <c r="J413" s="216"/>
      <c r="K413" s="216"/>
      <c r="L413" s="216"/>
      <c r="M413" s="216"/>
      <c r="N413" s="216"/>
      <c r="O413" s="216"/>
      <c r="P413" s="216"/>
      <c r="Q413" s="216"/>
      <c r="R413" s="216"/>
      <c r="S413" s="216"/>
      <c r="T413" s="216"/>
      <c r="U413" s="216"/>
      <c r="V413" s="216"/>
      <c r="W413" s="216"/>
      <c r="X413" s="216"/>
      <c r="Y413" s="216"/>
      <c r="Z413" s="216"/>
      <c r="AA413" s="216"/>
      <c r="AB413" s="216"/>
      <c r="AC413" s="216"/>
      <c r="AD413" s="344"/>
      <c r="AE413" s="344"/>
      <c r="AF413" s="344"/>
      <c r="AG413" s="344"/>
    </row>
    <row r="414">
      <c r="A414" s="445"/>
      <c r="B414" s="442"/>
      <c r="C414" s="443">
        <v>2024.0</v>
      </c>
      <c r="D414" s="446" t="s">
        <v>939</v>
      </c>
      <c r="E414" s="442"/>
      <c r="F414" s="440"/>
      <c r="G414" s="216"/>
      <c r="H414" s="216"/>
      <c r="I414" s="216"/>
      <c r="J414" s="216"/>
      <c r="K414" s="216"/>
      <c r="L414" s="216"/>
      <c r="M414" s="216"/>
      <c r="N414" s="216"/>
      <c r="O414" s="216"/>
      <c r="P414" s="216"/>
      <c r="Q414" s="216"/>
      <c r="R414" s="216"/>
      <c r="S414" s="216"/>
      <c r="T414" s="216"/>
      <c r="U414" s="216"/>
      <c r="V414" s="216"/>
      <c r="W414" s="216"/>
      <c r="X414" s="216"/>
      <c r="Y414" s="216"/>
      <c r="Z414" s="216"/>
      <c r="AA414" s="216"/>
      <c r="AB414" s="216"/>
      <c r="AC414" s="216"/>
      <c r="AD414" s="344"/>
      <c r="AE414" s="344"/>
      <c r="AF414" s="344"/>
      <c r="AG414" s="344"/>
    </row>
    <row r="415">
      <c r="A415" s="445"/>
      <c r="B415" s="442"/>
      <c r="C415" s="443">
        <v>2024.0</v>
      </c>
      <c r="D415" s="446" t="s">
        <v>968</v>
      </c>
      <c r="E415" s="442"/>
      <c r="F415" s="440"/>
      <c r="G415" s="216"/>
      <c r="H415" s="216"/>
      <c r="I415" s="216"/>
      <c r="J415" s="216"/>
      <c r="K415" s="216"/>
      <c r="L415" s="216"/>
      <c r="M415" s="216"/>
      <c r="N415" s="216"/>
      <c r="O415" s="216"/>
      <c r="P415" s="216"/>
      <c r="Q415" s="216"/>
      <c r="R415" s="216"/>
      <c r="S415" s="216"/>
      <c r="T415" s="216"/>
      <c r="U415" s="216"/>
      <c r="V415" s="216"/>
      <c r="W415" s="216"/>
      <c r="X415" s="216"/>
      <c r="Y415" s="216"/>
      <c r="Z415" s="216"/>
      <c r="AA415" s="216"/>
      <c r="AB415" s="216"/>
      <c r="AC415" s="216"/>
      <c r="AD415" s="344"/>
      <c r="AE415" s="344"/>
      <c r="AF415" s="344"/>
      <c r="AG415" s="344"/>
    </row>
    <row r="416">
      <c r="A416" s="445"/>
      <c r="B416" s="442"/>
      <c r="C416" s="443">
        <v>2024.0</v>
      </c>
      <c r="D416" s="446" t="s">
        <v>969</v>
      </c>
      <c r="E416" s="442"/>
      <c r="F416" s="440"/>
      <c r="G416" s="216"/>
      <c r="H416" s="216"/>
      <c r="I416" s="216"/>
      <c r="J416" s="216"/>
      <c r="K416" s="216"/>
      <c r="L416" s="216"/>
      <c r="M416" s="216"/>
      <c r="N416" s="216"/>
      <c r="O416" s="216"/>
      <c r="P416" s="216"/>
      <c r="Q416" s="216"/>
      <c r="R416" s="216"/>
      <c r="S416" s="216"/>
      <c r="T416" s="216"/>
      <c r="U416" s="216"/>
      <c r="V416" s="216"/>
      <c r="W416" s="216"/>
      <c r="X416" s="216"/>
      <c r="Y416" s="216"/>
      <c r="Z416" s="216"/>
      <c r="AA416" s="216"/>
      <c r="AB416" s="216"/>
      <c r="AC416" s="216"/>
      <c r="AD416" s="344"/>
      <c r="AE416" s="344"/>
      <c r="AF416" s="344"/>
      <c r="AG416" s="344"/>
    </row>
    <row r="417">
      <c r="A417" s="441">
        <v>13.0</v>
      </c>
      <c r="B417" s="442" t="s">
        <v>855</v>
      </c>
      <c r="C417" s="443">
        <v>2022.0</v>
      </c>
      <c r="D417" s="442" t="s">
        <v>958</v>
      </c>
      <c r="E417" s="442" t="s">
        <v>929</v>
      </c>
      <c r="F417" s="440"/>
      <c r="G417" s="216"/>
      <c r="H417" s="216"/>
      <c r="I417" s="216"/>
      <c r="J417" s="216"/>
      <c r="K417" s="216"/>
      <c r="L417" s="216"/>
      <c r="M417" s="216"/>
      <c r="N417" s="216"/>
      <c r="O417" s="216"/>
      <c r="P417" s="216"/>
      <c r="Q417" s="216"/>
      <c r="R417" s="216"/>
      <c r="S417" s="216"/>
      <c r="T417" s="216"/>
      <c r="U417" s="216"/>
      <c r="V417" s="216"/>
      <c r="W417" s="216"/>
      <c r="X417" s="216"/>
      <c r="Y417" s="216"/>
      <c r="Z417" s="216"/>
      <c r="AA417" s="216"/>
      <c r="AB417" s="216"/>
      <c r="AC417" s="216"/>
      <c r="AD417" s="344"/>
      <c r="AE417" s="344"/>
      <c r="AF417" s="344"/>
      <c r="AG417" s="344"/>
    </row>
    <row r="418">
      <c r="A418" s="445"/>
      <c r="B418" s="442"/>
      <c r="C418" s="443">
        <v>2023.0</v>
      </c>
      <c r="D418" s="442" t="s">
        <v>984</v>
      </c>
      <c r="E418" s="442" t="s">
        <v>929</v>
      </c>
      <c r="F418" s="440"/>
      <c r="G418" s="216"/>
      <c r="H418" s="216"/>
      <c r="I418" s="216"/>
      <c r="J418" s="216"/>
      <c r="K418" s="216"/>
      <c r="L418" s="216"/>
      <c r="M418" s="216"/>
      <c r="N418" s="216"/>
      <c r="O418" s="216"/>
      <c r="P418" s="216"/>
      <c r="Q418" s="216"/>
      <c r="R418" s="216"/>
      <c r="S418" s="216"/>
      <c r="T418" s="216"/>
      <c r="U418" s="216"/>
      <c r="V418" s="216"/>
      <c r="W418" s="216"/>
      <c r="X418" s="216"/>
      <c r="Y418" s="216"/>
      <c r="Z418" s="216"/>
      <c r="AA418" s="216"/>
      <c r="AB418" s="216"/>
      <c r="AC418" s="216"/>
      <c r="AD418" s="344"/>
      <c r="AE418" s="344"/>
      <c r="AF418" s="344"/>
      <c r="AG418" s="344"/>
    </row>
    <row r="419">
      <c r="A419" s="445"/>
      <c r="B419" s="442"/>
      <c r="C419" s="443">
        <v>2023.0</v>
      </c>
      <c r="D419" s="442" t="s">
        <v>985</v>
      </c>
      <c r="E419" s="442" t="s">
        <v>986</v>
      </c>
      <c r="F419" s="440"/>
      <c r="G419" s="216"/>
      <c r="H419" s="216"/>
      <c r="I419" s="216"/>
      <c r="J419" s="216"/>
      <c r="K419" s="216"/>
      <c r="L419" s="216"/>
      <c r="M419" s="216"/>
      <c r="N419" s="216"/>
      <c r="O419" s="216"/>
      <c r="P419" s="216"/>
      <c r="Q419" s="216"/>
      <c r="R419" s="216"/>
      <c r="S419" s="216"/>
      <c r="T419" s="216"/>
      <c r="U419" s="216"/>
      <c r="V419" s="216"/>
      <c r="W419" s="216"/>
      <c r="X419" s="216"/>
      <c r="Y419" s="216"/>
      <c r="Z419" s="216"/>
      <c r="AA419" s="216"/>
      <c r="AB419" s="216"/>
      <c r="AC419" s="216"/>
      <c r="AD419" s="344"/>
      <c r="AE419" s="344"/>
      <c r="AF419" s="344"/>
      <c r="AG419" s="344"/>
    </row>
    <row r="420">
      <c r="A420" s="445"/>
      <c r="B420" s="442"/>
      <c r="C420" s="443">
        <v>2024.0</v>
      </c>
      <c r="D420" s="446" t="s">
        <v>987</v>
      </c>
      <c r="E420" s="442"/>
      <c r="F420" s="440"/>
      <c r="G420" s="216"/>
      <c r="H420" s="216"/>
      <c r="I420" s="216"/>
      <c r="J420" s="216"/>
      <c r="K420" s="216"/>
      <c r="L420" s="216"/>
      <c r="M420" s="216"/>
      <c r="N420" s="216"/>
      <c r="O420" s="216"/>
      <c r="P420" s="216"/>
      <c r="Q420" s="216"/>
      <c r="R420" s="216"/>
      <c r="S420" s="216"/>
      <c r="T420" s="216"/>
      <c r="U420" s="216"/>
      <c r="V420" s="216"/>
      <c r="W420" s="216"/>
      <c r="X420" s="216"/>
      <c r="Y420" s="216"/>
      <c r="Z420" s="216"/>
      <c r="AA420" s="216"/>
      <c r="AB420" s="216"/>
      <c r="AC420" s="216"/>
      <c r="AD420" s="344"/>
      <c r="AE420" s="344"/>
      <c r="AF420" s="344"/>
      <c r="AG420" s="344"/>
    </row>
    <row r="421">
      <c r="A421" s="441">
        <v>14.0</v>
      </c>
      <c r="B421" s="442" t="s">
        <v>856</v>
      </c>
      <c r="C421" s="443">
        <v>2022.0</v>
      </c>
      <c r="D421" s="442" t="s">
        <v>988</v>
      </c>
      <c r="E421" s="442" t="s">
        <v>929</v>
      </c>
      <c r="F421" s="440"/>
      <c r="G421" s="216"/>
      <c r="H421" s="216"/>
      <c r="I421" s="216"/>
      <c r="J421" s="216"/>
      <c r="K421" s="216"/>
      <c r="L421" s="216"/>
      <c r="M421" s="216"/>
      <c r="N421" s="216"/>
      <c r="O421" s="216"/>
      <c r="P421" s="216"/>
      <c r="Q421" s="216"/>
      <c r="R421" s="216"/>
      <c r="S421" s="216"/>
      <c r="T421" s="216"/>
      <c r="U421" s="216"/>
      <c r="V421" s="216"/>
      <c r="W421" s="216"/>
      <c r="X421" s="216"/>
      <c r="Y421" s="216"/>
      <c r="Z421" s="216"/>
      <c r="AA421" s="216"/>
      <c r="AB421" s="216"/>
      <c r="AC421" s="216"/>
      <c r="AD421" s="344"/>
      <c r="AE421" s="344"/>
      <c r="AF421" s="344"/>
      <c r="AG421" s="344"/>
    </row>
    <row r="422">
      <c r="A422" s="445"/>
      <c r="B422" s="442"/>
      <c r="C422" s="443">
        <v>2022.0</v>
      </c>
      <c r="D422" s="442" t="s">
        <v>989</v>
      </c>
      <c r="E422" s="442" t="s">
        <v>929</v>
      </c>
      <c r="F422" s="440"/>
      <c r="G422" s="216"/>
      <c r="H422" s="216"/>
      <c r="I422" s="216"/>
      <c r="J422" s="216"/>
      <c r="K422" s="216"/>
      <c r="L422" s="216"/>
      <c r="M422" s="216"/>
      <c r="N422" s="216"/>
      <c r="O422" s="216"/>
      <c r="P422" s="216"/>
      <c r="Q422" s="216"/>
      <c r="R422" s="216"/>
      <c r="S422" s="216"/>
      <c r="T422" s="216"/>
      <c r="U422" s="216"/>
      <c r="V422" s="216"/>
      <c r="W422" s="216"/>
      <c r="X422" s="216"/>
      <c r="Y422" s="216"/>
      <c r="Z422" s="216"/>
      <c r="AA422" s="216"/>
      <c r="AB422" s="216"/>
      <c r="AC422" s="216"/>
      <c r="AD422" s="344"/>
      <c r="AE422" s="344"/>
      <c r="AF422" s="344"/>
      <c r="AG422" s="344"/>
    </row>
    <row r="423">
      <c r="A423" s="445"/>
      <c r="B423" s="442"/>
      <c r="C423" s="443">
        <v>2022.0</v>
      </c>
      <c r="D423" s="442" t="s">
        <v>990</v>
      </c>
      <c r="E423" s="442" t="s">
        <v>929</v>
      </c>
      <c r="F423" s="440"/>
      <c r="G423" s="216"/>
      <c r="H423" s="216"/>
      <c r="I423" s="216"/>
      <c r="J423" s="216"/>
      <c r="K423" s="216"/>
      <c r="L423" s="216"/>
      <c r="M423" s="216"/>
      <c r="N423" s="216"/>
      <c r="O423" s="216"/>
      <c r="P423" s="216"/>
      <c r="Q423" s="216"/>
      <c r="R423" s="216"/>
      <c r="S423" s="216"/>
      <c r="T423" s="216"/>
      <c r="U423" s="216"/>
      <c r="V423" s="216"/>
      <c r="W423" s="216"/>
      <c r="X423" s="216"/>
      <c r="Y423" s="216"/>
      <c r="Z423" s="216"/>
      <c r="AA423" s="216"/>
      <c r="AB423" s="216"/>
      <c r="AC423" s="216"/>
      <c r="AD423" s="344"/>
      <c r="AE423" s="344"/>
      <c r="AF423" s="344"/>
      <c r="AG423" s="344"/>
    </row>
    <row r="424">
      <c r="A424" s="445"/>
      <c r="B424" s="442"/>
      <c r="C424" s="443">
        <v>2023.0</v>
      </c>
      <c r="D424" s="442" t="s">
        <v>991</v>
      </c>
      <c r="E424" s="442" t="s">
        <v>933</v>
      </c>
      <c r="F424" s="440"/>
      <c r="G424" s="216"/>
      <c r="H424" s="216"/>
      <c r="I424" s="216"/>
      <c r="J424" s="216"/>
      <c r="K424" s="216"/>
      <c r="L424" s="216"/>
      <c r="M424" s="216"/>
      <c r="N424" s="216"/>
      <c r="O424" s="216"/>
      <c r="P424" s="216"/>
      <c r="Q424" s="216"/>
      <c r="R424" s="216"/>
      <c r="S424" s="216"/>
      <c r="T424" s="216"/>
      <c r="U424" s="216"/>
      <c r="V424" s="216"/>
      <c r="W424" s="216"/>
      <c r="X424" s="216"/>
      <c r="Y424" s="216"/>
      <c r="Z424" s="216"/>
      <c r="AA424" s="216"/>
      <c r="AB424" s="216"/>
      <c r="AC424" s="216"/>
      <c r="AD424" s="344"/>
      <c r="AE424" s="344"/>
      <c r="AF424" s="344"/>
      <c r="AG424" s="344"/>
    </row>
    <row r="425">
      <c r="A425" s="445"/>
      <c r="B425" s="442"/>
      <c r="C425" s="443">
        <v>2023.0</v>
      </c>
      <c r="D425" s="444" t="s">
        <v>934</v>
      </c>
      <c r="E425" s="442"/>
      <c r="F425" s="440"/>
      <c r="G425" s="216"/>
      <c r="H425" s="216"/>
      <c r="I425" s="216"/>
      <c r="J425" s="216"/>
      <c r="K425" s="216"/>
      <c r="L425" s="216"/>
      <c r="M425" s="216"/>
      <c r="N425" s="216"/>
      <c r="O425" s="216"/>
      <c r="P425" s="216"/>
      <c r="Q425" s="216"/>
      <c r="R425" s="216"/>
      <c r="S425" s="216"/>
      <c r="T425" s="216"/>
      <c r="U425" s="216"/>
      <c r="V425" s="216"/>
      <c r="W425" s="216"/>
      <c r="X425" s="216"/>
      <c r="Y425" s="216"/>
      <c r="Z425" s="216"/>
      <c r="AA425" s="216"/>
      <c r="AB425" s="216"/>
      <c r="AC425" s="216"/>
      <c r="AD425" s="344"/>
      <c r="AE425" s="344"/>
      <c r="AF425" s="344"/>
      <c r="AG425" s="344"/>
    </row>
    <row r="426">
      <c r="A426" s="445"/>
      <c r="B426" s="442"/>
      <c r="C426" s="443">
        <v>2024.0</v>
      </c>
      <c r="D426" s="446" t="s">
        <v>992</v>
      </c>
      <c r="E426" s="442"/>
      <c r="F426" s="440"/>
      <c r="G426" s="216"/>
      <c r="H426" s="216"/>
      <c r="I426" s="216"/>
      <c r="J426" s="216"/>
      <c r="K426" s="216"/>
      <c r="L426" s="216"/>
      <c r="M426" s="216"/>
      <c r="N426" s="216"/>
      <c r="O426" s="216"/>
      <c r="P426" s="216"/>
      <c r="Q426" s="216"/>
      <c r="R426" s="216"/>
      <c r="S426" s="216"/>
      <c r="T426" s="216"/>
      <c r="U426" s="216"/>
      <c r="V426" s="216"/>
      <c r="W426" s="216"/>
      <c r="X426" s="216"/>
      <c r="Y426" s="216"/>
      <c r="Z426" s="216"/>
      <c r="AA426" s="216"/>
      <c r="AB426" s="216"/>
      <c r="AC426" s="216"/>
      <c r="AD426" s="344"/>
      <c r="AE426" s="344"/>
      <c r="AF426" s="344"/>
      <c r="AG426" s="344"/>
    </row>
    <row r="427">
      <c r="A427" s="441">
        <v>15.0</v>
      </c>
      <c r="B427" s="442" t="s">
        <v>993</v>
      </c>
      <c r="C427" s="443">
        <v>2022.0</v>
      </c>
      <c r="D427" s="442" t="s">
        <v>963</v>
      </c>
      <c r="E427" s="442" t="s">
        <v>929</v>
      </c>
      <c r="F427" s="440"/>
      <c r="G427" s="216"/>
      <c r="H427" s="216"/>
      <c r="I427" s="216"/>
      <c r="J427" s="216"/>
      <c r="K427" s="216"/>
      <c r="L427" s="216"/>
      <c r="M427" s="216"/>
      <c r="N427" s="216"/>
      <c r="O427" s="216"/>
      <c r="P427" s="216"/>
      <c r="Q427" s="216"/>
      <c r="R427" s="216"/>
      <c r="S427" s="216"/>
      <c r="T427" s="216"/>
      <c r="U427" s="216"/>
      <c r="V427" s="216"/>
      <c r="W427" s="216"/>
      <c r="X427" s="216"/>
      <c r="Y427" s="216"/>
      <c r="Z427" s="216"/>
      <c r="AA427" s="216"/>
      <c r="AB427" s="216"/>
      <c r="AC427" s="216"/>
      <c r="AD427" s="344"/>
      <c r="AE427" s="344"/>
      <c r="AF427" s="344"/>
      <c r="AG427" s="344"/>
    </row>
    <row r="428">
      <c r="A428" s="445"/>
      <c r="B428" s="442"/>
      <c r="C428" s="443">
        <v>2022.0</v>
      </c>
      <c r="D428" s="444" t="s">
        <v>962</v>
      </c>
      <c r="E428" s="444"/>
      <c r="F428" s="440"/>
      <c r="G428" s="216"/>
      <c r="H428" s="216"/>
      <c r="I428" s="216"/>
      <c r="J428" s="216"/>
      <c r="K428" s="216"/>
      <c r="L428" s="216"/>
      <c r="M428" s="216"/>
      <c r="N428" s="216"/>
      <c r="O428" s="216"/>
      <c r="P428" s="216"/>
      <c r="Q428" s="216"/>
      <c r="R428" s="216"/>
      <c r="S428" s="216"/>
      <c r="T428" s="216"/>
      <c r="U428" s="216"/>
      <c r="V428" s="216"/>
      <c r="W428" s="216"/>
      <c r="X428" s="216"/>
      <c r="Y428" s="216"/>
      <c r="Z428" s="216"/>
      <c r="AA428" s="216"/>
      <c r="AB428" s="216"/>
      <c r="AC428" s="216"/>
      <c r="AD428" s="344"/>
      <c r="AE428" s="344"/>
      <c r="AF428" s="344"/>
      <c r="AG428" s="344"/>
    </row>
    <row r="429">
      <c r="A429" s="445"/>
      <c r="B429" s="442"/>
      <c r="C429" s="443">
        <v>2022.0</v>
      </c>
      <c r="D429" s="442" t="s">
        <v>950</v>
      </c>
      <c r="E429" s="442" t="s">
        <v>929</v>
      </c>
      <c r="F429" s="440"/>
      <c r="G429" s="216"/>
      <c r="H429" s="216"/>
      <c r="I429" s="216"/>
      <c r="J429" s="216"/>
      <c r="K429" s="216"/>
      <c r="L429" s="216"/>
      <c r="M429" s="216"/>
      <c r="N429" s="216"/>
      <c r="O429" s="216"/>
      <c r="P429" s="216"/>
      <c r="Q429" s="216"/>
      <c r="R429" s="216"/>
      <c r="S429" s="216"/>
      <c r="T429" s="216"/>
      <c r="U429" s="216"/>
      <c r="V429" s="216"/>
      <c r="W429" s="216"/>
      <c r="X429" s="216"/>
      <c r="Y429" s="216"/>
      <c r="Z429" s="216"/>
      <c r="AA429" s="216"/>
      <c r="AB429" s="216"/>
      <c r="AC429" s="216"/>
      <c r="AD429" s="344"/>
      <c r="AE429" s="344"/>
      <c r="AF429" s="344"/>
      <c r="AG429" s="344"/>
    </row>
    <row r="430">
      <c r="A430" s="445"/>
      <c r="B430" s="442"/>
      <c r="C430" s="443">
        <v>2022.0</v>
      </c>
      <c r="D430" s="442" t="s">
        <v>994</v>
      </c>
      <c r="E430" s="442"/>
      <c r="F430" s="440"/>
      <c r="G430" s="216"/>
      <c r="H430" s="216"/>
      <c r="I430" s="216"/>
      <c r="J430" s="216"/>
      <c r="K430" s="216"/>
      <c r="L430" s="216"/>
      <c r="M430" s="216"/>
      <c r="N430" s="216"/>
      <c r="O430" s="216"/>
      <c r="P430" s="216"/>
      <c r="Q430" s="216"/>
      <c r="R430" s="216"/>
      <c r="S430" s="216"/>
      <c r="T430" s="216"/>
      <c r="U430" s="216"/>
      <c r="V430" s="216"/>
      <c r="W430" s="216"/>
      <c r="X430" s="216"/>
      <c r="Y430" s="216"/>
      <c r="Z430" s="216"/>
      <c r="AA430" s="216"/>
      <c r="AB430" s="216"/>
      <c r="AC430" s="216"/>
      <c r="AD430" s="344"/>
      <c r="AE430" s="344"/>
      <c r="AF430" s="344"/>
      <c r="AG430" s="344"/>
    </row>
    <row r="431">
      <c r="A431" s="445"/>
      <c r="B431" s="442"/>
      <c r="C431" s="443">
        <v>2023.0</v>
      </c>
      <c r="D431" s="442" t="s">
        <v>951</v>
      </c>
      <c r="E431" s="442" t="s">
        <v>929</v>
      </c>
      <c r="F431" s="440"/>
      <c r="G431" s="216"/>
      <c r="H431" s="216"/>
      <c r="I431" s="216"/>
      <c r="J431" s="216"/>
      <c r="K431" s="216"/>
      <c r="L431" s="216"/>
      <c r="M431" s="216"/>
      <c r="N431" s="216"/>
      <c r="O431" s="216"/>
      <c r="P431" s="216"/>
      <c r="Q431" s="216"/>
      <c r="R431" s="216"/>
      <c r="S431" s="216"/>
      <c r="T431" s="216"/>
      <c r="U431" s="216"/>
      <c r="V431" s="216"/>
      <c r="W431" s="216"/>
      <c r="X431" s="216"/>
      <c r="Y431" s="216"/>
      <c r="Z431" s="216"/>
      <c r="AA431" s="216"/>
      <c r="AB431" s="216"/>
      <c r="AC431" s="216"/>
      <c r="AD431" s="344"/>
      <c r="AE431" s="344"/>
      <c r="AF431" s="344"/>
      <c r="AG431" s="344"/>
    </row>
    <row r="432">
      <c r="A432" s="445"/>
      <c r="B432" s="442"/>
      <c r="C432" s="443">
        <v>2023.0</v>
      </c>
      <c r="D432" s="444" t="s">
        <v>995</v>
      </c>
      <c r="E432" s="444"/>
      <c r="F432" s="440"/>
      <c r="G432" s="216"/>
      <c r="H432" s="216"/>
      <c r="I432" s="216"/>
      <c r="J432" s="216"/>
      <c r="K432" s="216"/>
      <c r="L432" s="216"/>
      <c r="M432" s="216"/>
      <c r="N432" s="216"/>
      <c r="O432" s="216"/>
      <c r="P432" s="216"/>
      <c r="Q432" s="216"/>
      <c r="R432" s="216"/>
      <c r="S432" s="216"/>
      <c r="T432" s="216"/>
      <c r="U432" s="216"/>
      <c r="V432" s="216"/>
      <c r="W432" s="216"/>
      <c r="X432" s="216"/>
      <c r="Y432" s="216"/>
      <c r="Z432" s="216"/>
      <c r="AA432" s="216"/>
      <c r="AB432" s="216"/>
      <c r="AC432" s="216"/>
      <c r="AD432" s="344"/>
      <c r="AE432" s="344"/>
      <c r="AF432" s="344"/>
      <c r="AG432" s="344"/>
    </row>
    <row r="433">
      <c r="A433" s="445"/>
      <c r="B433" s="442"/>
      <c r="C433" s="443">
        <v>2024.0</v>
      </c>
      <c r="D433" s="446" t="s">
        <v>952</v>
      </c>
      <c r="E433" s="442"/>
      <c r="F433" s="440"/>
      <c r="G433" s="216"/>
      <c r="H433" s="216"/>
      <c r="I433" s="216"/>
      <c r="J433" s="216"/>
      <c r="K433" s="216"/>
      <c r="L433" s="216"/>
      <c r="M433" s="216"/>
      <c r="N433" s="216"/>
      <c r="O433" s="216"/>
      <c r="P433" s="216"/>
      <c r="Q433" s="216"/>
      <c r="R433" s="216"/>
      <c r="S433" s="216"/>
      <c r="T433" s="216"/>
      <c r="U433" s="216"/>
      <c r="V433" s="216"/>
      <c r="W433" s="216"/>
      <c r="X433" s="216"/>
      <c r="Y433" s="216"/>
      <c r="Z433" s="216"/>
      <c r="AA433" s="216"/>
      <c r="AB433" s="216"/>
      <c r="AC433" s="216"/>
      <c r="AD433" s="344"/>
      <c r="AE433" s="344"/>
      <c r="AF433" s="344"/>
      <c r="AG433" s="344"/>
    </row>
    <row r="434">
      <c r="A434" s="445"/>
      <c r="B434" s="442"/>
      <c r="C434" s="443">
        <v>2024.0</v>
      </c>
      <c r="D434" s="446" t="s">
        <v>953</v>
      </c>
      <c r="E434" s="442"/>
      <c r="F434" s="440"/>
      <c r="G434" s="216"/>
      <c r="H434" s="216"/>
      <c r="I434" s="216"/>
      <c r="J434" s="216"/>
      <c r="K434" s="216"/>
      <c r="L434" s="216"/>
      <c r="M434" s="216"/>
      <c r="N434" s="216"/>
      <c r="O434" s="216"/>
      <c r="P434" s="216"/>
      <c r="Q434" s="216"/>
      <c r="R434" s="216"/>
      <c r="S434" s="216"/>
      <c r="T434" s="216"/>
      <c r="U434" s="216"/>
      <c r="V434" s="216"/>
      <c r="W434" s="216"/>
      <c r="X434" s="216"/>
      <c r="Y434" s="216"/>
      <c r="Z434" s="216"/>
      <c r="AA434" s="216"/>
      <c r="AB434" s="216"/>
      <c r="AC434" s="216"/>
      <c r="AD434" s="344"/>
      <c r="AE434" s="344"/>
      <c r="AF434" s="344"/>
      <c r="AG434" s="344"/>
    </row>
    <row r="435">
      <c r="A435" s="445"/>
      <c r="B435" s="442"/>
      <c r="C435" s="443">
        <v>2024.0</v>
      </c>
      <c r="D435" s="446" t="s">
        <v>947</v>
      </c>
      <c r="E435" s="442"/>
      <c r="F435" s="440"/>
      <c r="G435" s="216"/>
      <c r="H435" s="216"/>
      <c r="I435" s="216"/>
      <c r="J435" s="216"/>
      <c r="K435" s="216"/>
      <c r="L435" s="216"/>
      <c r="M435" s="216"/>
      <c r="N435" s="216"/>
      <c r="O435" s="216"/>
      <c r="P435" s="216"/>
      <c r="Q435" s="216"/>
      <c r="R435" s="216"/>
      <c r="S435" s="216"/>
      <c r="T435" s="216"/>
      <c r="U435" s="216"/>
      <c r="V435" s="216"/>
      <c r="W435" s="216"/>
      <c r="X435" s="216"/>
      <c r="Y435" s="216"/>
      <c r="Z435" s="216"/>
      <c r="AA435" s="216"/>
      <c r="AB435" s="216"/>
      <c r="AC435" s="216"/>
      <c r="AD435" s="344"/>
      <c r="AE435" s="344"/>
      <c r="AF435" s="344"/>
      <c r="AG435" s="344"/>
    </row>
    <row r="436">
      <c r="A436" s="445"/>
      <c r="B436" s="442"/>
      <c r="C436" s="443">
        <v>2024.0</v>
      </c>
      <c r="D436" s="444" t="s">
        <v>996</v>
      </c>
      <c r="E436" s="444"/>
      <c r="F436" s="440"/>
      <c r="G436" s="216"/>
      <c r="H436" s="216"/>
      <c r="I436" s="216"/>
      <c r="J436" s="216"/>
      <c r="K436" s="216"/>
      <c r="L436" s="216"/>
      <c r="M436" s="216"/>
      <c r="N436" s="216"/>
      <c r="O436" s="216"/>
      <c r="P436" s="216"/>
      <c r="Q436" s="216"/>
      <c r="R436" s="216"/>
      <c r="S436" s="216"/>
      <c r="T436" s="216"/>
      <c r="U436" s="216"/>
      <c r="V436" s="216"/>
      <c r="W436" s="216"/>
      <c r="X436" s="216"/>
      <c r="Y436" s="216"/>
      <c r="Z436" s="216"/>
      <c r="AA436" s="216"/>
      <c r="AB436" s="216"/>
      <c r="AC436" s="216"/>
      <c r="AD436" s="344"/>
      <c r="AE436" s="344"/>
      <c r="AF436" s="344"/>
      <c r="AG436" s="344"/>
    </row>
    <row r="437">
      <c r="A437" s="441">
        <v>16.0</v>
      </c>
      <c r="B437" s="442" t="s">
        <v>552</v>
      </c>
      <c r="C437" s="443">
        <v>2023.0</v>
      </c>
      <c r="D437" s="444" t="s">
        <v>997</v>
      </c>
      <c r="E437" s="442"/>
      <c r="F437" s="440"/>
      <c r="G437" s="216"/>
      <c r="H437" s="216"/>
      <c r="I437" s="216"/>
      <c r="J437" s="216"/>
      <c r="K437" s="216"/>
      <c r="L437" s="216"/>
      <c r="M437" s="216"/>
      <c r="N437" s="216"/>
      <c r="O437" s="216"/>
      <c r="P437" s="216"/>
      <c r="Q437" s="216"/>
      <c r="R437" s="216"/>
      <c r="S437" s="216"/>
      <c r="T437" s="216"/>
      <c r="U437" s="216"/>
      <c r="V437" s="216"/>
      <c r="W437" s="216"/>
      <c r="X437" s="216"/>
      <c r="Y437" s="216"/>
      <c r="Z437" s="216"/>
      <c r="AA437" s="216"/>
      <c r="AB437" s="216"/>
      <c r="AC437" s="216"/>
      <c r="AD437" s="344"/>
      <c r="AE437" s="344"/>
      <c r="AF437" s="344"/>
      <c r="AG437" s="344"/>
    </row>
    <row r="438">
      <c r="A438" s="445"/>
      <c r="B438" s="442"/>
      <c r="C438" s="443">
        <v>2024.0</v>
      </c>
      <c r="D438" s="444" t="s">
        <v>972</v>
      </c>
      <c r="E438" s="444"/>
      <c r="F438" s="440"/>
      <c r="G438" s="216"/>
      <c r="H438" s="216"/>
      <c r="I438" s="216"/>
      <c r="J438" s="216"/>
      <c r="K438" s="216"/>
      <c r="L438" s="216"/>
      <c r="M438" s="216"/>
      <c r="N438" s="216"/>
      <c r="O438" s="216"/>
      <c r="P438" s="216"/>
      <c r="Q438" s="216"/>
      <c r="R438" s="216"/>
      <c r="S438" s="216"/>
      <c r="T438" s="216"/>
      <c r="U438" s="216"/>
      <c r="V438" s="216"/>
      <c r="W438" s="216"/>
      <c r="X438" s="216"/>
      <c r="Y438" s="216"/>
      <c r="Z438" s="216"/>
      <c r="AA438" s="216"/>
      <c r="AB438" s="216"/>
      <c r="AC438" s="216"/>
      <c r="AD438" s="344"/>
      <c r="AE438" s="344"/>
      <c r="AF438" s="344"/>
      <c r="AG438" s="344"/>
    </row>
    <row r="439">
      <c r="A439" s="441">
        <v>17.0</v>
      </c>
      <c r="B439" s="442" t="s">
        <v>998</v>
      </c>
      <c r="C439" s="443">
        <v>2024.0</v>
      </c>
      <c r="D439" s="444" t="s">
        <v>999</v>
      </c>
      <c r="E439" s="444"/>
      <c r="F439" s="440"/>
      <c r="G439" s="216"/>
      <c r="H439" s="216"/>
      <c r="I439" s="216"/>
      <c r="J439" s="216"/>
      <c r="K439" s="216"/>
      <c r="L439" s="216"/>
      <c r="M439" s="216"/>
      <c r="N439" s="216"/>
      <c r="O439" s="216"/>
      <c r="P439" s="216"/>
      <c r="Q439" s="216"/>
      <c r="R439" s="216"/>
      <c r="S439" s="216"/>
      <c r="T439" s="216"/>
      <c r="U439" s="216"/>
      <c r="V439" s="216"/>
      <c r="W439" s="216"/>
      <c r="X439" s="216"/>
      <c r="Y439" s="216"/>
      <c r="Z439" s="216"/>
      <c r="AA439" s="216"/>
      <c r="AB439" s="216"/>
      <c r="AC439" s="216"/>
      <c r="AD439" s="344"/>
      <c r="AE439" s="344"/>
      <c r="AF439" s="344"/>
      <c r="AG439" s="344"/>
    </row>
    <row r="440">
      <c r="A440" s="441">
        <v>18.0</v>
      </c>
      <c r="B440" s="442" t="s">
        <v>553</v>
      </c>
      <c r="C440" s="443">
        <v>2022.0</v>
      </c>
      <c r="D440" s="444" t="s">
        <v>1000</v>
      </c>
      <c r="E440" s="444"/>
      <c r="F440" s="440"/>
      <c r="G440" s="216"/>
      <c r="H440" s="216"/>
      <c r="I440" s="216"/>
      <c r="J440" s="216"/>
      <c r="K440" s="216"/>
      <c r="L440" s="216"/>
      <c r="M440" s="216"/>
      <c r="N440" s="216"/>
      <c r="O440" s="216"/>
      <c r="P440" s="216"/>
      <c r="Q440" s="216"/>
      <c r="R440" s="216"/>
      <c r="S440" s="216"/>
      <c r="T440" s="216"/>
      <c r="U440" s="216"/>
      <c r="V440" s="216"/>
      <c r="W440" s="216"/>
      <c r="X440" s="216"/>
      <c r="Y440" s="216"/>
      <c r="Z440" s="216"/>
      <c r="AA440" s="216"/>
      <c r="AB440" s="216"/>
      <c r="AC440" s="216"/>
      <c r="AD440" s="344"/>
      <c r="AE440" s="344"/>
      <c r="AF440" s="344"/>
      <c r="AG440" s="344"/>
    </row>
    <row r="441">
      <c r="A441" s="445"/>
      <c r="B441" s="442"/>
      <c r="C441" s="443">
        <v>2022.0</v>
      </c>
      <c r="D441" s="444" t="s">
        <v>1001</v>
      </c>
      <c r="E441" s="444"/>
      <c r="F441" s="440"/>
      <c r="G441" s="216"/>
      <c r="H441" s="216"/>
      <c r="I441" s="216"/>
      <c r="J441" s="216"/>
      <c r="K441" s="216"/>
      <c r="L441" s="216"/>
      <c r="M441" s="216"/>
      <c r="N441" s="216"/>
      <c r="O441" s="216"/>
      <c r="P441" s="216"/>
      <c r="Q441" s="216"/>
      <c r="R441" s="216"/>
      <c r="S441" s="216"/>
      <c r="T441" s="216"/>
      <c r="U441" s="216"/>
      <c r="V441" s="216"/>
      <c r="W441" s="216"/>
      <c r="X441" s="216"/>
      <c r="Y441" s="216"/>
      <c r="Z441" s="216"/>
      <c r="AA441" s="216"/>
      <c r="AB441" s="216"/>
      <c r="AC441" s="216"/>
      <c r="AD441" s="344"/>
      <c r="AE441" s="344"/>
      <c r="AF441" s="344"/>
      <c r="AG441" s="344"/>
    </row>
    <row r="442">
      <c r="A442" s="445"/>
      <c r="B442" s="442"/>
      <c r="C442" s="443">
        <v>2023.0</v>
      </c>
      <c r="D442" s="444" t="s">
        <v>1002</v>
      </c>
      <c r="E442" s="442"/>
      <c r="F442" s="440"/>
      <c r="G442" s="216"/>
      <c r="H442" s="216"/>
      <c r="I442" s="216"/>
      <c r="J442" s="216"/>
      <c r="K442" s="216"/>
      <c r="L442" s="216"/>
      <c r="M442" s="216"/>
      <c r="N442" s="216"/>
      <c r="O442" s="216"/>
      <c r="P442" s="216"/>
      <c r="Q442" s="216"/>
      <c r="R442" s="216"/>
      <c r="S442" s="216"/>
      <c r="T442" s="216"/>
      <c r="U442" s="216"/>
      <c r="V442" s="216"/>
      <c r="W442" s="216"/>
      <c r="X442" s="216"/>
      <c r="Y442" s="216"/>
      <c r="Z442" s="216"/>
      <c r="AA442" s="216"/>
      <c r="AB442" s="216"/>
      <c r="AC442" s="216"/>
      <c r="AD442" s="344"/>
      <c r="AE442" s="344"/>
      <c r="AF442" s="344"/>
      <c r="AG442" s="344"/>
    </row>
    <row r="443">
      <c r="A443" s="445"/>
      <c r="B443" s="442"/>
      <c r="C443" s="443">
        <v>2023.0</v>
      </c>
      <c r="D443" s="444" t="s">
        <v>1003</v>
      </c>
      <c r="E443" s="444"/>
      <c r="F443" s="440"/>
      <c r="G443" s="216"/>
      <c r="H443" s="216"/>
      <c r="I443" s="216"/>
      <c r="J443" s="216"/>
      <c r="K443" s="216"/>
      <c r="L443" s="216"/>
      <c r="M443" s="216"/>
      <c r="N443" s="216"/>
      <c r="O443" s="216"/>
      <c r="P443" s="216"/>
      <c r="Q443" s="216"/>
      <c r="R443" s="216"/>
      <c r="S443" s="216"/>
      <c r="T443" s="216"/>
      <c r="U443" s="216"/>
      <c r="V443" s="216"/>
      <c r="W443" s="216"/>
      <c r="X443" s="216"/>
      <c r="Y443" s="216"/>
      <c r="Z443" s="216"/>
      <c r="AA443" s="216"/>
      <c r="AB443" s="216"/>
      <c r="AC443" s="216"/>
      <c r="AD443" s="344"/>
      <c r="AE443" s="344"/>
      <c r="AF443" s="344"/>
      <c r="AG443" s="344"/>
    </row>
    <row r="444">
      <c r="A444" s="445"/>
      <c r="B444" s="442"/>
      <c r="C444" s="443">
        <v>2024.0</v>
      </c>
      <c r="D444" s="446" t="s">
        <v>1004</v>
      </c>
      <c r="E444" s="442"/>
      <c r="F444" s="440"/>
      <c r="G444" s="216"/>
      <c r="H444" s="216"/>
      <c r="I444" s="216"/>
      <c r="J444" s="216"/>
      <c r="K444" s="216"/>
      <c r="L444" s="216"/>
      <c r="M444" s="216"/>
      <c r="N444" s="216"/>
      <c r="O444" s="216"/>
      <c r="P444" s="216"/>
      <c r="Q444" s="216"/>
      <c r="R444" s="216"/>
      <c r="S444" s="216"/>
      <c r="T444" s="216"/>
      <c r="U444" s="216"/>
      <c r="V444" s="216"/>
      <c r="W444" s="216"/>
      <c r="X444" s="216"/>
      <c r="Y444" s="216"/>
      <c r="Z444" s="216"/>
      <c r="AA444" s="216"/>
      <c r="AB444" s="216"/>
      <c r="AC444" s="216"/>
      <c r="AD444" s="344"/>
      <c r="AE444" s="344"/>
      <c r="AF444" s="344"/>
      <c r="AG444" s="344"/>
    </row>
    <row r="445">
      <c r="A445" s="441">
        <v>19.0</v>
      </c>
      <c r="B445" s="442" t="s">
        <v>576</v>
      </c>
      <c r="C445" s="443">
        <v>2022.0</v>
      </c>
      <c r="D445" s="442" t="s">
        <v>1005</v>
      </c>
      <c r="E445" s="442" t="s">
        <v>929</v>
      </c>
      <c r="F445" s="440"/>
      <c r="G445" s="216"/>
      <c r="H445" s="216"/>
      <c r="I445" s="216"/>
      <c r="J445" s="216"/>
      <c r="K445" s="216"/>
      <c r="L445" s="216"/>
      <c r="M445" s="216"/>
      <c r="N445" s="216"/>
      <c r="O445" s="216"/>
      <c r="P445" s="216"/>
      <c r="Q445" s="216"/>
      <c r="R445" s="216"/>
      <c r="S445" s="216"/>
      <c r="T445" s="216"/>
      <c r="U445" s="216"/>
      <c r="V445" s="216"/>
      <c r="W445" s="216"/>
      <c r="X445" s="216"/>
      <c r="Y445" s="216"/>
      <c r="Z445" s="216"/>
      <c r="AA445" s="216"/>
      <c r="AB445" s="216"/>
      <c r="AC445" s="216"/>
      <c r="AD445" s="344"/>
      <c r="AE445" s="344"/>
      <c r="AF445" s="344"/>
      <c r="AG445" s="344"/>
    </row>
    <row r="446">
      <c r="A446" s="445"/>
      <c r="B446" s="442"/>
      <c r="C446" s="443">
        <v>2023.0</v>
      </c>
      <c r="D446" s="442" t="s">
        <v>942</v>
      </c>
      <c r="E446" s="442" t="s">
        <v>929</v>
      </c>
      <c r="F446" s="440"/>
      <c r="G446" s="216"/>
      <c r="H446" s="216"/>
      <c r="I446" s="216"/>
      <c r="J446" s="216"/>
      <c r="K446" s="216"/>
      <c r="L446" s="216"/>
      <c r="M446" s="216"/>
      <c r="N446" s="216"/>
      <c r="O446" s="216"/>
      <c r="P446" s="216"/>
      <c r="Q446" s="216"/>
      <c r="R446" s="216"/>
      <c r="S446" s="216"/>
      <c r="T446" s="216"/>
      <c r="U446" s="216"/>
      <c r="V446" s="216"/>
      <c r="W446" s="216"/>
      <c r="X446" s="216"/>
      <c r="Y446" s="216"/>
      <c r="Z446" s="216"/>
      <c r="AA446" s="216"/>
      <c r="AB446" s="216"/>
      <c r="AC446" s="216"/>
      <c r="AD446" s="344"/>
      <c r="AE446" s="344"/>
      <c r="AF446" s="344"/>
      <c r="AG446" s="344"/>
    </row>
    <row r="447">
      <c r="A447" s="445"/>
      <c r="B447" s="442"/>
      <c r="C447" s="443">
        <v>2023.0</v>
      </c>
      <c r="D447" s="444" t="s">
        <v>934</v>
      </c>
      <c r="E447" s="442"/>
      <c r="F447" s="440"/>
      <c r="G447" s="216"/>
      <c r="H447" s="216"/>
      <c r="I447" s="216"/>
      <c r="J447" s="216"/>
      <c r="K447" s="216"/>
      <c r="L447" s="216"/>
      <c r="M447" s="216"/>
      <c r="N447" s="216"/>
      <c r="O447" s="216"/>
      <c r="P447" s="216"/>
      <c r="Q447" s="216"/>
      <c r="R447" s="216"/>
      <c r="S447" s="216"/>
      <c r="T447" s="216"/>
      <c r="U447" s="216"/>
      <c r="V447" s="216"/>
      <c r="W447" s="216"/>
      <c r="X447" s="216"/>
      <c r="Y447" s="216"/>
      <c r="Z447" s="216"/>
      <c r="AA447" s="216"/>
      <c r="AB447" s="216"/>
      <c r="AC447" s="216"/>
      <c r="AD447" s="344"/>
      <c r="AE447" s="344"/>
      <c r="AF447" s="344"/>
      <c r="AG447" s="344"/>
    </row>
    <row r="448">
      <c r="A448" s="445"/>
      <c r="B448" s="442"/>
      <c r="C448" s="443">
        <v>2024.0</v>
      </c>
      <c r="D448" s="446" t="s">
        <v>944</v>
      </c>
      <c r="E448" s="442"/>
      <c r="F448" s="440"/>
      <c r="G448" s="216"/>
      <c r="H448" s="216"/>
      <c r="I448" s="216"/>
      <c r="J448" s="216"/>
      <c r="K448" s="216"/>
      <c r="L448" s="216"/>
      <c r="M448" s="216"/>
      <c r="N448" s="216"/>
      <c r="O448" s="216"/>
      <c r="P448" s="216"/>
      <c r="Q448" s="216"/>
      <c r="R448" s="216"/>
      <c r="S448" s="216"/>
      <c r="T448" s="216"/>
      <c r="U448" s="216"/>
      <c r="V448" s="216"/>
      <c r="W448" s="216"/>
      <c r="X448" s="216"/>
      <c r="Y448" s="216"/>
      <c r="Z448" s="216"/>
      <c r="AA448" s="216"/>
      <c r="AB448" s="216"/>
      <c r="AC448" s="216"/>
      <c r="AD448" s="344"/>
      <c r="AE448" s="344"/>
      <c r="AF448" s="344"/>
      <c r="AG448" s="344"/>
    </row>
    <row r="449">
      <c r="A449" s="441">
        <v>20.0</v>
      </c>
      <c r="B449" s="442" t="s">
        <v>752</v>
      </c>
      <c r="C449" s="443">
        <v>2022.0</v>
      </c>
      <c r="D449" s="444" t="s">
        <v>1006</v>
      </c>
      <c r="E449" s="444"/>
      <c r="F449" s="440"/>
      <c r="G449" s="216"/>
      <c r="H449" s="216"/>
      <c r="I449" s="216"/>
      <c r="J449" s="216"/>
      <c r="K449" s="216"/>
      <c r="L449" s="216"/>
      <c r="M449" s="216"/>
      <c r="N449" s="216"/>
      <c r="O449" s="216"/>
      <c r="P449" s="216"/>
      <c r="Q449" s="216"/>
      <c r="R449" s="216"/>
      <c r="S449" s="216"/>
      <c r="T449" s="216"/>
      <c r="U449" s="216"/>
      <c r="V449" s="216"/>
      <c r="W449" s="216"/>
      <c r="X449" s="216"/>
      <c r="Y449" s="216"/>
      <c r="Z449" s="216"/>
      <c r="AA449" s="216"/>
      <c r="AB449" s="216"/>
      <c r="AC449" s="216"/>
      <c r="AD449" s="344"/>
      <c r="AE449" s="344"/>
      <c r="AF449" s="344"/>
      <c r="AG449" s="344"/>
    </row>
    <row r="450">
      <c r="A450" s="445"/>
      <c r="B450" s="442"/>
      <c r="C450" s="443">
        <v>2022.0</v>
      </c>
      <c r="D450" s="444" t="s">
        <v>1007</v>
      </c>
      <c r="E450" s="444"/>
      <c r="F450" s="440"/>
      <c r="G450" s="216"/>
      <c r="H450" s="216"/>
      <c r="I450" s="216"/>
      <c r="J450" s="216"/>
      <c r="K450" s="216"/>
      <c r="L450" s="216"/>
      <c r="M450" s="216"/>
      <c r="N450" s="216"/>
      <c r="O450" s="216"/>
      <c r="P450" s="216"/>
      <c r="Q450" s="216"/>
      <c r="R450" s="216"/>
      <c r="S450" s="216"/>
      <c r="T450" s="216"/>
      <c r="U450" s="216"/>
      <c r="V450" s="216"/>
      <c r="W450" s="216"/>
      <c r="X450" s="216"/>
      <c r="Y450" s="216"/>
      <c r="Z450" s="216"/>
      <c r="AA450" s="216"/>
      <c r="AB450" s="216"/>
      <c r="AC450" s="216"/>
      <c r="AD450" s="344"/>
      <c r="AE450" s="344"/>
      <c r="AF450" s="344"/>
      <c r="AG450" s="344"/>
    </row>
    <row r="451">
      <c r="A451" s="445"/>
      <c r="B451" s="442"/>
      <c r="C451" s="443">
        <v>2022.0</v>
      </c>
      <c r="D451" s="442" t="s">
        <v>1008</v>
      </c>
      <c r="E451" s="442"/>
      <c r="F451" s="440"/>
      <c r="G451" s="216"/>
      <c r="H451" s="216"/>
      <c r="I451" s="216"/>
      <c r="J451" s="216"/>
      <c r="K451" s="216"/>
      <c r="L451" s="216"/>
      <c r="M451" s="216"/>
      <c r="N451" s="216"/>
      <c r="O451" s="216"/>
      <c r="P451" s="216"/>
      <c r="Q451" s="216"/>
      <c r="R451" s="216"/>
      <c r="S451" s="216"/>
      <c r="T451" s="216"/>
      <c r="U451" s="216"/>
      <c r="V451" s="216"/>
      <c r="W451" s="216"/>
      <c r="X451" s="216"/>
      <c r="Y451" s="216"/>
      <c r="Z451" s="216"/>
      <c r="AA451" s="216"/>
      <c r="AB451" s="216"/>
      <c r="AC451" s="216"/>
      <c r="AD451" s="344"/>
      <c r="AE451" s="344"/>
      <c r="AF451" s="344"/>
      <c r="AG451" s="344"/>
    </row>
    <row r="452">
      <c r="A452" s="445"/>
      <c r="B452" s="442"/>
      <c r="C452" s="443">
        <v>2022.0</v>
      </c>
      <c r="D452" s="444" t="s">
        <v>1001</v>
      </c>
      <c r="E452" s="444"/>
      <c r="F452" s="440"/>
      <c r="G452" s="216"/>
      <c r="H452" s="216"/>
      <c r="I452" s="216"/>
      <c r="J452" s="216"/>
      <c r="K452" s="216"/>
      <c r="L452" s="216"/>
      <c r="M452" s="216"/>
      <c r="N452" s="216"/>
      <c r="O452" s="216"/>
      <c r="P452" s="216"/>
      <c r="Q452" s="216"/>
      <c r="R452" s="216"/>
      <c r="S452" s="216"/>
      <c r="T452" s="216"/>
      <c r="U452" s="216"/>
      <c r="V452" s="216"/>
      <c r="W452" s="216"/>
      <c r="X452" s="216"/>
      <c r="Y452" s="216"/>
      <c r="Z452" s="216"/>
      <c r="AA452" s="216"/>
      <c r="AB452" s="216"/>
      <c r="AC452" s="216"/>
      <c r="AD452" s="344"/>
      <c r="AE452" s="344"/>
      <c r="AF452" s="344"/>
      <c r="AG452" s="344"/>
    </row>
    <row r="453">
      <c r="A453" s="445"/>
      <c r="B453" s="442"/>
      <c r="C453" s="443">
        <v>2023.0</v>
      </c>
      <c r="D453" s="444" t="s">
        <v>1009</v>
      </c>
      <c r="E453" s="442"/>
      <c r="F453" s="440"/>
      <c r="G453" s="216"/>
      <c r="H453" s="216"/>
      <c r="I453" s="216"/>
      <c r="J453" s="216"/>
      <c r="K453" s="216"/>
      <c r="L453" s="216"/>
      <c r="M453" s="216"/>
      <c r="N453" s="216"/>
      <c r="O453" s="216"/>
      <c r="P453" s="216"/>
      <c r="Q453" s="216"/>
      <c r="R453" s="216"/>
      <c r="S453" s="216"/>
      <c r="T453" s="216"/>
      <c r="U453" s="216"/>
      <c r="V453" s="216"/>
      <c r="W453" s="216"/>
      <c r="X453" s="216"/>
      <c r="Y453" s="216"/>
      <c r="Z453" s="216"/>
      <c r="AA453" s="216"/>
      <c r="AB453" s="216"/>
      <c r="AC453" s="216"/>
      <c r="AD453" s="344"/>
      <c r="AE453" s="344"/>
      <c r="AF453" s="344"/>
      <c r="AG453" s="344"/>
    </row>
    <row r="454">
      <c r="A454" s="445"/>
      <c r="B454" s="442"/>
      <c r="C454" s="443">
        <v>2024.0</v>
      </c>
      <c r="D454" s="446" t="s">
        <v>968</v>
      </c>
      <c r="E454" s="442"/>
      <c r="F454" s="440"/>
      <c r="G454" s="216"/>
      <c r="H454" s="216"/>
      <c r="I454" s="216"/>
      <c r="J454" s="216"/>
      <c r="K454" s="216"/>
      <c r="L454" s="216"/>
      <c r="M454" s="216"/>
      <c r="N454" s="216"/>
      <c r="O454" s="216"/>
      <c r="P454" s="216"/>
      <c r="Q454" s="216"/>
      <c r="R454" s="216"/>
      <c r="S454" s="216"/>
      <c r="T454" s="216"/>
      <c r="U454" s="216"/>
      <c r="V454" s="216"/>
      <c r="W454" s="216"/>
      <c r="X454" s="216"/>
      <c r="Y454" s="216"/>
      <c r="Z454" s="216"/>
      <c r="AA454" s="216"/>
      <c r="AB454" s="216"/>
      <c r="AC454" s="216"/>
      <c r="AD454" s="344"/>
      <c r="AE454" s="344"/>
      <c r="AF454" s="344"/>
      <c r="AG454" s="344"/>
    </row>
    <row r="455">
      <c r="A455" s="441">
        <v>21.0</v>
      </c>
      <c r="B455" s="442" t="s">
        <v>555</v>
      </c>
      <c r="C455" s="449">
        <v>2022.0</v>
      </c>
      <c r="D455" s="444" t="s">
        <v>961</v>
      </c>
      <c r="E455" s="444"/>
      <c r="F455" s="440"/>
      <c r="G455" s="216"/>
      <c r="H455" s="216"/>
      <c r="I455" s="216"/>
      <c r="J455" s="216"/>
      <c r="K455" s="216"/>
      <c r="L455" s="216"/>
      <c r="M455" s="216"/>
      <c r="N455" s="216"/>
      <c r="O455" s="216"/>
      <c r="P455" s="216"/>
      <c r="Q455" s="216"/>
      <c r="R455" s="216"/>
      <c r="S455" s="216"/>
      <c r="T455" s="216"/>
      <c r="U455" s="216"/>
      <c r="V455" s="216"/>
      <c r="W455" s="216"/>
      <c r="X455" s="216"/>
      <c r="Y455" s="216"/>
      <c r="Z455" s="216"/>
      <c r="AA455" s="216"/>
      <c r="AB455" s="216"/>
      <c r="AC455" s="216"/>
      <c r="AD455" s="344"/>
      <c r="AE455" s="344"/>
      <c r="AF455" s="344"/>
      <c r="AG455" s="344"/>
    </row>
    <row r="456">
      <c r="A456" s="445"/>
      <c r="B456" s="442"/>
      <c r="C456" s="443">
        <v>2022.0</v>
      </c>
      <c r="D456" s="444" t="s">
        <v>958</v>
      </c>
      <c r="E456" s="444"/>
      <c r="F456" s="440"/>
      <c r="G456" s="216"/>
      <c r="H456" s="216"/>
      <c r="I456" s="216"/>
      <c r="J456" s="216"/>
      <c r="K456" s="216"/>
      <c r="L456" s="216"/>
      <c r="M456" s="216"/>
      <c r="N456" s="216"/>
      <c r="O456" s="216"/>
      <c r="P456" s="216"/>
      <c r="Q456" s="216"/>
      <c r="R456" s="216"/>
      <c r="S456" s="216"/>
      <c r="T456" s="216"/>
      <c r="U456" s="216"/>
      <c r="V456" s="216"/>
      <c r="W456" s="216"/>
      <c r="X456" s="216"/>
      <c r="Y456" s="216"/>
      <c r="Z456" s="216"/>
      <c r="AA456" s="216"/>
      <c r="AB456" s="216"/>
      <c r="AC456" s="216"/>
      <c r="AD456" s="344"/>
      <c r="AE456" s="344"/>
      <c r="AF456" s="344"/>
      <c r="AG456" s="344"/>
    </row>
    <row r="457">
      <c r="A457" s="445"/>
      <c r="B457" s="442"/>
      <c r="C457" s="443">
        <v>2024.0</v>
      </c>
      <c r="D457" s="446" t="s">
        <v>987</v>
      </c>
      <c r="E457" s="442"/>
      <c r="F457" s="440"/>
      <c r="G457" s="216"/>
      <c r="H457" s="216"/>
      <c r="I457" s="216"/>
      <c r="J457" s="216"/>
      <c r="K457" s="216"/>
      <c r="L457" s="216"/>
      <c r="M457" s="216"/>
      <c r="N457" s="216"/>
      <c r="O457" s="216"/>
      <c r="P457" s="216"/>
      <c r="Q457" s="216"/>
      <c r="R457" s="216"/>
      <c r="S457" s="216"/>
      <c r="T457" s="216"/>
      <c r="U457" s="216"/>
      <c r="V457" s="216"/>
      <c r="W457" s="216"/>
      <c r="X457" s="216"/>
      <c r="Y457" s="216"/>
      <c r="Z457" s="216"/>
      <c r="AA457" s="216"/>
      <c r="AB457" s="216"/>
      <c r="AC457" s="216"/>
      <c r="AD457" s="344"/>
      <c r="AE457" s="344"/>
      <c r="AF457" s="344"/>
      <c r="AG457" s="344"/>
    </row>
    <row r="458">
      <c r="A458" s="441">
        <v>22.0</v>
      </c>
      <c r="B458" s="442" t="s">
        <v>557</v>
      </c>
      <c r="C458" s="443">
        <v>2022.0</v>
      </c>
      <c r="D458" s="444" t="s">
        <v>1005</v>
      </c>
      <c r="E458" s="442"/>
      <c r="F458" s="440"/>
      <c r="G458" s="216"/>
      <c r="H458" s="216"/>
      <c r="I458" s="216"/>
      <c r="J458" s="216"/>
      <c r="K458" s="216"/>
      <c r="L458" s="216"/>
      <c r="M458" s="216"/>
      <c r="N458" s="216"/>
      <c r="O458" s="216"/>
      <c r="P458" s="216"/>
      <c r="Q458" s="216"/>
      <c r="R458" s="216"/>
      <c r="S458" s="216"/>
      <c r="T458" s="216"/>
      <c r="U458" s="216"/>
      <c r="V458" s="216"/>
      <c r="W458" s="216"/>
      <c r="X458" s="216"/>
      <c r="Y458" s="216"/>
      <c r="Z458" s="216"/>
      <c r="AA458" s="216"/>
      <c r="AB458" s="216"/>
      <c r="AC458" s="216"/>
      <c r="AD458" s="344"/>
      <c r="AE458" s="344"/>
      <c r="AF458" s="344"/>
      <c r="AG458" s="344"/>
    </row>
    <row r="459">
      <c r="A459" s="445"/>
      <c r="B459" s="442"/>
      <c r="C459" s="443">
        <v>2023.0</v>
      </c>
      <c r="D459" s="444" t="s">
        <v>1010</v>
      </c>
      <c r="E459" s="444"/>
      <c r="F459" s="440"/>
      <c r="G459" s="216"/>
      <c r="H459" s="216"/>
      <c r="I459" s="216"/>
      <c r="J459" s="216"/>
      <c r="K459" s="216"/>
      <c r="L459" s="216"/>
      <c r="M459" s="216"/>
      <c r="N459" s="216"/>
      <c r="O459" s="216"/>
      <c r="P459" s="216"/>
      <c r="Q459" s="216"/>
      <c r="R459" s="216"/>
      <c r="S459" s="216"/>
      <c r="T459" s="216"/>
      <c r="U459" s="216"/>
      <c r="V459" s="216"/>
      <c r="W459" s="216"/>
      <c r="X459" s="216"/>
      <c r="Y459" s="216"/>
      <c r="Z459" s="216"/>
      <c r="AA459" s="216"/>
      <c r="AB459" s="216"/>
      <c r="AC459" s="216"/>
      <c r="AD459" s="344"/>
      <c r="AE459" s="344"/>
      <c r="AF459" s="344"/>
      <c r="AG459" s="344"/>
    </row>
    <row r="460">
      <c r="A460" s="445"/>
      <c r="B460" s="442"/>
      <c r="C460" s="443">
        <v>2024.0</v>
      </c>
      <c r="D460" s="444" t="s">
        <v>1011</v>
      </c>
      <c r="E460" s="444"/>
      <c r="F460" s="440"/>
      <c r="G460" s="216"/>
      <c r="H460" s="216"/>
      <c r="I460" s="216"/>
      <c r="J460" s="216"/>
      <c r="K460" s="216"/>
      <c r="L460" s="216"/>
      <c r="M460" s="216"/>
      <c r="N460" s="216"/>
      <c r="O460" s="216"/>
      <c r="P460" s="216"/>
      <c r="Q460" s="216"/>
      <c r="R460" s="216"/>
      <c r="S460" s="216"/>
      <c r="T460" s="216"/>
      <c r="U460" s="216"/>
      <c r="V460" s="216"/>
      <c r="W460" s="216"/>
      <c r="X460" s="216"/>
      <c r="Y460" s="216"/>
      <c r="Z460" s="216"/>
      <c r="AA460" s="216"/>
      <c r="AB460" s="216"/>
      <c r="AC460" s="216"/>
      <c r="AD460" s="344"/>
      <c r="AE460" s="344"/>
      <c r="AF460" s="344"/>
      <c r="AG460" s="344"/>
    </row>
    <row r="461">
      <c r="A461" s="441">
        <v>23.0</v>
      </c>
      <c r="B461" s="442" t="s">
        <v>753</v>
      </c>
      <c r="C461" s="443">
        <v>2022.0</v>
      </c>
      <c r="D461" s="444" t="s">
        <v>1012</v>
      </c>
      <c r="E461" s="444"/>
      <c r="F461" s="440"/>
      <c r="G461" s="216"/>
      <c r="H461" s="216"/>
      <c r="I461" s="216"/>
      <c r="J461" s="216"/>
      <c r="K461" s="216"/>
      <c r="L461" s="216"/>
      <c r="M461" s="216"/>
      <c r="N461" s="216"/>
      <c r="O461" s="216"/>
      <c r="P461" s="216"/>
      <c r="Q461" s="216"/>
      <c r="R461" s="216"/>
      <c r="S461" s="216"/>
      <c r="T461" s="216"/>
      <c r="U461" s="216"/>
      <c r="V461" s="216"/>
      <c r="W461" s="216"/>
      <c r="X461" s="216"/>
      <c r="Y461" s="216"/>
      <c r="Z461" s="216"/>
      <c r="AA461" s="216"/>
      <c r="AB461" s="216"/>
      <c r="AC461" s="216"/>
      <c r="AD461" s="344"/>
      <c r="AE461" s="344"/>
      <c r="AF461" s="344"/>
      <c r="AG461" s="344"/>
    </row>
    <row r="462">
      <c r="A462" s="445"/>
      <c r="B462" s="442"/>
      <c r="C462" s="443">
        <v>2022.0</v>
      </c>
      <c r="D462" s="444" t="s">
        <v>1013</v>
      </c>
      <c r="E462" s="444"/>
      <c r="F462" s="440"/>
      <c r="G462" s="216"/>
      <c r="H462" s="216"/>
      <c r="I462" s="216"/>
      <c r="J462" s="216"/>
      <c r="K462" s="216"/>
      <c r="L462" s="216"/>
      <c r="M462" s="216"/>
      <c r="N462" s="216"/>
      <c r="O462" s="216"/>
      <c r="P462" s="216"/>
      <c r="Q462" s="216"/>
      <c r="R462" s="216"/>
      <c r="S462" s="216"/>
      <c r="T462" s="216"/>
      <c r="U462" s="216"/>
      <c r="V462" s="216"/>
      <c r="W462" s="216"/>
      <c r="X462" s="216"/>
      <c r="Y462" s="216"/>
      <c r="Z462" s="216"/>
      <c r="AA462" s="216"/>
      <c r="AB462" s="216"/>
      <c r="AC462" s="216"/>
      <c r="AD462" s="344"/>
      <c r="AE462" s="344"/>
      <c r="AF462" s="344"/>
      <c r="AG462" s="344"/>
    </row>
    <row r="463">
      <c r="A463" s="445"/>
      <c r="B463" s="442"/>
      <c r="C463" s="443">
        <v>2022.0</v>
      </c>
      <c r="D463" s="444" t="s">
        <v>1014</v>
      </c>
      <c r="E463" s="444"/>
      <c r="F463" s="440"/>
      <c r="G463" s="216"/>
      <c r="H463" s="216"/>
      <c r="I463" s="216"/>
      <c r="J463" s="216"/>
      <c r="K463" s="216"/>
      <c r="L463" s="216"/>
      <c r="M463" s="216"/>
      <c r="N463" s="216"/>
      <c r="O463" s="216"/>
      <c r="P463" s="216"/>
      <c r="Q463" s="216"/>
      <c r="R463" s="216"/>
      <c r="S463" s="216"/>
      <c r="T463" s="216"/>
      <c r="U463" s="216"/>
      <c r="V463" s="216"/>
      <c r="W463" s="216"/>
      <c r="X463" s="216"/>
      <c r="Y463" s="216"/>
      <c r="Z463" s="216"/>
      <c r="AA463" s="216"/>
      <c r="AB463" s="216"/>
      <c r="AC463" s="216"/>
      <c r="AD463" s="344"/>
      <c r="AE463" s="344"/>
      <c r="AF463" s="344"/>
      <c r="AG463" s="344"/>
    </row>
    <row r="464">
      <c r="A464" s="445"/>
      <c r="B464" s="442"/>
      <c r="C464" s="443">
        <v>2023.0</v>
      </c>
      <c r="D464" s="444" t="s">
        <v>1015</v>
      </c>
      <c r="E464" s="444"/>
      <c r="F464" s="440"/>
      <c r="G464" s="216"/>
      <c r="H464" s="216"/>
      <c r="I464" s="216"/>
      <c r="J464" s="216"/>
      <c r="K464" s="216"/>
      <c r="L464" s="216"/>
      <c r="M464" s="216"/>
      <c r="N464" s="216"/>
      <c r="O464" s="216"/>
      <c r="P464" s="216"/>
      <c r="Q464" s="216"/>
      <c r="R464" s="216"/>
      <c r="S464" s="216"/>
      <c r="T464" s="216"/>
      <c r="U464" s="216"/>
      <c r="V464" s="216"/>
      <c r="W464" s="216"/>
      <c r="X464" s="216"/>
      <c r="Y464" s="216"/>
      <c r="Z464" s="216"/>
      <c r="AA464" s="216"/>
      <c r="AB464" s="216"/>
      <c r="AC464" s="216"/>
      <c r="AD464" s="344"/>
      <c r="AE464" s="344"/>
      <c r="AF464" s="344"/>
      <c r="AG464" s="344"/>
    </row>
    <row r="465">
      <c r="A465" s="441">
        <v>24.0</v>
      </c>
      <c r="B465" s="442" t="s">
        <v>756</v>
      </c>
      <c r="C465" s="443">
        <v>2023.0</v>
      </c>
      <c r="D465" s="444" t="s">
        <v>1009</v>
      </c>
      <c r="E465" s="444"/>
      <c r="F465" s="440"/>
      <c r="G465" s="216"/>
      <c r="H465" s="216"/>
      <c r="I465" s="216"/>
      <c r="J465" s="216"/>
      <c r="K465" s="216"/>
      <c r="L465" s="216"/>
      <c r="M465" s="216"/>
      <c r="N465" s="216"/>
      <c r="O465" s="216"/>
      <c r="P465" s="216"/>
      <c r="Q465" s="216"/>
      <c r="R465" s="216"/>
      <c r="S465" s="216"/>
      <c r="T465" s="216"/>
      <c r="U465" s="216"/>
      <c r="V465" s="216"/>
      <c r="W465" s="216"/>
      <c r="X465" s="216"/>
      <c r="Y465" s="216"/>
      <c r="Z465" s="216"/>
      <c r="AA465" s="216"/>
      <c r="AB465" s="216"/>
      <c r="AC465" s="216"/>
      <c r="AD465" s="344"/>
      <c r="AE465" s="344"/>
      <c r="AF465" s="344"/>
      <c r="AG465" s="344"/>
    </row>
    <row r="466">
      <c r="A466" s="445"/>
      <c r="B466" s="442"/>
      <c r="C466" s="443">
        <v>2024.0</v>
      </c>
      <c r="D466" s="444" t="s">
        <v>1016</v>
      </c>
      <c r="E466" s="444"/>
      <c r="F466" s="440"/>
      <c r="G466" s="216"/>
      <c r="H466" s="216"/>
      <c r="I466" s="216"/>
      <c r="J466" s="216"/>
      <c r="K466" s="216"/>
      <c r="L466" s="216"/>
      <c r="M466" s="216"/>
      <c r="N466" s="216"/>
      <c r="O466" s="216"/>
      <c r="P466" s="216"/>
      <c r="Q466" s="216"/>
      <c r="R466" s="216"/>
      <c r="S466" s="216"/>
      <c r="T466" s="216"/>
      <c r="U466" s="216"/>
      <c r="V466" s="216"/>
      <c r="W466" s="216"/>
      <c r="X466" s="216"/>
      <c r="Y466" s="216"/>
      <c r="Z466" s="216"/>
      <c r="AA466" s="216"/>
      <c r="AB466" s="216"/>
      <c r="AC466" s="216"/>
      <c r="AD466" s="344"/>
      <c r="AE466" s="344"/>
      <c r="AF466" s="344"/>
      <c r="AG466" s="344"/>
    </row>
    <row r="467">
      <c r="A467" s="441">
        <v>25.0</v>
      </c>
      <c r="B467" s="442" t="s">
        <v>757</v>
      </c>
      <c r="C467" s="443">
        <v>2022.0</v>
      </c>
      <c r="D467" s="444" t="s">
        <v>1017</v>
      </c>
      <c r="E467" s="444"/>
      <c r="F467" s="440"/>
      <c r="G467" s="216"/>
      <c r="H467" s="216"/>
      <c r="I467" s="216"/>
      <c r="J467" s="216"/>
      <c r="K467" s="216"/>
      <c r="L467" s="216"/>
      <c r="M467" s="216"/>
      <c r="N467" s="216"/>
      <c r="O467" s="216"/>
      <c r="P467" s="216"/>
      <c r="Q467" s="216"/>
      <c r="R467" s="216"/>
      <c r="S467" s="216"/>
      <c r="T467" s="216"/>
      <c r="U467" s="216"/>
      <c r="V467" s="216"/>
      <c r="W467" s="216"/>
      <c r="X467" s="216"/>
      <c r="Y467" s="216"/>
      <c r="Z467" s="216"/>
      <c r="AA467" s="216"/>
      <c r="AB467" s="216"/>
      <c r="AC467" s="216"/>
      <c r="AD467" s="344"/>
      <c r="AE467" s="344"/>
      <c r="AF467" s="344"/>
      <c r="AG467" s="344"/>
    </row>
    <row r="468">
      <c r="A468" s="445"/>
      <c r="B468" s="442"/>
      <c r="C468" s="443">
        <v>2022.0</v>
      </c>
      <c r="D468" s="444" t="s">
        <v>1018</v>
      </c>
      <c r="E468" s="444"/>
      <c r="F468" s="440"/>
      <c r="G468" s="216"/>
      <c r="H468" s="216"/>
      <c r="I468" s="216"/>
      <c r="J468" s="216"/>
      <c r="K468" s="216"/>
      <c r="L468" s="216"/>
      <c r="M468" s="216"/>
      <c r="N468" s="216"/>
      <c r="O468" s="216"/>
      <c r="P468" s="216"/>
      <c r="Q468" s="216"/>
      <c r="R468" s="216"/>
      <c r="S468" s="216"/>
      <c r="T468" s="216"/>
      <c r="U468" s="216"/>
      <c r="V468" s="216"/>
      <c r="W468" s="216"/>
      <c r="X468" s="216"/>
      <c r="Y468" s="216"/>
      <c r="Z468" s="216"/>
      <c r="AA468" s="216"/>
      <c r="AB468" s="216"/>
      <c r="AC468" s="216"/>
      <c r="AD468" s="344"/>
      <c r="AE468" s="344"/>
      <c r="AF468" s="344"/>
      <c r="AG468" s="344"/>
    </row>
    <row r="469">
      <c r="A469" s="445"/>
      <c r="B469" s="442"/>
      <c r="C469" s="443">
        <v>2023.0</v>
      </c>
      <c r="D469" s="442" t="s">
        <v>1019</v>
      </c>
      <c r="E469" s="442"/>
      <c r="F469" s="440"/>
      <c r="G469" s="216"/>
      <c r="H469" s="216"/>
      <c r="I469" s="216"/>
      <c r="J469" s="216"/>
      <c r="K469" s="216"/>
      <c r="L469" s="216"/>
      <c r="M469" s="216"/>
      <c r="N469" s="216"/>
      <c r="O469" s="216"/>
      <c r="P469" s="216"/>
      <c r="Q469" s="216"/>
      <c r="R469" s="216"/>
      <c r="S469" s="216"/>
      <c r="T469" s="216"/>
      <c r="U469" s="216"/>
      <c r="V469" s="216"/>
      <c r="W469" s="216"/>
      <c r="X469" s="216"/>
      <c r="Y469" s="216"/>
      <c r="Z469" s="216"/>
      <c r="AA469" s="216"/>
      <c r="AB469" s="216"/>
      <c r="AC469" s="216"/>
      <c r="AD469" s="344"/>
      <c r="AE469" s="344"/>
      <c r="AF469" s="344"/>
      <c r="AG469" s="344"/>
    </row>
    <row r="470">
      <c r="A470" s="445"/>
      <c r="B470" s="442"/>
      <c r="C470" s="443">
        <v>2023.0</v>
      </c>
      <c r="D470" s="442" t="s">
        <v>971</v>
      </c>
      <c r="E470" s="442"/>
      <c r="F470" s="440"/>
      <c r="G470" s="216"/>
      <c r="H470" s="216"/>
      <c r="I470" s="216"/>
      <c r="J470" s="216"/>
      <c r="K470" s="216"/>
      <c r="L470" s="216"/>
      <c r="M470" s="216"/>
      <c r="N470" s="216"/>
      <c r="O470" s="216"/>
      <c r="P470" s="216"/>
      <c r="Q470" s="216"/>
      <c r="R470" s="216"/>
      <c r="S470" s="216"/>
      <c r="T470" s="216"/>
      <c r="U470" s="216"/>
      <c r="V470" s="216"/>
      <c r="W470" s="216"/>
      <c r="X470" s="216"/>
      <c r="Y470" s="216"/>
      <c r="Z470" s="216"/>
      <c r="AA470" s="216"/>
      <c r="AB470" s="216"/>
      <c r="AC470" s="216"/>
      <c r="AD470" s="344"/>
      <c r="AE470" s="344"/>
      <c r="AF470" s="344"/>
      <c r="AG470" s="344"/>
    </row>
    <row r="471">
      <c r="A471" s="445"/>
      <c r="B471" s="442"/>
      <c r="C471" s="443">
        <v>2024.0</v>
      </c>
      <c r="D471" s="446" t="s">
        <v>992</v>
      </c>
      <c r="E471" s="442"/>
      <c r="F471" s="440"/>
      <c r="G471" s="216"/>
      <c r="H471" s="216"/>
      <c r="I471" s="216"/>
      <c r="J471" s="216"/>
      <c r="K471" s="216"/>
      <c r="L471" s="216"/>
      <c r="M471" s="216"/>
      <c r="N471" s="216"/>
      <c r="O471" s="216"/>
      <c r="P471" s="216"/>
      <c r="Q471" s="216"/>
      <c r="R471" s="216"/>
      <c r="S471" s="216"/>
      <c r="T471" s="216"/>
      <c r="U471" s="216"/>
      <c r="V471" s="216"/>
      <c r="W471" s="216"/>
      <c r="X471" s="216"/>
      <c r="Y471" s="216"/>
      <c r="Z471" s="216"/>
      <c r="AA471" s="216"/>
      <c r="AB471" s="216"/>
      <c r="AC471" s="216"/>
      <c r="AD471" s="344"/>
      <c r="AE471" s="344"/>
      <c r="AF471" s="344"/>
      <c r="AG471" s="344"/>
    </row>
    <row r="472">
      <c r="A472" s="441">
        <v>26.0</v>
      </c>
      <c r="B472" s="442" t="s">
        <v>862</v>
      </c>
      <c r="C472" s="443">
        <v>2022.0</v>
      </c>
      <c r="D472" s="442" t="s">
        <v>1020</v>
      </c>
      <c r="E472" s="442" t="s">
        <v>929</v>
      </c>
      <c r="F472" s="440"/>
      <c r="G472" s="216"/>
      <c r="H472" s="216"/>
      <c r="I472" s="216"/>
      <c r="J472" s="216"/>
      <c r="K472" s="216"/>
      <c r="L472" s="216"/>
      <c r="M472" s="216"/>
      <c r="N472" s="216"/>
      <c r="O472" s="216"/>
      <c r="P472" s="216"/>
      <c r="Q472" s="216"/>
      <c r="R472" s="216"/>
      <c r="S472" s="216"/>
      <c r="T472" s="216"/>
      <c r="U472" s="216"/>
      <c r="V472" s="216"/>
      <c r="W472" s="216"/>
      <c r="X472" s="216"/>
      <c r="Y472" s="216"/>
      <c r="Z472" s="216"/>
      <c r="AA472" s="216"/>
      <c r="AB472" s="216"/>
      <c r="AC472" s="216"/>
      <c r="AD472" s="344"/>
      <c r="AE472" s="344"/>
      <c r="AF472" s="344"/>
      <c r="AG472" s="344"/>
    </row>
    <row r="473">
      <c r="A473" s="445"/>
      <c r="B473" s="442"/>
      <c r="C473" s="443">
        <v>2022.0</v>
      </c>
      <c r="D473" s="442" t="s">
        <v>1021</v>
      </c>
      <c r="E473" s="442" t="s">
        <v>929</v>
      </c>
      <c r="F473" s="440"/>
      <c r="G473" s="216"/>
      <c r="H473" s="216"/>
      <c r="I473" s="216"/>
      <c r="J473" s="216"/>
      <c r="K473" s="216"/>
      <c r="L473" s="216"/>
      <c r="M473" s="216"/>
      <c r="N473" s="216"/>
      <c r="O473" s="216"/>
      <c r="P473" s="216"/>
      <c r="Q473" s="216"/>
      <c r="R473" s="216"/>
      <c r="S473" s="216"/>
      <c r="T473" s="216"/>
      <c r="U473" s="216"/>
      <c r="V473" s="216"/>
      <c r="W473" s="216"/>
      <c r="X473" s="216"/>
      <c r="Y473" s="216"/>
      <c r="Z473" s="216"/>
      <c r="AA473" s="216"/>
      <c r="AB473" s="216"/>
      <c r="AC473" s="216"/>
      <c r="AD473" s="344"/>
      <c r="AE473" s="344"/>
      <c r="AF473" s="344"/>
      <c r="AG473" s="344"/>
    </row>
    <row r="474">
      <c r="A474" s="445"/>
      <c r="B474" s="442"/>
      <c r="C474" s="443">
        <v>2023.0</v>
      </c>
      <c r="D474" s="442" t="s">
        <v>1022</v>
      </c>
      <c r="E474" s="442" t="s">
        <v>929</v>
      </c>
      <c r="F474" s="440"/>
      <c r="G474" s="216"/>
      <c r="H474" s="216"/>
      <c r="I474" s="216"/>
      <c r="J474" s="216"/>
      <c r="K474" s="216"/>
      <c r="L474" s="216"/>
      <c r="M474" s="216"/>
      <c r="N474" s="216"/>
      <c r="O474" s="216"/>
      <c r="P474" s="216"/>
      <c r="Q474" s="216"/>
      <c r="R474" s="216"/>
      <c r="S474" s="216"/>
      <c r="T474" s="216"/>
      <c r="U474" s="216"/>
      <c r="V474" s="216"/>
      <c r="W474" s="216"/>
      <c r="X474" s="216"/>
      <c r="Y474" s="216"/>
      <c r="Z474" s="216"/>
      <c r="AA474" s="216"/>
      <c r="AB474" s="216"/>
      <c r="AC474" s="216"/>
      <c r="AD474" s="344"/>
      <c r="AE474" s="344"/>
      <c r="AF474" s="344"/>
      <c r="AG474" s="344"/>
    </row>
    <row r="475">
      <c r="A475" s="445"/>
      <c r="B475" s="442"/>
      <c r="C475" s="443">
        <v>2023.0</v>
      </c>
      <c r="D475" s="444" t="s">
        <v>1002</v>
      </c>
      <c r="E475" s="442"/>
      <c r="F475" s="440"/>
      <c r="G475" s="216"/>
      <c r="H475" s="216"/>
      <c r="I475" s="216"/>
      <c r="J475" s="216"/>
      <c r="K475" s="216"/>
      <c r="L475" s="216"/>
      <c r="M475" s="216"/>
      <c r="N475" s="216"/>
      <c r="O475" s="216"/>
      <c r="P475" s="216"/>
      <c r="Q475" s="216"/>
      <c r="R475" s="216"/>
      <c r="S475" s="216"/>
      <c r="T475" s="216"/>
      <c r="U475" s="216"/>
      <c r="V475" s="216"/>
      <c r="W475" s="216"/>
      <c r="X475" s="216"/>
      <c r="Y475" s="216"/>
      <c r="Z475" s="216"/>
      <c r="AA475" s="216"/>
      <c r="AB475" s="216"/>
      <c r="AC475" s="216"/>
      <c r="AD475" s="344"/>
      <c r="AE475" s="344"/>
      <c r="AF475" s="344"/>
      <c r="AG475" s="344"/>
    </row>
    <row r="476">
      <c r="A476" s="445"/>
      <c r="B476" s="442"/>
      <c r="C476" s="443">
        <v>2023.0</v>
      </c>
      <c r="D476" s="442" t="s">
        <v>984</v>
      </c>
      <c r="E476" s="442" t="s">
        <v>929</v>
      </c>
      <c r="F476" s="440"/>
      <c r="G476" s="216"/>
      <c r="H476" s="216"/>
      <c r="I476" s="216"/>
      <c r="J476" s="216"/>
      <c r="K476" s="216"/>
      <c r="L476" s="216"/>
      <c r="M476" s="216"/>
      <c r="N476" s="216"/>
      <c r="O476" s="216"/>
      <c r="P476" s="216"/>
      <c r="Q476" s="216"/>
      <c r="R476" s="216"/>
      <c r="S476" s="216"/>
      <c r="T476" s="216"/>
      <c r="U476" s="216"/>
      <c r="V476" s="216"/>
      <c r="W476" s="216"/>
      <c r="X476" s="216"/>
      <c r="Y476" s="216"/>
      <c r="Z476" s="216"/>
      <c r="AA476" s="216"/>
      <c r="AB476" s="216"/>
      <c r="AC476" s="216"/>
      <c r="AD476" s="344"/>
      <c r="AE476" s="344"/>
      <c r="AF476" s="344"/>
      <c r="AG476" s="344"/>
    </row>
    <row r="477">
      <c r="A477" s="445"/>
      <c r="B477" s="442"/>
      <c r="C477" s="443">
        <v>2024.0</v>
      </c>
      <c r="D477" s="444" t="s">
        <v>1004</v>
      </c>
      <c r="E477" s="442"/>
      <c r="F477" s="440"/>
      <c r="G477" s="216"/>
      <c r="H477" s="216"/>
      <c r="I477" s="216"/>
      <c r="J477" s="216"/>
      <c r="K477" s="216"/>
      <c r="L477" s="216"/>
      <c r="M477" s="216"/>
      <c r="N477" s="216"/>
      <c r="O477" s="216"/>
      <c r="P477" s="216"/>
      <c r="Q477" s="216"/>
      <c r="R477" s="216"/>
      <c r="S477" s="216"/>
      <c r="T477" s="216"/>
      <c r="U477" s="216"/>
      <c r="V477" s="216"/>
      <c r="W477" s="216"/>
      <c r="X477" s="216"/>
      <c r="Y477" s="216"/>
      <c r="Z477" s="216"/>
      <c r="AA477" s="216"/>
      <c r="AB477" s="216"/>
      <c r="AC477" s="216"/>
      <c r="AD477" s="344"/>
      <c r="AE477" s="344"/>
      <c r="AF477" s="344"/>
      <c r="AG477" s="344"/>
    </row>
    <row r="478">
      <c r="A478" s="441">
        <v>27.0</v>
      </c>
      <c r="B478" s="442" t="s">
        <v>865</v>
      </c>
      <c r="C478" s="443">
        <v>2022.0</v>
      </c>
      <c r="D478" s="442" t="s">
        <v>1023</v>
      </c>
      <c r="E478" s="442" t="s">
        <v>929</v>
      </c>
      <c r="F478" s="440"/>
      <c r="G478" s="216"/>
      <c r="H478" s="216"/>
      <c r="I478" s="216"/>
      <c r="J478" s="216"/>
      <c r="K478" s="216"/>
      <c r="L478" s="216"/>
      <c r="M478" s="216"/>
      <c r="N478" s="216"/>
      <c r="O478" s="216"/>
      <c r="P478" s="216"/>
      <c r="Q478" s="216"/>
      <c r="R478" s="216"/>
      <c r="S478" s="216"/>
      <c r="T478" s="216"/>
      <c r="U478" s="216"/>
      <c r="V478" s="216"/>
      <c r="W478" s="216"/>
      <c r="X478" s="216"/>
      <c r="Y478" s="216"/>
      <c r="Z478" s="216"/>
      <c r="AA478" s="216"/>
      <c r="AB478" s="216"/>
      <c r="AC478" s="216"/>
      <c r="AD478" s="344"/>
      <c r="AE478" s="344"/>
      <c r="AF478" s="344"/>
      <c r="AG478" s="344"/>
    </row>
    <row r="479">
      <c r="A479" s="445"/>
      <c r="B479" s="442"/>
      <c r="C479" s="443">
        <v>2023.0</v>
      </c>
      <c r="D479" s="444" t="s">
        <v>943</v>
      </c>
      <c r="E479" s="442"/>
      <c r="F479" s="440"/>
      <c r="G479" s="216"/>
      <c r="H479" s="216"/>
      <c r="I479" s="216"/>
      <c r="J479" s="216"/>
      <c r="K479" s="216"/>
      <c r="L479" s="216"/>
      <c r="M479" s="216"/>
      <c r="N479" s="216"/>
      <c r="O479" s="216"/>
      <c r="P479" s="216"/>
      <c r="Q479" s="216"/>
      <c r="R479" s="216"/>
      <c r="S479" s="216"/>
      <c r="T479" s="216"/>
      <c r="U479" s="216"/>
      <c r="V479" s="216"/>
      <c r="W479" s="216"/>
      <c r="X479" s="216"/>
      <c r="Y479" s="216"/>
      <c r="Z479" s="216"/>
      <c r="AA479" s="216"/>
      <c r="AB479" s="216"/>
      <c r="AC479" s="216"/>
      <c r="AD479" s="344"/>
      <c r="AE479" s="344"/>
      <c r="AF479" s="344"/>
      <c r="AG479" s="344"/>
    </row>
    <row r="480">
      <c r="A480" s="445"/>
      <c r="B480" s="442"/>
      <c r="C480" s="443">
        <v>2023.0</v>
      </c>
      <c r="D480" s="444" t="s">
        <v>1009</v>
      </c>
      <c r="E480" s="444"/>
      <c r="F480" s="440"/>
      <c r="G480" s="216"/>
      <c r="H480" s="216"/>
      <c r="I480" s="216"/>
      <c r="J480" s="216"/>
      <c r="K480" s="216"/>
      <c r="L480" s="216"/>
      <c r="M480" s="216"/>
      <c r="N480" s="216"/>
      <c r="O480" s="216"/>
      <c r="P480" s="216"/>
      <c r="Q480" s="216"/>
      <c r="R480" s="216"/>
      <c r="S480" s="216"/>
      <c r="T480" s="216"/>
      <c r="U480" s="216"/>
      <c r="V480" s="216"/>
      <c r="W480" s="216"/>
      <c r="X480" s="216"/>
      <c r="Y480" s="216"/>
      <c r="Z480" s="216"/>
      <c r="AA480" s="216"/>
      <c r="AB480" s="216"/>
      <c r="AC480" s="216"/>
      <c r="AD480" s="344"/>
      <c r="AE480" s="344"/>
      <c r="AF480" s="344"/>
      <c r="AG480" s="344"/>
    </row>
    <row r="481">
      <c r="A481" s="445"/>
      <c r="B481" s="442"/>
      <c r="C481" s="443">
        <v>2024.0</v>
      </c>
      <c r="D481" s="444" t="s">
        <v>970</v>
      </c>
      <c r="E481" s="442"/>
      <c r="F481" s="440"/>
      <c r="G481" s="216"/>
      <c r="H481" s="216"/>
      <c r="I481" s="216"/>
      <c r="J481" s="216"/>
      <c r="K481" s="216"/>
      <c r="L481" s="216"/>
      <c r="M481" s="216"/>
      <c r="N481" s="216"/>
      <c r="O481" s="216"/>
      <c r="P481" s="216"/>
      <c r="Q481" s="216"/>
      <c r="R481" s="216"/>
      <c r="S481" s="216"/>
      <c r="T481" s="216"/>
      <c r="U481" s="216"/>
      <c r="V481" s="216"/>
      <c r="W481" s="216"/>
      <c r="X481" s="216"/>
      <c r="Y481" s="216"/>
      <c r="Z481" s="216"/>
      <c r="AA481" s="216"/>
      <c r="AB481" s="216"/>
      <c r="AC481" s="216"/>
      <c r="AD481" s="344"/>
      <c r="AE481" s="344"/>
      <c r="AF481" s="344"/>
      <c r="AG481" s="344"/>
    </row>
    <row r="482">
      <c r="A482" s="445"/>
      <c r="B482" s="442"/>
      <c r="C482" s="443">
        <v>2024.0</v>
      </c>
      <c r="D482" s="444" t="s">
        <v>968</v>
      </c>
      <c r="E482" s="444"/>
      <c r="F482" s="440"/>
      <c r="G482" s="216"/>
      <c r="H482" s="216"/>
      <c r="I482" s="216"/>
      <c r="J482" s="216"/>
      <c r="K482" s="216"/>
      <c r="L482" s="216"/>
      <c r="M482" s="216"/>
      <c r="N482" s="216"/>
      <c r="O482" s="216"/>
      <c r="P482" s="216"/>
      <c r="Q482" s="216"/>
      <c r="R482" s="216"/>
      <c r="S482" s="216"/>
      <c r="T482" s="216"/>
      <c r="U482" s="216"/>
      <c r="V482" s="216"/>
      <c r="W482" s="216"/>
      <c r="X482" s="216"/>
      <c r="Y482" s="216"/>
      <c r="Z482" s="216"/>
      <c r="AA482" s="216"/>
      <c r="AB482" s="216"/>
      <c r="AC482" s="216"/>
      <c r="AD482" s="344"/>
      <c r="AE482" s="344"/>
      <c r="AF482" s="344"/>
      <c r="AG482" s="344"/>
    </row>
    <row r="483">
      <c r="A483" s="441">
        <v>28.0</v>
      </c>
      <c r="B483" s="442" t="s">
        <v>867</v>
      </c>
      <c r="C483" s="443">
        <v>2022.0</v>
      </c>
      <c r="D483" s="442" t="s">
        <v>941</v>
      </c>
      <c r="E483" s="442" t="s">
        <v>929</v>
      </c>
      <c r="F483" s="440"/>
      <c r="G483" s="216"/>
      <c r="H483" s="216"/>
      <c r="I483" s="216"/>
      <c r="J483" s="216"/>
      <c r="K483" s="216"/>
      <c r="L483" s="216"/>
      <c r="M483" s="216"/>
      <c r="N483" s="216"/>
      <c r="O483" s="216"/>
      <c r="P483" s="216"/>
      <c r="Q483" s="216"/>
      <c r="R483" s="216"/>
      <c r="S483" s="216"/>
      <c r="T483" s="216"/>
      <c r="U483" s="216"/>
      <c r="V483" s="216"/>
      <c r="W483" s="216"/>
      <c r="X483" s="216"/>
      <c r="Y483" s="216"/>
      <c r="Z483" s="216"/>
      <c r="AA483" s="216"/>
      <c r="AB483" s="216"/>
      <c r="AC483" s="216"/>
      <c r="AD483" s="344"/>
      <c r="AE483" s="344"/>
      <c r="AF483" s="344"/>
      <c r="AG483" s="344"/>
    </row>
    <row r="484">
      <c r="A484" s="445"/>
      <c r="B484" s="442"/>
      <c r="C484" s="443">
        <v>2022.0</v>
      </c>
      <c r="D484" s="442" t="s">
        <v>990</v>
      </c>
      <c r="E484" s="442" t="s">
        <v>929</v>
      </c>
      <c r="F484" s="440"/>
      <c r="G484" s="216"/>
      <c r="H484" s="216"/>
      <c r="I484" s="216"/>
      <c r="J484" s="216"/>
      <c r="K484" s="216"/>
      <c r="L484" s="216"/>
      <c r="M484" s="216"/>
      <c r="N484" s="216"/>
      <c r="O484" s="216"/>
      <c r="P484" s="216"/>
      <c r="Q484" s="216"/>
      <c r="R484" s="216"/>
      <c r="S484" s="216"/>
      <c r="T484" s="216"/>
      <c r="U484" s="216"/>
      <c r="V484" s="216"/>
      <c r="W484" s="216"/>
      <c r="X484" s="216"/>
      <c r="Y484" s="216"/>
      <c r="Z484" s="216"/>
      <c r="AA484" s="216"/>
      <c r="AB484" s="216"/>
      <c r="AC484" s="216"/>
      <c r="AD484" s="344"/>
      <c r="AE484" s="344"/>
      <c r="AF484" s="344"/>
      <c r="AG484" s="344"/>
    </row>
    <row r="485">
      <c r="A485" s="445"/>
      <c r="B485" s="442"/>
      <c r="C485" s="443">
        <v>2022.0</v>
      </c>
      <c r="D485" s="442" t="s">
        <v>1005</v>
      </c>
      <c r="E485" s="442" t="s">
        <v>929</v>
      </c>
      <c r="F485" s="440"/>
      <c r="G485" s="216"/>
      <c r="H485" s="216"/>
      <c r="I485" s="216"/>
      <c r="J485" s="216"/>
      <c r="K485" s="216"/>
      <c r="L485" s="216"/>
      <c r="M485" s="216"/>
      <c r="N485" s="216"/>
      <c r="O485" s="216"/>
      <c r="P485" s="216"/>
      <c r="Q485" s="216"/>
      <c r="R485" s="216"/>
      <c r="S485" s="216"/>
      <c r="T485" s="216"/>
      <c r="U485" s="216"/>
      <c r="V485" s="216"/>
      <c r="W485" s="216"/>
      <c r="X485" s="216"/>
      <c r="Y485" s="216"/>
      <c r="Z485" s="216"/>
      <c r="AA485" s="216"/>
      <c r="AB485" s="216"/>
      <c r="AC485" s="216"/>
      <c r="AD485" s="344"/>
      <c r="AE485" s="344"/>
      <c r="AF485" s="344"/>
      <c r="AG485" s="344"/>
    </row>
    <row r="486">
      <c r="A486" s="445"/>
      <c r="B486" s="442"/>
      <c r="C486" s="443">
        <v>2023.0</v>
      </c>
      <c r="D486" s="442" t="s">
        <v>1024</v>
      </c>
      <c r="E486" s="442" t="s">
        <v>929</v>
      </c>
      <c r="F486" s="440"/>
      <c r="G486" s="216"/>
      <c r="H486" s="216"/>
      <c r="I486" s="216"/>
      <c r="J486" s="216"/>
      <c r="K486" s="216"/>
      <c r="L486" s="216"/>
      <c r="M486" s="216"/>
      <c r="N486" s="216"/>
      <c r="O486" s="216"/>
      <c r="P486" s="216"/>
      <c r="Q486" s="216"/>
      <c r="R486" s="216"/>
      <c r="S486" s="216"/>
      <c r="T486" s="216"/>
      <c r="U486" s="216"/>
      <c r="V486" s="216"/>
      <c r="W486" s="216"/>
      <c r="X486" s="216"/>
      <c r="Y486" s="216"/>
      <c r="Z486" s="216"/>
      <c r="AA486" s="216"/>
      <c r="AB486" s="216"/>
      <c r="AC486" s="216"/>
      <c r="AD486" s="344"/>
      <c r="AE486" s="344"/>
      <c r="AF486" s="344"/>
      <c r="AG486" s="344"/>
    </row>
    <row r="487">
      <c r="A487" s="445"/>
      <c r="B487" s="442"/>
      <c r="C487" s="443">
        <v>2023.0</v>
      </c>
      <c r="D487" s="442" t="s">
        <v>942</v>
      </c>
      <c r="E487" s="442" t="s">
        <v>929</v>
      </c>
      <c r="F487" s="440"/>
      <c r="G487" s="216"/>
      <c r="H487" s="216"/>
      <c r="I487" s="216"/>
      <c r="J487" s="216"/>
      <c r="K487" s="216"/>
      <c r="L487" s="216"/>
      <c r="M487" s="216"/>
      <c r="N487" s="216"/>
      <c r="O487" s="216"/>
      <c r="P487" s="216"/>
      <c r="Q487" s="216"/>
      <c r="R487" s="216"/>
      <c r="S487" s="216"/>
      <c r="T487" s="216"/>
      <c r="U487" s="216"/>
      <c r="V487" s="216"/>
      <c r="W487" s="216"/>
      <c r="X487" s="216"/>
      <c r="Y487" s="216"/>
      <c r="Z487" s="216"/>
      <c r="AA487" s="216"/>
      <c r="AB487" s="216"/>
      <c r="AC487" s="216"/>
      <c r="AD487" s="344"/>
      <c r="AE487" s="344"/>
      <c r="AF487" s="344"/>
      <c r="AG487" s="344"/>
    </row>
    <row r="488">
      <c r="A488" s="445"/>
      <c r="B488" s="442"/>
      <c r="C488" s="443">
        <v>2023.0</v>
      </c>
      <c r="D488" s="442" t="s">
        <v>1025</v>
      </c>
      <c r="E488" s="442" t="s">
        <v>929</v>
      </c>
      <c r="F488" s="440"/>
      <c r="G488" s="216"/>
      <c r="H488" s="216"/>
      <c r="I488" s="216"/>
      <c r="J488" s="216"/>
      <c r="K488" s="216"/>
      <c r="L488" s="216"/>
      <c r="M488" s="216"/>
      <c r="N488" s="216"/>
      <c r="O488" s="216"/>
      <c r="P488" s="216"/>
      <c r="Q488" s="216"/>
      <c r="R488" s="216"/>
      <c r="S488" s="216"/>
      <c r="T488" s="216"/>
      <c r="U488" s="216"/>
      <c r="V488" s="216"/>
      <c r="W488" s="216"/>
      <c r="X488" s="216"/>
      <c r="Y488" s="216"/>
      <c r="Z488" s="216"/>
      <c r="AA488" s="216"/>
      <c r="AB488" s="216"/>
      <c r="AC488" s="216"/>
      <c r="AD488" s="344"/>
      <c r="AE488" s="344"/>
      <c r="AF488" s="344"/>
      <c r="AG488" s="344"/>
    </row>
    <row r="489">
      <c r="A489" s="445"/>
      <c r="B489" s="442"/>
      <c r="C489" s="443">
        <v>2024.0</v>
      </c>
      <c r="D489" s="444" t="s">
        <v>938</v>
      </c>
      <c r="E489" s="442"/>
      <c r="F489" s="440"/>
      <c r="G489" s="216"/>
      <c r="H489" s="216"/>
      <c r="I489" s="216"/>
      <c r="J489" s="216"/>
      <c r="K489" s="216"/>
      <c r="L489" s="216"/>
      <c r="M489" s="216"/>
      <c r="N489" s="216"/>
      <c r="O489" s="216"/>
      <c r="P489" s="216"/>
      <c r="Q489" s="216"/>
      <c r="R489" s="216"/>
      <c r="S489" s="216"/>
      <c r="T489" s="216"/>
      <c r="U489" s="216"/>
      <c r="V489" s="216"/>
      <c r="W489" s="216"/>
      <c r="X489" s="216"/>
      <c r="Y489" s="216"/>
      <c r="Z489" s="216"/>
      <c r="AA489" s="216"/>
      <c r="AB489" s="216"/>
      <c r="AC489" s="216"/>
      <c r="AD489" s="344"/>
      <c r="AE489" s="344"/>
      <c r="AF489" s="344"/>
      <c r="AG489" s="344"/>
    </row>
    <row r="490">
      <c r="A490" s="445"/>
      <c r="B490" s="442"/>
      <c r="C490" s="443">
        <v>2024.0</v>
      </c>
      <c r="D490" s="444" t="s">
        <v>1026</v>
      </c>
      <c r="E490" s="442"/>
      <c r="F490" s="440"/>
      <c r="G490" s="216"/>
      <c r="H490" s="216"/>
      <c r="I490" s="216"/>
      <c r="J490" s="216"/>
      <c r="K490" s="216"/>
      <c r="L490" s="216"/>
      <c r="M490" s="216"/>
      <c r="N490" s="216"/>
      <c r="O490" s="216"/>
      <c r="P490" s="216"/>
      <c r="Q490" s="216"/>
      <c r="R490" s="216"/>
      <c r="S490" s="216"/>
      <c r="T490" s="216"/>
      <c r="U490" s="216"/>
      <c r="V490" s="216"/>
      <c r="W490" s="216"/>
      <c r="X490" s="216"/>
      <c r="Y490" s="216"/>
      <c r="Z490" s="216"/>
      <c r="AA490" s="216"/>
      <c r="AB490" s="216"/>
      <c r="AC490" s="216"/>
      <c r="AD490" s="344"/>
      <c r="AE490" s="344"/>
      <c r="AF490" s="344"/>
      <c r="AG490" s="344"/>
    </row>
    <row r="491">
      <c r="A491" s="441">
        <v>29.0</v>
      </c>
      <c r="B491" s="442" t="s">
        <v>868</v>
      </c>
      <c r="C491" s="443">
        <v>2023.0</v>
      </c>
      <c r="D491" s="442" t="s">
        <v>983</v>
      </c>
      <c r="E491" s="442"/>
      <c r="F491" s="440"/>
      <c r="G491" s="216"/>
      <c r="H491" s="216"/>
      <c r="I491" s="216"/>
      <c r="J491" s="216"/>
      <c r="K491" s="216"/>
      <c r="L491" s="216"/>
      <c r="M491" s="216"/>
      <c r="N491" s="216"/>
      <c r="O491" s="216"/>
      <c r="P491" s="216"/>
      <c r="Q491" s="216"/>
      <c r="R491" s="216"/>
      <c r="S491" s="216"/>
      <c r="T491" s="216"/>
      <c r="U491" s="216"/>
      <c r="V491" s="216"/>
      <c r="W491" s="216"/>
      <c r="X491" s="216"/>
      <c r="Y491" s="216"/>
      <c r="Z491" s="216"/>
      <c r="AA491" s="216"/>
      <c r="AB491" s="216"/>
      <c r="AC491" s="216"/>
      <c r="AD491" s="344"/>
      <c r="AE491" s="344"/>
      <c r="AF491" s="344"/>
      <c r="AG491" s="344"/>
    </row>
    <row r="492">
      <c r="A492" s="441">
        <v>30.0</v>
      </c>
      <c r="B492" s="442" t="s">
        <v>767</v>
      </c>
      <c r="C492" s="443">
        <v>2023.0</v>
      </c>
      <c r="D492" s="444" t="s">
        <v>1009</v>
      </c>
      <c r="E492" s="444"/>
      <c r="F492" s="440"/>
      <c r="G492" s="216"/>
      <c r="H492" s="216"/>
      <c r="I492" s="216"/>
      <c r="J492" s="216"/>
      <c r="K492" s="216"/>
      <c r="L492" s="216"/>
      <c r="M492" s="216"/>
      <c r="N492" s="216"/>
      <c r="O492" s="216"/>
      <c r="P492" s="216"/>
      <c r="Q492" s="216"/>
      <c r="R492" s="216"/>
      <c r="S492" s="216"/>
      <c r="T492" s="216"/>
      <c r="U492" s="216"/>
      <c r="V492" s="216"/>
      <c r="W492" s="216"/>
      <c r="X492" s="216"/>
      <c r="Y492" s="216"/>
      <c r="Z492" s="216"/>
      <c r="AA492" s="216"/>
      <c r="AB492" s="216"/>
      <c r="AC492" s="216"/>
      <c r="AD492" s="344"/>
      <c r="AE492" s="344"/>
      <c r="AF492" s="344"/>
      <c r="AG492" s="344"/>
    </row>
    <row r="493">
      <c r="A493" s="445"/>
      <c r="B493" s="442"/>
      <c r="C493" s="443">
        <v>2024.0</v>
      </c>
      <c r="D493" s="446" t="s">
        <v>970</v>
      </c>
      <c r="E493" s="442"/>
      <c r="F493" s="440"/>
      <c r="G493" s="216"/>
      <c r="H493" s="216"/>
      <c r="I493" s="216"/>
      <c r="J493" s="216"/>
      <c r="K493" s="216"/>
      <c r="L493" s="216"/>
      <c r="M493" s="216"/>
      <c r="N493" s="216"/>
      <c r="O493" s="216"/>
      <c r="P493" s="216"/>
      <c r="Q493" s="216"/>
      <c r="R493" s="216"/>
      <c r="S493" s="216"/>
      <c r="T493" s="216"/>
      <c r="U493" s="216"/>
      <c r="V493" s="216"/>
      <c r="W493" s="216"/>
      <c r="X493" s="216"/>
      <c r="Y493" s="216"/>
      <c r="Z493" s="216"/>
      <c r="AA493" s="216"/>
      <c r="AB493" s="216"/>
      <c r="AC493" s="216"/>
      <c r="AD493" s="344"/>
      <c r="AE493" s="344"/>
      <c r="AF493" s="344"/>
      <c r="AG493" s="344"/>
    </row>
    <row r="494">
      <c r="A494" s="450">
        <v>31.0</v>
      </c>
      <c r="B494" s="442" t="s">
        <v>872</v>
      </c>
      <c r="C494" s="443">
        <v>2022.0</v>
      </c>
      <c r="D494" s="442" t="s">
        <v>1027</v>
      </c>
      <c r="E494" s="442" t="s">
        <v>933</v>
      </c>
      <c r="F494" s="440"/>
      <c r="G494" s="216"/>
      <c r="H494" s="216"/>
      <c r="I494" s="216"/>
      <c r="J494" s="216"/>
      <c r="K494" s="216"/>
      <c r="L494" s="216"/>
      <c r="M494" s="216"/>
      <c r="N494" s="216"/>
      <c r="O494" s="216"/>
      <c r="P494" s="216"/>
      <c r="Q494" s="216"/>
      <c r="R494" s="216"/>
      <c r="S494" s="216"/>
      <c r="T494" s="216"/>
      <c r="U494" s="216"/>
      <c r="V494" s="216"/>
      <c r="W494" s="216"/>
      <c r="X494" s="216"/>
      <c r="Y494" s="216"/>
      <c r="Z494" s="216"/>
      <c r="AA494" s="216"/>
      <c r="AB494" s="216"/>
      <c r="AC494" s="216"/>
      <c r="AD494" s="344"/>
      <c r="AE494" s="344"/>
      <c r="AF494" s="344"/>
      <c r="AG494" s="344"/>
    </row>
    <row r="495">
      <c r="A495" s="445"/>
      <c r="B495" s="442"/>
      <c r="C495" s="443">
        <v>2023.0</v>
      </c>
      <c r="D495" s="444" t="s">
        <v>1009</v>
      </c>
      <c r="E495" s="442"/>
      <c r="F495" s="440"/>
      <c r="G495" s="216"/>
      <c r="H495" s="216"/>
      <c r="I495" s="216"/>
      <c r="J495" s="216"/>
      <c r="K495" s="216"/>
      <c r="L495" s="216"/>
      <c r="M495" s="216"/>
      <c r="N495" s="216"/>
      <c r="O495" s="216"/>
      <c r="P495" s="216"/>
      <c r="Q495" s="216"/>
      <c r="R495" s="216"/>
      <c r="S495" s="216"/>
      <c r="T495" s="216"/>
      <c r="U495" s="216"/>
      <c r="V495" s="216"/>
      <c r="W495" s="216"/>
      <c r="X495" s="216"/>
      <c r="Y495" s="216"/>
      <c r="Z495" s="216"/>
      <c r="AA495" s="216"/>
      <c r="AB495" s="216"/>
      <c r="AC495" s="216"/>
      <c r="AD495" s="344"/>
      <c r="AE495" s="344"/>
      <c r="AF495" s="344"/>
      <c r="AG495" s="344"/>
    </row>
    <row r="496">
      <c r="A496" s="445"/>
      <c r="B496" s="442"/>
      <c r="C496" s="443">
        <v>2024.0</v>
      </c>
      <c r="D496" s="444" t="s">
        <v>947</v>
      </c>
      <c r="E496" s="444"/>
      <c r="F496" s="440"/>
      <c r="G496" s="216"/>
      <c r="H496" s="216"/>
      <c r="I496" s="216"/>
      <c r="J496" s="216"/>
      <c r="K496" s="216"/>
      <c r="L496" s="216"/>
      <c r="M496" s="216"/>
      <c r="N496" s="216"/>
      <c r="O496" s="216"/>
      <c r="P496" s="216"/>
      <c r="Q496" s="216"/>
      <c r="R496" s="216"/>
      <c r="S496" s="216"/>
      <c r="T496" s="216"/>
      <c r="U496" s="216"/>
      <c r="V496" s="216"/>
      <c r="W496" s="216"/>
      <c r="X496" s="216"/>
      <c r="Y496" s="216"/>
      <c r="Z496" s="216"/>
      <c r="AA496" s="216"/>
      <c r="AB496" s="216"/>
      <c r="AC496" s="216"/>
      <c r="AD496" s="344"/>
      <c r="AE496" s="344"/>
      <c r="AF496" s="344"/>
      <c r="AG496" s="344"/>
    </row>
    <row r="497">
      <c r="A497" s="445"/>
      <c r="B497" s="442"/>
      <c r="C497" s="443">
        <v>2024.0</v>
      </c>
      <c r="D497" s="444" t="s">
        <v>948</v>
      </c>
      <c r="E497" s="444"/>
      <c r="F497" s="440"/>
      <c r="G497" s="216"/>
      <c r="H497" s="216"/>
      <c r="I497" s="216"/>
      <c r="J497" s="216"/>
      <c r="K497" s="216"/>
      <c r="L497" s="216"/>
      <c r="M497" s="216"/>
      <c r="N497" s="216"/>
      <c r="O497" s="216"/>
      <c r="P497" s="216"/>
      <c r="Q497" s="216"/>
      <c r="R497" s="216"/>
      <c r="S497" s="216"/>
      <c r="T497" s="216"/>
      <c r="U497" s="216"/>
      <c r="V497" s="216"/>
      <c r="W497" s="216"/>
      <c r="X497" s="216"/>
      <c r="Y497" s="216"/>
      <c r="Z497" s="216"/>
      <c r="AA497" s="216"/>
      <c r="AB497" s="216"/>
      <c r="AC497" s="216"/>
      <c r="AD497" s="344"/>
      <c r="AE497" s="344"/>
      <c r="AF497" s="344"/>
      <c r="AG497" s="344"/>
    </row>
    <row r="498">
      <c r="A498" s="450">
        <v>32.0</v>
      </c>
      <c r="B498" s="442" t="s">
        <v>670</v>
      </c>
      <c r="C498" s="443">
        <v>2022.0</v>
      </c>
      <c r="D498" s="444" t="s">
        <v>981</v>
      </c>
      <c r="E498" s="444"/>
      <c r="F498" s="440"/>
      <c r="G498" s="216"/>
      <c r="H498" s="216"/>
      <c r="I498" s="216"/>
      <c r="J498" s="216"/>
      <c r="K498" s="216"/>
      <c r="L498" s="216"/>
      <c r="M498" s="216"/>
      <c r="N498" s="216"/>
      <c r="O498" s="216"/>
      <c r="P498" s="216"/>
      <c r="Q498" s="216"/>
      <c r="R498" s="216"/>
      <c r="S498" s="216"/>
      <c r="T498" s="216"/>
      <c r="U498" s="216"/>
      <c r="V498" s="216"/>
      <c r="W498" s="216"/>
      <c r="X498" s="216"/>
      <c r="Y498" s="216"/>
      <c r="Z498" s="216"/>
      <c r="AA498" s="216"/>
      <c r="AB498" s="216"/>
      <c r="AC498" s="216"/>
      <c r="AD498" s="344"/>
      <c r="AE498" s="344"/>
      <c r="AF498" s="344"/>
      <c r="AG498" s="344"/>
    </row>
    <row r="499">
      <c r="A499" s="445"/>
      <c r="B499" s="442"/>
      <c r="C499" s="443">
        <v>2023.0</v>
      </c>
      <c r="D499" s="444" t="s">
        <v>946</v>
      </c>
      <c r="E499" s="444"/>
      <c r="F499" s="440"/>
      <c r="G499" s="216"/>
      <c r="H499" s="216"/>
      <c r="I499" s="216"/>
      <c r="J499" s="216"/>
      <c r="K499" s="216"/>
      <c r="L499" s="216"/>
      <c r="M499" s="216"/>
      <c r="N499" s="216"/>
      <c r="O499" s="216"/>
      <c r="P499" s="216"/>
      <c r="Q499" s="216"/>
      <c r="R499" s="216"/>
      <c r="S499" s="216"/>
      <c r="T499" s="216"/>
      <c r="U499" s="216"/>
      <c r="V499" s="216"/>
      <c r="W499" s="216"/>
      <c r="X499" s="216"/>
      <c r="Y499" s="216"/>
      <c r="Z499" s="216"/>
      <c r="AA499" s="216"/>
      <c r="AB499" s="216"/>
      <c r="AC499" s="216"/>
      <c r="AD499" s="344"/>
      <c r="AE499" s="344"/>
      <c r="AF499" s="344"/>
      <c r="AG499" s="344"/>
    </row>
    <row r="500">
      <c r="A500" s="445"/>
      <c r="B500" s="442"/>
      <c r="C500" s="443">
        <v>2023.0</v>
      </c>
      <c r="D500" s="444" t="s">
        <v>965</v>
      </c>
      <c r="E500" s="444"/>
      <c r="F500" s="440"/>
      <c r="G500" s="216"/>
      <c r="H500" s="216"/>
      <c r="I500" s="216"/>
      <c r="J500" s="216"/>
      <c r="K500" s="216"/>
      <c r="L500" s="216"/>
      <c r="M500" s="216"/>
      <c r="N500" s="216"/>
      <c r="O500" s="216"/>
      <c r="P500" s="216"/>
      <c r="Q500" s="216"/>
      <c r="R500" s="216"/>
      <c r="S500" s="216"/>
      <c r="T500" s="216"/>
      <c r="U500" s="216"/>
      <c r="V500" s="216"/>
      <c r="W500" s="216"/>
      <c r="X500" s="216"/>
      <c r="Y500" s="216"/>
      <c r="Z500" s="216"/>
      <c r="AA500" s="216"/>
      <c r="AB500" s="216"/>
      <c r="AC500" s="216"/>
      <c r="AD500" s="344"/>
      <c r="AE500" s="344"/>
      <c r="AF500" s="344"/>
      <c r="AG500" s="344"/>
    </row>
    <row r="501">
      <c r="A501" s="445"/>
      <c r="B501" s="442"/>
      <c r="C501" s="443">
        <v>2024.0</v>
      </c>
      <c r="D501" s="444" t="s">
        <v>1011</v>
      </c>
      <c r="E501" s="444"/>
      <c r="F501" s="440"/>
      <c r="G501" s="216"/>
      <c r="H501" s="216"/>
      <c r="I501" s="216"/>
      <c r="J501" s="216"/>
      <c r="K501" s="216"/>
      <c r="L501" s="216"/>
      <c r="M501" s="216"/>
      <c r="N501" s="216"/>
      <c r="O501" s="216"/>
      <c r="P501" s="216"/>
      <c r="Q501" s="216"/>
      <c r="R501" s="216"/>
      <c r="S501" s="216"/>
      <c r="T501" s="216"/>
      <c r="U501" s="216"/>
      <c r="V501" s="216"/>
      <c r="W501" s="216"/>
      <c r="X501" s="216"/>
      <c r="Y501" s="216"/>
      <c r="Z501" s="216"/>
      <c r="AA501" s="216"/>
      <c r="AB501" s="216"/>
      <c r="AC501" s="216"/>
      <c r="AD501" s="344"/>
      <c r="AE501" s="344"/>
      <c r="AF501" s="344"/>
      <c r="AG501" s="344"/>
    </row>
    <row r="502">
      <c r="A502" s="450">
        <v>33.0</v>
      </c>
      <c r="B502" s="442" t="s">
        <v>569</v>
      </c>
      <c r="C502" s="443">
        <v>2023.0</v>
      </c>
      <c r="D502" s="444" t="s">
        <v>934</v>
      </c>
      <c r="E502" s="444"/>
      <c r="F502" s="440"/>
      <c r="G502" s="216"/>
      <c r="H502" s="216"/>
      <c r="I502" s="216"/>
      <c r="J502" s="216"/>
      <c r="K502" s="216"/>
      <c r="L502" s="216"/>
      <c r="M502" s="216"/>
      <c r="N502" s="216"/>
      <c r="O502" s="216"/>
      <c r="P502" s="216"/>
      <c r="Q502" s="216"/>
      <c r="R502" s="216"/>
      <c r="S502" s="216"/>
      <c r="T502" s="216"/>
      <c r="U502" s="216"/>
      <c r="V502" s="216"/>
      <c r="W502" s="216"/>
      <c r="X502" s="216"/>
      <c r="Y502" s="216"/>
      <c r="Z502" s="216"/>
      <c r="AA502" s="216"/>
      <c r="AB502" s="216"/>
      <c r="AC502" s="216"/>
      <c r="AD502" s="344"/>
      <c r="AE502" s="344"/>
      <c r="AF502" s="344"/>
      <c r="AG502" s="344"/>
    </row>
    <row r="503">
      <c r="A503" s="445"/>
      <c r="B503" s="442"/>
      <c r="C503" s="443">
        <v>2023.0</v>
      </c>
      <c r="D503" s="442" t="s">
        <v>942</v>
      </c>
      <c r="E503" s="442" t="s">
        <v>929</v>
      </c>
      <c r="F503" s="440"/>
      <c r="G503" s="216"/>
      <c r="H503" s="216"/>
      <c r="I503" s="216"/>
      <c r="J503" s="216"/>
      <c r="K503" s="216"/>
      <c r="L503" s="216"/>
      <c r="M503" s="216"/>
      <c r="N503" s="216"/>
      <c r="O503" s="216"/>
      <c r="P503" s="216"/>
      <c r="Q503" s="216"/>
      <c r="R503" s="216"/>
      <c r="S503" s="216"/>
      <c r="T503" s="216"/>
      <c r="U503" s="216"/>
      <c r="V503" s="216"/>
      <c r="W503" s="216"/>
      <c r="X503" s="216"/>
      <c r="Y503" s="216"/>
      <c r="Z503" s="216"/>
      <c r="AA503" s="216"/>
      <c r="AB503" s="216"/>
      <c r="AC503" s="216"/>
      <c r="AD503" s="344"/>
      <c r="AE503" s="344"/>
      <c r="AF503" s="344"/>
      <c r="AG503" s="344"/>
    </row>
    <row r="504">
      <c r="A504" s="445"/>
      <c r="B504" s="442"/>
      <c r="C504" s="443">
        <v>2024.0</v>
      </c>
      <c r="D504" s="444" t="s">
        <v>1028</v>
      </c>
      <c r="E504" s="444"/>
      <c r="F504" s="440"/>
      <c r="G504" s="216"/>
      <c r="H504" s="216"/>
      <c r="I504" s="216"/>
      <c r="J504" s="216"/>
      <c r="K504" s="216"/>
      <c r="L504" s="216"/>
      <c r="M504" s="216"/>
      <c r="N504" s="216"/>
      <c r="O504" s="216"/>
      <c r="P504" s="216"/>
      <c r="Q504" s="216"/>
      <c r="R504" s="216"/>
      <c r="S504" s="216"/>
      <c r="T504" s="216"/>
      <c r="U504" s="216"/>
      <c r="V504" s="216"/>
      <c r="W504" s="216"/>
      <c r="X504" s="216"/>
      <c r="Y504" s="216"/>
      <c r="Z504" s="216"/>
      <c r="AA504" s="216"/>
      <c r="AB504" s="216"/>
      <c r="AC504" s="216"/>
      <c r="AD504" s="344"/>
      <c r="AE504" s="344"/>
      <c r="AF504" s="344"/>
      <c r="AG504" s="344"/>
    </row>
    <row r="505">
      <c r="A505" s="445"/>
      <c r="B505" s="442"/>
      <c r="C505" s="443">
        <v>2024.0</v>
      </c>
      <c r="D505" s="444" t="s">
        <v>938</v>
      </c>
      <c r="E505" s="442"/>
      <c r="F505" s="440"/>
      <c r="G505" s="216"/>
      <c r="H505" s="216"/>
      <c r="I505" s="216"/>
      <c r="J505" s="216"/>
      <c r="K505" s="216"/>
      <c r="L505" s="216"/>
      <c r="M505" s="216"/>
      <c r="N505" s="216"/>
      <c r="O505" s="216"/>
      <c r="P505" s="216"/>
      <c r="Q505" s="216"/>
      <c r="R505" s="216"/>
      <c r="S505" s="216"/>
      <c r="T505" s="216"/>
      <c r="U505" s="216"/>
      <c r="V505" s="216"/>
      <c r="W505" s="216"/>
      <c r="X505" s="216"/>
      <c r="Y505" s="216"/>
      <c r="Z505" s="216"/>
      <c r="AA505" s="216"/>
      <c r="AB505" s="216"/>
      <c r="AC505" s="216"/>
      <c r="AD505" s="344"/>
      <c r="AE505" s="344"/>
      <c r="AF505" s="344"/>
      <c r="AG505" s="344"/>
    </row>
    <row r="506">
      <c r="A506" s="450">
        <v>34.0</v>
      </c>
      <c r="B506" s="442" t="s">
        <v>570</v>
      </c>
      <c r="C506" s="443">
        <v>2022.0</v>
      </c>
      <c r="D506" s="444" t="s">
        <v>1029</v>
      </c>
      <c r="E506" s="444"/>
      <c r="F506" s="440"/>
      <c r="G506" s="216"/>
      <c r="H506" s="216"/>
      <c r="I506" s="216"/>
      <c r="J506" s="216"/>
      <c r="K506" s="216"/>
      <c r="L506" s="216"/>
      <c r="M506" s="216"/>
      <c r="N506" s="216"/>
      <c r="O506" s="216"/>
      <c r="P506" s="216"/>
      <c r="Q506" s="216"/>
      <c r="R506" s="216"/>
      <c r="S506" s="216"/>
      <c r="T506" s="216"/>
      <c r="U506" s="216"/>
      <c r="V506" s="216"/>
      <c r="W506" s="216"/>
      <c r="X506" s="216"/>
      <c r="Y506" s="216"/>
      <c r="Z506" s="216"/>
      <c r="AA506" s="216"/>
      <c r="AB506" s="216"/>
      <c r="AC506" s="216"/>
      <c r="AD506" s="344"/>
      <c r="AE506" s="344"/>
      <c r="AF506" s="344"/>
      <c r="AG506" s="344"/>
    </row>
    <row r="507">
      <c r="A507" s="445"/>
      <c r="B507" s="442"/>
      <c r="C507" s="443">
        <v>2022.0</v>
      </c>
      <c r="D507" s="444" t="s">
        <v>1030</v>
      </c>
      <c r="E507" s="444"/>
      <c r="F507" s="440"/>
      <c r="G507" s="216"/>
      <c r="H507" s="216"/>
      <c r="I507" s="216"/>
      <c r="J507" s="216"/>
      <c r="K507" s="216"/>
      <c r="L507" s="216"/>
      <c r="M507" s="216"/>
      <c r="N507" s="216"/>
      <c r="O507" s="216"/>
      <c r="P507" s="216"/>
      <c r="Q507" s="216"/>
      <c r="R507" s="216"/>
      <c r="S507" s="216"/>
      <c r="T507" s="216"/>
      <c r="U507" s="216"/>
      <c r="V507" s="216"/>
      <c r="W507" s="216"/>
      <c r="X507" s="216"/>
      <c r="Y507" s="216"/>
      <c r="Z507" s="216"/>
      <c r="AA507" s="216"/>
      <c r="AB507" s="216"/>
      <c r="AC507" s="216"/>
      <c r="AD507" s="344"/>
      <c r="AE507" s="344"/>
      <c r="AF507" s="344"/>
      <c r="AG507" s="344"/>
    </row>
    <row r="508">
      <c r="A508" s="445"/>
      <c r="B508" s="442"/>
      <c r="C508" s="443">
        <v>2023.0</v>
      </c>
      <c r="D508" s="444" t="s">
        <v>1031</v>
      </c>
      <c r="E508" s="444"/>
      <c r="F508" s="440"/>
      <c r="G508" s="216"/>
      <c r="H508" s="216"/>
      <c r="I508" s="216"/>
      <c r="J508" s="216"/>
      <c r="K508" s="216"/>
      <c r="L508" s="216"/>
      <c r="M508" s="216"/>
      <c r="N508" s="216"/>
      <c r="O508" s="216"/>
      <c r="P508" s="216"/>
      <c r="Q508" s="216"/>
      <c r="R508" s="216"/>
      <c r="S508" s="216"/>
      <c r="T508" s="216"/>
      <c r="U508" s="216"/>
      <c r="V508" s="216"/>
      <c r="W508" s="216"/>
      <c r="X508" s="216"/>
      <c r="Y508" s="216"/>
      <c r="Z508" s="216"/>
      <c r="AA508" s="216"/>
      <c r="AB508" s="216"/>
      <c r="AC508" s="216"/>
      <c r="AD508" s="344"/>
      <c r="AE508" s="344"/>
      <c r="AF508" s="344"/>
      <c r="AG508" s="344"/>
    </row>
    <row r="509">
      <c r="A509" s="445"/>
      <c r="B509" s="442"/>
      <c r="C509" s="443">
        <v>2024.0</v>
      </c>
      <c r="D509" s="444" t="s">
        <v>1032</v>
      </c>
      <c r="E509" s="444"/>
      <c r="F509" s="440"/>
      <c r="G509" s="216"/>
      <c r="H509" s="216"/>
      <c r="I509" s="216"/>
      <c r="J509" s="216"/>
      <c r="K509" s="216"/>
      <c r="L509" s="216"/>
      <c r="M509" s="216"/>
      <c r="N509" s="216"/>
      <c r="O509" s="216"/>
      <c r="P509" s="216"/>
      <c r="Q509" s="216"/>
      <c r="R509" s="216"/>
      <c r="S509" s="216"/>
      <c r="T509" s="216"/>
      <c r="U509" s="216"/>
      <c r="V509" s="216"/>
      <c r="W509" s="216"/>
      <c r="X509" s="216"/>
      <c r="Y509" s="216"/>
      <c r="Z509" s="216"/>
      <c r="AA509" s="216"/>
      <c r="AB509" s="216"/>
      <c r="AC509" s="216"/>
      <c r="AD509" s="344"/>
      <c r="AE509" s="344"/>
      <c r="AF509" s="344"/>
      <c r="AG509" s="344"/>
    </row>
    <row r="510">
      <c r="A510" s="445"/>
      <c r="B510" s="442"/>
      <c r="C510" s="443">
        <v>2024.0</v>
      </c>
      <c r="D510" s="444" t="s">
        <v>1004</v>
      </c>
      <c r="E510" s="442"/>
      <c r="F510" s="440"/>
      <c r="G510" s="216"/>
      <c r="H510" s="216"/>
      <c r="I510" s="216"/>
      <c r="J510" s="216"/>
      <c r="K510" s="216"/>
      <c r="L510" s="216"/>
      <c r="M510" s="216"/>
      <c r="N510" s="216"/>
      <c r="O510" s="216"/>
      <c r="P510" s="216"/>
      <c r="Q510" s="216"/>
      <c r="R510" s="216"/>
      <c r="S510" s="216"/>
      <c r="T510" s="216"/>
      <c r="U510" s="216"/>
      <c r="V510" s="216"/>
      <c r="W510" s="216"/>
      <c r="X510" s="216"/>
      <c r="Y510" s="216"/>
      <c r="Z510" s="216"/>
      <c r="AA510" s="216"/>
      <c r="AB510" s="216"/>
      <c r="AC510" s="216"/>
      <c r="AD510" s="344"/>
      <c r="AE510" s="344"/>
      <c r="AF510" s="344"/>
      <c r="AG510" s="344"/>
    </row>
    <row r="511">
      <c r="A511" s="445"/>
      <c r="B511" s="442"/>
      <c r="C511" s="443">
        <v>2024.0</v>
      </c>
      <c r="D511" s="444" t="s">
        <v>970</v>
      </c>
      <c r="E511" s="442"/>
      <c r="F511" s="440"/>
      <c r="G511" s="216"/>
      <c r="H511" s="216"/>
      <c r="I511" s="216"/>
      <c r="J511" s="216"/>
      <c r="K511" s="216"/>
      <c r="L511" s="216"/>
      <c r="M511" s="216"/>
      <c r="N511" s="216"/>
      <c r="O511" s="216"/>
      <c r="P511" s="216"/>
      <c r="Q511" s="216"/>
      <c r="R511" s="216"/>
      <c r="S511" s="216"/>
      <c r="T511" s="216"/>
      <c r="U511" s="216"/>
      <c r="V511" s="216"/>
      <c r="W511" s="216"/>
      <c r="X511" s="216"/>
      <c r="Y511" s="216"/>
      <c r="Z511" s="216"/>
      <c r="AA511" s="216"/>
      <c r="AB511" s="216"/>
      <c r="AC511" s="216"/>
      <c r="AD511" s="344"/>
      <c r="AE511" s="344"/>
      <c r="AF511" s="344"/>
      <c r="AG511" s="344"/>
    </row>
    <row r="512">
      <c r="A512" s="450">
        <v>35.0</v>
      </c>
      <c r="B512" s="442" t="s">
        <v>772</v>
      </c>
      <c r="C512" s="443">
        <v>2022.0</v>
      </c>
      <c r="D512" s="444" t="s">
        <v>980</v>
      </c>
      <c r="E512" s="444"/>
      <c r="F512" s="440"/>
      <c r="G512" s="216"/>
      <c r="H512" s="216"/>
      <c r="I512" s="216"/>
      <c r="J512" s="216"/>
      <c r="K512" s="216"/>
      <c r="L512" s="216"/>
      <c r="M512" s="216"/>
      <c r="N512" s="216"/>
      <c r="O512" s="216"/>
      <c r="P512" s="216"/>
      <c r="Q512" s="216"/>
      <c r="R512" s="216"/>
      <c r="S512" s="216"/>
      <c r="T512" s="216"/>
      <c r="U512" s="216"/>
      <c r="V512" s="216"/>
      <c r="W512" s="216"/>
      <c r="X512" s="216"/>
      <c r="Y512" s="216"/>
      <c r="Z512" s="216"/>
      <c r="AA512" s="216"/>
      <c r="AB512" s="216"/>
      <c r="AC512" s="216"/>
      <c r="AD512" s="344"/>
      <c r="AE512" s="344"/>
      <c r="AF512" s="344"/>
      <c r="AG512" s="344"/>
    </row>
    <row r="513">
      <c r="A513" s="445"/>
      <c r="B513" s="442"/>
      <c r="C513" s="443">
        <v>2023.0</v>
      </c>
      <c r="D513" s="444" t="s">
        <v>1033</v>
      </c>
      <c r="E513" s="444"/>
      <c r="F513" s="440"/>
      <c r="G513" s="216"/>
      <c r="H513" s="216"/>
      <c r="I513" s="216"/>
      <c r="J513" s="216"/>
      <c r="K513" s="216"/>
      <c r="L513" s="216"/>
      <c r="M513" s="216"/>
      <c r="N513" s="216"/>
      <c r="O513" s="216"/>
      <c r="P513" s="216"/>
      <c r="Q513" s="216"/>
      <c r="R513" s="216"/>
      <c r="S513" s="216"/>
      <c r="T513" s="216"/>
      <c r="U513" s="216"/>
      <c r="V513" s="216"/>
      <c r="W513" s="216"/>
      <c r="X513" s="216"/>
      <c r="Y513" s="216"/>
      <c r="Z513" s="216"/>
      <c r="AA513" s="216"/>
      <c r="AB513" s="216"/>
      <c r="AC513" s="216"/>
      <c r="AD513" s="344"/>
      <c r="AE513" s="344"/>
      <c r="AF513" s="344"/>
      <c r="AG513" s="344"/>
    </row>
    <row r="514">
      <c r="A514" s="445"/>
      <c r="B514" s="442"/>
      <c r="C514" s="443">
        <v>2024.0</v>
      </c>
      <c r="D514" s="446" t="s">
        <v>1026</v>
      </c>
      <c r="E514" s="442"/>
      <c r="F514" s="440"/>
      <c r="G514" s="216"/>
      <c r="H514" s="216"/>
      <c r="I514" s="216"/>
      <c r="J514" s="216"/>
      <c r="K514" s="216"/>
      <c r="L514" s="216"/>
      <c r="M514" s="216"/>
      <c r="N514" s="216"/>
      <c r="O514" s="216"/>
      <c r="P514" s="216"/>
      <c r="Q514" s="216"/>
      <c r="R514" s="216"/>
      <c r="S514" s="216"/>
      <c r="T514" s="216"/>
      <c r="U514" s="216"/>
      <c r="V514" s="216"/>
      <c r="W514" s="216"/>
      <c r="X514" s="216"/>
      <c r="Y514" s="216"/>
      <c r="Z514" s="216"/>
      <c r="AA514" s="216"/>
      <c r="AB514" s="216"/>
      <c r="AC514" s="216"/>
      <c r="AD514" s="344"/>
      <c r="AE514" s="344"/>
      <c r="AF514" s="344"/>
      <c r="AG514" s="344"/>
    </row>
    <row r="515">
      <c r="A515" s="450">
        <v>36.0</v>
      </c>
      <c r="B515" s="442" t="s">
        <v>571</v>
      </c>
      <c r="C515" s="443">
        <v>2022.0</v>
      </c>
      <c r="D515" s="442" t="s">
        <v>1034</v>
      </c>
      <c r="E515" s="442"/>
      <c r="F515" s="440"/>
      <c r="G515" s="216"/>
      <c r="H515" s="216"/>
      <c r="I515" s="216"/>
      <c r="J515" s="216"/>
      <c r="K515" s="216"/>
      <c r="L515" s="216"/>
      <c r="M515" s="216"/>
      <c r="N515" s="216"/>
      <c r="O515" s="216"/>
      <c r="P515" s="216"/>
      <c r="Q515" s="216"/>
      <c r="R515" s="216"/>
      <c r="S515" s="216"/>
      <c r="T515" s="216"/>
      <c r="U515" s="216"/>
      <c r="V515" s="216"/>
      <c r="W515" s="216"/>
      <c r="X515" s="216"/>
      <c r="Y515" s="216"/>
      <c r="Z515" s="216"/>
      <c r="AA515" s="216"/>
      <c r="AB515" s="216"/>
      <c r="AC515" s="216"/>
      <c r="AD515" s="344"/>
      <c r="AE515" s="344"/>
      <c r="AF515" s="344"/>
      <c r="AG515" s="344"/>
    </row>
    <row r="516">
      <c r="A516" s="445"/>
      <c r="B516" s="442"/>
      <c r="C516" s="443">
        <v>2022.0</v>
      </c>
      <c r="D516" s="444" t="s">
        <v>1035</v>
      </c>
      <c r="E516" s="442"/>
      <c r="F516" s="440"/>
      <c r="G516" s="216"/>
      <c r="H516" s="216"/>
      <c r="I516" s="216"/>
      <c r="J516" s="216"/>
      <c r="K516" s="216"/>
      <c r="L516" s="216"/>
      <c r="M516" s="216"/>
      <c r="N516" s="216"/>
      <c r="O516" s="216"/>
      <c r="P516" s="216"/>
      <c r="Q516" s="216"/>
      <c r="R516" s="216"/>
      <c r="S516" s="216"/>
      <c r="T516" s="216"/>
      <c r="U516" s="216"/>
      <c r="V516" s="216"/>
      <c r="W516" s="216"/>
      <c r="X516" s="216"/>
      <c r="Y516" s="216"/>
      <c r="Z516" s="216"/>
      <c r="AA516" s="216"/>
      <c r="AB516" s="216"/>
      <c r="AC516" s="216"/>
      <c r="AD516" s="344"/>
      <c r="AE516" s="344"/>
      <c r="AF516" s="344"/>
      <c r="AG516" s="344"/>
    </row>
    <row r="517">
      <c r="A517" s="445"/>
      <c r="B517" s="442"/>
      <c r="C517" s="443">
        <v>2023.0</v>
      </c>
      <c r="D517" s="444" t="s">
        <v>1036</v>
      </c>
      <c r="E517" s="444"/>
      <c r="F517" s="440"/>
      <c r="G517" s="216"/>
      <c r="H517" s="216"/>
      <c r="I517" s="216"/>
      <c r="J517" s="216"/>
      <c r="K517" s="216"/>
      <c r="L517" s="216"/>
      <c r="M517" s="216"/>
      <c r="N517" s="216"/>
      <c r="O517" s="216"/>
      <c r="P517" s="216"/>
      <c r="Q517" s="216"/>
      <c r="R517" s="216"/>
      <c r="S517" s="216"/>
      <c r="T517" s="216"/>
      <c r="U517" s="216"/>
      <c r="V517" s="216"/>
      <c r="W517" s="216"/>
      <c r="X517" s="216"/>
      <c r="Y517" s="216"/>
      <c r="Z517" s="216"/>
      <c r="AA517" s="216"/>
      <c r="AB517" s="216"/>
      <c r="AC517" s="216"/>
      <c r="AD517" s="344"/>
      <c r="AE517" s="344"/>
      <c r="AF517" s="344"/>
      <c r="AG517" s="344"/>
    </row>
    <row r="518">
      <c r="A518" s="445"/>
      <c r="B518" s="442"/>
      <c r="C518" s="443">
        <v>2024.0</v>
      </c>
      <c r="D518" s="444" t="s">
        <v>972</v>
      </c>
      <c r="E518" s="444"/>
      <c r="F518" s="440"/>
      <c r="G518" s="216"/>
      <c r="H518" s="216"/>
      <c r="I518" s="216"/>
      <c r="J518" s="216"/>
      <c r="K518" s="216"/>
      <c r="L518" s="216"/>
      <c r="M518" s="216"/>
      <c r="N518" s="216"/>
      <c r="O518" s="216"/>
      <c r="P518" s="216"/>
      <c r="Q518" s="216"/>
      <c r="R518" s="216"/>
      <c r="S518" s="216"/>
      <c r="T518" s="216"/>
      <c r="U518" s="216"/>
      <c r="V518" s="216"/>
      <c r="W518" s="216"/>
      <c r="X518" s="216"/>
      <c r="Y518" s="216"/>
      <c r="Z518" s="216"/>
      <c r="AA518" s="216"/>
      <c r="AB518" s="216"/>
      <c r="AC518" s="216"/>
      <c r="AD518" s="344"/>
      <c r="AE518" s="344"/>
      <c r="AF518" s="344"/>
      <c r="AG518" s="344"/>
    </row>
    <row r="519">
      <c r="A519" s="450">
        <v>37.0</v>
      </c>
      <c r="B519" s="442" t="s">
        <v>775</v>
      </c>
      <c r="C519" s="443">
        <v>2022.0</v>
      </c>
      <c r="D519" s="442" t="s">
        <v>1027</v>
      </c>
      <c r="E519" s="442" t="s">
        <v>933</v>
      </c>
      <c r="F519" s="440"/>
      <c r="G519" s="216"/>
      <c r="H519" s="216"/>
      <c r="I519" s="216"/>
      <c r="J519" s="216"/>
      <c r="K519" s="216"/>
      <c r="L519" s="216"/>
      <c r="M519" s="216"/>
      <c r="N519" s="216"/>
      <c r="O519" s="216"/>
      <c r="P519" s="216"/>
      <c r="Q519" s="216"/>
      <c r="R519" s="216"/>
      <c r="S519" s="216"/>
      <c r="T519" s="216"/>
      <c r="U519" s="216"/>
      <c r="V519" s="216"/>
      <c r="W519" s="216"/>
      <c r="X519" s="216"/>
      <c r="Y519" s="216"/>
      <c r="Z519" s="216"/>
      <c r="AA519" s="216"/>
      <c r="AB519" s="216"/>
      <c r="AC519" s="216"/>
      <c r="AD519" s="344"/>
      <c r="AE519" s="344"/>
      <c r="AF519" s="344"/>
      <c r="AG519" s="344"/>
    </row>
    <row r="520">
      <c r="A520" s="445"/>
      <c r="B520" s="442"/>
      <c r="C520" s="443">
        <v>2023.0</v>
      </c>
      <c r="D520" s="444" t="s">
        <v>1002</v>
      </c>
      <c r="E520" s="442"/>
      <c r="F520" s="440"/>
      <c r="G520" s="216"/>
      <c r="H520" s="216"/>
      <c r="I520" s="216"/>
      <c r="J520" s="216"/>
      <c r="K520" s="216"/>
      <c r="L520" s="216"/>
      <c r="M520" s="216"/>
      <c r="N520" s="216"/>
      <c r="O520" s="216"/>
      <c r="P520" s="216"/>
      <c r="Q520" s="216"/>
      <c r="R520" s="216"/>
      <c r="S520" s="216"/>
      <c r="T520" s="216"/>
      <c r="U520" s="216"/>
      <c r="V520" s="216"/>
      <c r="W520" s="216"/>
      <c r="X520" s="216"/>
      <c r="Y520" s="216"/>
      <c r="Z520" s="216"/>
      <c r="AA520" s="216"/>
      <c r="AB520" s="216"/>
      <c r="AC520" s="216"/>
      <c r="AD520" s="344"/>
      <c r="AE520" s="344"/>
      <c r="AF520" s="344"/>
      <c r="AG520" s="344"/>
    </row>
    <row r="521">
      <c r="A521" s="450">
        <v>38.0</v>
      </c>
      <c r="B521" s="442" t="s">
        <v>777</v>
      </c>
      <c r="C521" s="443">
        <v>2022.0</v>
      </c>
      <c r="D521" s="444" t="s">
        <v>1037</v>
      </c>
      <c r="E521" s="442"/>
      <c r="F521" s="440"/>
      <c r="G521" s="216"/>
      <c r="H521" s="216"/>
      <c r="I521" s="216"/>
      <c r="J521" s="216"/>
      <c r="K521" s="216"/>
      <c r="L521" s="216"/>
      <c r="M521" s="216"/>
      <c r="N521" s="216"/>
      <c r="O521" s="216"/>
      <c r="P521" s="216"/>
      <c r="Q521" s="216"/>
      <c r="R521" s="216"/>
      <c r="S521" s="216"/>
      <c r="T521" s="216"/>
      <c r="U521" s="216"/>
      <c r="V521" s="216"/>
      <c r="W521" s="216"/>
      <c r="X521" s="216"/>
      <c r="Y521" s="216"/>
      <c r="Z521" s="216"/>
      <c r="AA521" s="216"/>
      <c r="AB521" s="216"/>
      <c r="AC521" s="216"/>
      <c r="AD521" s="344"/>
      <c r="AE521" s="344"/>
      <c r="AF521" s="344"/>
      <c r="AG521" s="344"/>
    </row>
    <row r="522">
      <c r="A522" s="445"/>
      <c r="B522" s="442"/>
      <c r="C522" s="443">
        <v>2022.0</v>
      </c>
      <c r="D522" s="444" t="s">
        <v>1038</v>
      </c>
      <c r="E522" s="444"/>
      <c r="F522" s="440"/>
      <c r="G522" s="216"/>
      <c r="H522" s="216"/>
      <c r="I522" s="216"/>
      <c r="J522" s="216"/>
      <c r="K522" s="216"/>
      <c r="L522" s="216"/>
      <c r="M522" s="216"/>
      <c r="N522" s="216"/>
      <c r="O522" s="216"/>
      <c r="P522" s="216"/>
      <c r="Q522" s="216"/>
      <c r="R522" s="216"/>
      <c r="S522" s="216"/>
      <c r="T522" s="216"/>
      <c r="U522" s="216"/>
      <c r="V522" s="216"/>
      <c r="W522" s="216"/>
      <c r="X522" s="216"/>
      <c r="Y522" s="216"/>
      <c r="Z522" s="216"/>
      <c r="AA522" s="216"/>
      <c r="AB522" s="216"/>
      <c r="AC522" s="216"/>
      <c r="AD522" s="344"/>
      <c r="AE522" s="344"/>
      <c r="AF522" s="344"/>
      <c r="AG522" s="344"/>
    </row>
    <row r="523">
      <c r="A523" s="445"/>
      <c r="B523" s="442"/>
      <c r="C523" s="443">
        <v>2023.0</v>
      </c>
      <c r="D523" s="444" t="s">
        <v>1039</v>
      </c>
      <c r="E523" s="444"/>
      <c r="F523" s="440"/>
      <c r="G523" s="216"/>
      <c r="H523" s="216"/>
      <c r="I523" s="216"/>
      <c r="J523" s="216"/>
      <c r="K523" s="216"/>
      <c r="L523" s="216"/>
      <c r="M523" s="216"/>
      <c r="N523" s="216"/>
      <c r="O523" s="216"/>
      <c r="P523" s="216"/>
      <c r="Q523" s="216"/>
      <c r="R523" s="216"/>
      <c r="S523" s="216"/>
      <c r="T523" s="216"/>
      <c r="U523" s="216"/>
      <c r="V523" s="216"/>
      <c r="W523" s="216"/>
      <c r="X523" s="216"/>
      <c r="Y523" s="216"/>
      <c r="Z523" s="216"/>
      <c r="AA523" s="216"/>
      <c r="AB523" s="216"/>
      <c r="AC523" s="216"/>
      <c r="AD523" s="344"/>
      <c r="AE523" s="344"/>
      <c r="AF523" s="344"/>
      <c r="AG523" s="344"/>
    </row>
    <row r="524">
      <c r="A524" s="445"/>
      <c r="B524" s="442"/>
      <c r="C524" s="443">
        <v>2023.0</v>
      </c>
      <c r="D524" s="444" t="s">
        <v>1040</v>
      </c>
      <c r="E524" s="444"/>
      <c r="F524" s="440"/>
      <c r="G524" s="216"/>
      <c r="H524" s="216"/>
      <c r="I524" s="216"/>
      <c r="J524" s="216"/>
      <c r="K524" s="216"/>
      <c r="L524" s="216"/>
      <c r="M524" s="216"/>
      <c r="N524" s="216"/>
      <c r="O524" s="216"/>
      <c r="P524" s="216"/>
      <c r="Q524" s="216"/>
      <c r="R524" s="216"/>
      <c r="S524" s="216"/>
      <c r="T524" s="216"/>
      <c r="U524" s="216"/>
      <c r="V524" s="216"/>
      <c r="W524" s="216"/>
      <c r="X524" s="216"/>
      <c r="Y524" s="216"/>
      <c r="Z524" s="216"/>
      <c r="AA524" s="216"/>
      <c r="AB524" s="216"/>
      <c r="AC524" s="216"/>
      <c r="AD524" s="344"/>
      <c r="AE524" s="344"/>
      <c r="AF524" s="344"/>
      <c r="AG524" s="344"/>
    </row>
    <row r="525">
      <c r="A525" s="450">
        <v>39.0</v>
      </c>
      <c r="B525" s="442" t="s">
        <v>574</v>
      </c>
      <c r="C525" s="443">
        <v>2022.0</v>
      </c>
      <c r="D525" s="442" t="s">
        <v>940</v>
      </c>
      <c r="E525" s="442" t="s">
        <v>929</v>
      </c>
      <c r="F525" s="440"/>
      <c r="G525" s="216"/>
      <c r="H525" s="216"/>
      <c r="I525" s="216"/>
      <c r="J525" s="216"/>
      <c r="K525" s="216"/>
      <c r="L525" s="216"/>
      <c r="M525" s="216"/>
      <c r="N525" s="216"/>
      <c r="O525" s="216"/>
      <c r="P525" s="216"/>
      <c r="Q525" s="216"/>
      <c r="R525" s="216"/>
      <c r="S525" s="216"/>
      <c r="T525" s="216"/>
      <c r="U525" s="216"/>
      <c r="V525" s="216"/>
      <c r="W525" s="216"/>
      <c r="X525" s="216"/>
      <c r="Y525" s="216"/>
      <c r="Z525" s="216"/>
      <c r="AA525" s="216"/>
      <c r="AB525" s="216"/>
      <c r="AC525" s="216"/>
      <c r="AD525" s="344"/>
      <c r="AE525" s="344"/>
      <c r="AF525" s="344"/>
      <c r="AG525" s="344"/>
    </row>
    <row r="526">
      <c r="A526" s="445"/>
      <c r="B526" s="442"/>
      <c r="C526" s="443">
        <v>2023.0</v>
      </c>
      <c r="D526" s="444" t="s">
        <v>943</v>
      </c>
      <c r="E526" s="444"/>
      <c r="F526" s="440"/>
      <c r="G526" s="216"/>
      <c r="H526" s="216"/>
      <c r="I526" s="216"/>
      <c r="J526" s="216"/>
      <c r="K526" s="216"/>
      <c r="L526" s="216"/>
      <c r="M526" s="216"/>
      <c r="N526" s="216"/>
      <c r="O526" s="216"/>
      <c r="P526" s="216"/>
      <c r="Q526" s="216"/>
      <c r="R526" s="216"/>
      <c r="S526" s="216"/>
      <c r="T526" s="216"/>
      <c r="U526" s="216"/>
      <c r="V526" s="216"/>
      <c r="W526" s="216"/>
      <c r="X526" s="216"/>
      <c r="Y526" s="216"/>
      <c r="Z526" s="216"/>
      <c r="AA526" s="216"/>
      <c r="AB526" s="216"/>
      <c r="AC526" s="216"/>
      <c r="AD526" s="344"/>
      <c r="AE526" s="344"/>
      <c r="AF526" s="344"/>
      <c r="AG526" s="344"/>
    </row>
    <row r="527">
      <c r="A527" s="445"/>
      <c r="B527" s="442"/>
      <c r="C527" s="443">
        <v>2024.0</v>
      </c>
      <c r="D527" s="444" t="s">
        <v>948</v>
      </c>
      <c r="E527" s="444"/>
      <c r="F527" s="440"/>
      <c r="G527" s="216"/>
      <c r="H527" s="216"/>
      <c r="I527" s="216"/>
      <c r="J527" s="216"/>
      <c r="K527" s="216"/>
      <c r="L527" s="216"/>
      <c r="M527" s="216"/>
      <c r="N527" s="216"/>
      <c r="O527" s="216"/>
      <c r="P527" s="216"/>
      <c r="Q527" s="216"/>
      <c r="R527" s="216"/>
      <c r="S527" s="216"/>
      <c r="T527" s="216"/>
      <c r="U527" s="216"/>
      <c r="V527" s="216"/>
      <c r="W527" s="216"/>
      <c r="X527" s="216"/>
      <c r="Y527" s="216"/>
      <c r="Z527" s="216"/>
      <c r="AA527" s="216"/>
      <c r="AB527" s="216"/>
      <c r="AC527" s="216"/>
      <c r="AD527" s="344"/>
      <c r="AE527" s="344"/>
      <c r="AF527" s="344"/>
      <c r="AG527" s="344"/>
    </row>
    <row r="528">
      <c r="A528" s="445"/>
      <c r="B528" s="442"/>
      <c r="C528" s="443">
        <v>2024.0</v>
      </c>
      <c r="D528" s="444" t="s">
        <v>969</v>
      </c>
      <c r="E528" s="444"/>
      <c r="F528" s="440"/>
      <c r="G528" s="216"/>
      <c r="H528" s="216"/>
      <c r="I528" s="216"/>
      <c r="J528" s="216"/>
      <c r="K528" s="216"/>
      <c r="L528" s="216"/>
      <c r="M528" s="216"/>
      <c r="N528" s="216"/>
      <c r="O528" s="216"/>
      <c r="P528" s="216"/>
      <c r="Q528" s="216"/>
      <c r="R528" s="216"/>
      <c r="S528" s="216"/>
      <c r="T528" s="216"/>
      <c r="U528" s="216"/>
      <c r="V528" s="216"/>
      <c r="W528" s="216"/>
      <c r="X528" s="216"/>
      <c r="Y528" s="216"/>
      <c r="Z528" s="216"/>
      <c r="AA528" s="216"/>
      <c r="AB528" s="216"/>
      <c r="AC528" s="216"/>
      <c r="AD528" s="344"/>
      <c r="AE528" s="344"/>
      <c r="AF528" s="344"/>
      <c r="AG528" s="344"/>
    </row>
    <row r="529">
      <c r="A529" s="450">
        <v>40.0</v>
      </c>
      <c r="B529" s="442" t="s">
        <v>780</v>
      </c>
      <c r="C529" s="443">
        <v>2022.0</v>
      </c>
      <c r="D529" s="444" t="s">
        <v>1001</v>
      </c>
      <c r="E529" s="444"/>
      <c r="F529" s="440"/>
      <c r="G529" s="216"/>
      <c r="H529" s="216"/>
      <c r="I529" s="216"/>
      <c r="J529" s="216"/>
      <c r="K529" s="216"/>
      <c r="L529" s="216"/>
      <c r="M529" s="216"/>
      <c r="N529" s="216"/>
      <c r="O529" s="216"/>
      <c r="P529" s="216"/>
      <c r="Q529" s="216"/>
      <c r="R529" s="216"/>
      <c r="S529" s="216"/>
      <c r="T529" s="216"/>
      <c r="U529" s="216"/>
      <c r="V529" s="216"/>
      <c r="W529" s="216"/>
      <c r="X529" s="216"/>
      <c r="Y529" s="216"/>
      <c r="Z529" s="216"/>
      <c r="AA529" s="216"/>
      <c r="AB529" s="216"/>
      <c r="AC529" s="216"/>
      <c r="AD529" s="344"/>
      <c r="AE529" s="344"/>
      <c r="AF529" s="344"/>
      <c r="AG529" s="344"/>
    </row>
    <row r="530">
      <c r="A530" s="445"/>
      <c r="B530" s="442"/>
      <c r="C530" s="443">
        <v>2023.0</v>
      </c>
      <c r="D530" s="444" t="s">
        <v>1009</v>
      </c>
      <c r="E530" s="444"/>
      <c r="F530" s="440"/>
      <c r="G530" s="216"/>
      <c r="H530" s="216"/>
      <c r="I530" s="216"/>
      <c r="J530" s="216"/>
      <c r="K530" s="216"/>
      <c r="L530" s="216"/>
      <c r="M530" s="216"/>
      <c r="N530" s="216"/>
      <c r="O530" s="216"/>
      <c r="P530" s="216"/>
      <c r="Q530" s="216"/>
      <c r="R530" s="216"/>
      <c r="S530" s="216"/>
      <c r="T530" s="216"/>
      <c r="U530" s="216"/>
      <c r="V530" s="216"/>
      <c r="W530" s="216"/>
      <c r="X530" s="216"/>
      <c r="Y530" s="216"/>
      <c r="Z530" s="216"/>
      <c r="AA530" s="216"/>
      <c r="AB530" s="216"/>
      <c r="AC530" s="216"/>
      <c r="AD530" s="344"/>
      <c r="AE530" s="344"/>
      <c r="AF530" s="344"/>
      <c r="AG530" s="344"/>
    </row>
    <row r="531">
      <c r="A531" s="450">
        <v>41.0</v>
      </c>
      <c r="B531" s="442" t="s">
        <v>781</v>
      </c>
      <c r="C531" s="443">
        <v>2022.0</v>
      </c>
      <c r="D531" s="444" t="s">
        <v>1041</v>
      </c>
      <c r="E531" s="444"/>
      <c r="F531" s="440"/>
      <c r="G531" s="216"/>
      <c r="H531" s="216"/>
      <c r="I531" s="216"/>
      <c r="J531" s="216"/>
      <c r="K531" s="216"/>
      <c r="L531" s="216"/>
      <c r="M531" s="216"/>
      <c r="N531" s="216"/>
      <c r="O531" s="216"/>
      <c r="P531" s="216"/>
      <c r="Q531" s="216"/>
      <c r="R531" s="216"/>
      <c r="S531" s="216"/>
      <c r="T531" s="216"/>
      <c r="U531" s="216"/>
      <c r="V531" s="216"/>
      <c r="W531" s="216"/>
      <c r="X531" s="216"/>
      <c r="Y531" s="216"/>
      <c r="Z531" s="216"/>
      <c r="AA531" s="216"/>
      <c r="AB531" s="216"/>
      <c r="AC531" s="216"/>
      <c r="AD531" s="344"/>
      <c r="AE531" s="344"/>
      <c r="AF531" s="344"/>
      <c r="AG531" s="344"/>
    </row>
    <row r="532">
      <c r="A532" s="445"/>
      <c r="B532" s="442"/>
      <c r="C532" s="443">
        <v>2022.0</v>
      </c>
      <c r="D532" s="444" t="s">
        <v>956</v>
      </c>
      <c r="E532" s="444"/>
      <c r="F532" s="440"/>
      <c r="G532" s="216"/>
      <c r="H532" s="216"/>
      <c r="I532" s="216"/>
      <c r="J532" s="216"/>
      <c r="K532" s="216"/>
      <c r="L532" s="216"/>
      <c r="M532" s="216"/>
      <c r="N532" s="216"/>
      <c r="O532" s="216"/>
      <c r="P532" s="216"/>
      <c r="Q532" s="216"/>
      <c r="R532" s="216"/>
      <c r="S532" s="216"/>
      <c r="T532" s="216"/>
      <c r="U532" s="216"/>
      <c r="V532" s="216"/>
      <c r="W532" s="216"/>
      <c r="X532" s="216"/>
      <c r="Y532" s="216"/>
      <c r="Z532" s="216"/>
      <c r="AA532" s="216"/>
      <c r="AB532" s="216"/>
      <c r="AC532" s="216"/>
      <c r="AD532" s="344"/>
      <c r="AE532" s="344"/>
      <c r="AF532" s="344"/>
      <c r="AG532" s="344"/>
    </row>
    <row r="533">
      <c r="A533" s="445"/>
      <c r="B533" s="442"/>
      <c r="C533" s="443">
        <v>2023.0</v>
      </c>
      <c r="D533" s="444" t="s">
        <v>974</v>
      </c>
      <c r="E533" s="444"/>
      <c r="F533" s="440"/>
      <c r="G533" s="216"/>
      <c r="H533" s="216"/>
      <c r="I533" s="216"/>
      <c r="J533" s="216"/>
      <c r="K533" s="216"/>
      <c r="L533" s="216"/>
      <c r="M533" s="216"/>
      <c r="N533" s="216"/>
      <c r="O533" s="216"/>
      <c r="P533" s="216"/>
      <c r="Q533" s="216"/>
      <c r="R533" s="216"/>
      <c r="S533" s="216"/>
      <c r="T533" s="216"/>
      <c r="U533" s="216"/>
      <c r="V533" s="216"/>
      <c r="W533" s="216"/>
      <c r="X533" s="216"/>
      <c r="Y533" s="216"/>
      <c r="Z533" s="216"/>
      <c r="AA533" s="216"/>
      <c r="AB533" s="216"/>
      <c r="AC533" s="216"/>
      <c r="AD533" s="344"/>
      <c r="AE533" s="344"/>
      <c r="AF533" s="344"/>
      <c r="AG533" s="344"/>
    </row>
    <row r="534">
      <c r="A534" s="445"/>
      <c r="B534" s="442"/>
      <c r="C534" s="443">
        <v>2023.0</v>
      </c>
      <c r="D534" s="442" t="s">
        <v>1042</v>
      </c>
      <c r="E534" s="442"/>
      <c r="F534" s="440"/>
      <c r="G534" s="216"/>
      <c r="H534" s="216"/>
      <c r="I534" s="216"/>
      <c r="J534" s="216"/>
      <c r="K534" s="216"/>
      <c r="L534" s="216"/>
      <c r="M534" s="216"/>
      <c r="N534" s="216"/>
      <c r="O534" s="216"/>
      <c r="P534" s="216"/>
      <c r="Q534" s="216"/>
      <c r="R534" s="216"/>
      <c r="S534" s="216"/>
      <c r="T534" s="216"/>
      <c r="U534" s="216"/>
      <c r="V534" s="216"/>
      <c r="W534" s="216"/>
      <c r="X534" s="216"/>
      <c r="Y534" s="216"/>
      <c r="Z534" s="216"/>
      <c r="AA534" s="216"/>
      <c r="AB534" s="216"/>
      <c r="AC534" s="216"/>
      <c r="AD534" s="344"/>
      <c r="AE534" s="344"/>
      <c r="AF534" s="344"/>
      <c r="AG534" s="344"/>
    </row>
    <row r="535">
      <c r="A535" s="445"/>
      <c r="B535" s="442"/>
      <c r="C535" s="443">
        <v>2023.0</v>
      </c>
      <c r="D535" s="444" t="s">
        <v>959</v>
      </c>
      <c r="E535" s="444"/>
      <c r="F535" s="440"/>
      <c r="G535" s="216"/>
      <c r="H535" s="216"/>
      <c r="I535" s="216"/>
      <c r="J535" s="216"/>
      <c r="K535" s="216"/>
      <c r="L535" s="216"/>
      <c r="M535" s="216"/>
      <c r="N535" s="216"/>
      <c r="O535" s="216"/>
      <c r="P535" s="216"/>
      <c r="Q535" s="216"/>
      <c r="R535" s="216"/>
      <c r="S535" s="216"/>
      <c r="T535" s="216"/>
      <c r="U535" s="216"/>
      <c r="V535" s="216"/>
      <c r="W535" s="216"/>
      <c r="X535" s="216"/>
      <c r="Y535" s="216"/>
      <c r="Z535" s="216"/>
      <c r="AA535" s="216"/>
      <c r="AB535" s="216"/>
      <c r="AC535" s="216"/>
      <c r="AD535" s="344"/>
      <c r="AE535" s="344"/>
      <c r="AF535" s="344"/>
      <c r="AG535" s="344"/>
    </row>
    <row r="536">
      <c r="A536" s="445"/>
      <c r="B536" s="442"/>
      <c r="C536" s="443">
        <v>2024.0</v>
      </c>
      <c r="D536" s="446" t="s">
        <v>936</v>
      </c>
      <c r="E536" s="442"/>
      <c r="F536" s="440"/>
      <c r="G536" s="216"/>
      <c r="H536" s="216"/>
      <c r="I536" s="216"/>
      <c r="J536" s="216"/>
      <c r="K536" s="216"/>
      <c r="L536" s="216"/>
      <c r="M536" s="216"/>
      <c r="N536" s="216"/>
      <c r="O536" s="216"/>
      <c r="P536" s="216"/>
      <c r="Q536" s="216"/>
      <c r="R536" s="216"/>
      <c r="S536" s="216"/>
      <c r="T536" s="216"/>
      <c r="U536" s="216"/>
      <c r="V536" s="216"/>
      <c r="W536" s="216"/>
      <c r="X536" s="216"/>
      <c r="Y536" s="216"/>
      <c r="Z536" s="216"/>
      <c r="AA536" s="216"/>
      <c r="AB536" s="216"/>
      <c r="AC536" s="216"/>
      <c r="AD536" s="344"/>
      <c r="AE536" s="344"/>
      <c r="AF536" s="344"/>
      <c r="AG536" s="344"/>
    </row>
    <row r="537">
      <c r="A537" s="445"/>
      <c r="B537" s="442"/>
      <c r="C537" s="443">
        <v>2024.0</v>
      </c>
      <c r="D537" s="444" t="s">
        <v>987</v>
      </c>
      <c r="E537" s="444"/>
      <c r="F537" s="440"/>
      <c r="G537" s="216"/>
      <c r="H537" s="216"/>
      <c r="I537" s="216"/>
      <c r="J537" s="216"/>
      <c r="K537" s="216"/>
      <c r="L537" s="216"/>
      <c r="M537" s="216"/>
      <c r="N537" s="216"/>
      <c r="O537" s="216"/>
      <c r="P537" s="216"/>
      <c r="Q537" s="216"/>
      <c r="R537" s="216"/>
      <c r="S537" s="216"/>
      <c r="T537" s="216"/>
      <c r="U537" s="216"/>
      <c r="V537" s="216"/>
      <c r="W537" s="216"/>
      <c r="X537" s="216"/>
      <c r="Y537" s="216"/>
      <c r="Z537" s="216"/>
      <c r="AA537" s="216"/>
      <c r="AB537" s="216"/>
      <c r="AC537" s="216"/>
      <c r="AD537" s="344"/>
      <c r="AE537" s="344"/>
      <c r="AF537" s="344"/>
      <c r="AG537" s="344"/>
    </row>
    <row r="538">
      <c r="A538" s="450">
        <v>42.0</v>
      </c>
      <c r="B538" s="442" t="s">
        <v>783</v>
      </c>
      <c r="C538" s="442"/>
      <c r="D538" s="442"/>
      <c r="E538" s="442"/>
      <c r="F538" s="440"/>
      <c r="G538" s="216"/>
      <c r="H538" s="216"/>
      <c r="I538" s="216"/>
      <c r="J538" s="216"/>
      <c r="K538" s="216"/>
      <c r="L538" s="216"/>
      <c r="M538" s="216"/>
      <c r="N538" s="216"/>
      <c r="O538" s="216"/>
      <c r="P538" s="216"/>
      <c r="Q538" s="216"/>
      <c r="R538" s="216"/>
      <c r="S538" s="216"/>
      <c r="T538" s="216"/>
      <c r="U538" s="216"/>
      <c r="V538" s="216"/>
      <c r="W538" s="216"/>
      <c r="X538" s="216"/>
      <c r="Y538" s="216"/>
      <c r="Z538" s="216"/>
      <c r="AA538" s="216"/>
      <c r="AB538" s="216"/>
      <c r="AC538" s="216"/>
      <c r="AD538" s="344"/>
      <c r="AE538" s="344"/>
      <c r="AF538" s="344"/>
      <c r="AG538" s="344"/>
    </row>
    <row r="539">
      <c r="A539" s="450">
        <v>43.0</v>
      </c>
      <c r="B539" s="442" t="s">
        <v>784</v>
      </c>
      <c r="C539" s="442"/>
      <c r="D539" s="442"/>
      <c r="E539" s="442"/>
      <c r="F539" s="440"/>
      <c r="G539" s="216"/>
      <c r="H539" s="216"/>
      <c r="I539" s="216"/>
      <c r="J539" s="216"/>
      <c r="K539" s="216"/>
      <c r="L539" s="216"/>
      <c r="M539" s="216"/>
      <c r="N539" s="216"/>
      <c r="O539" s="216"/>
      <c r="P539" s="216"/>
      <c r="Q539" s="216"/>
      <c r="R539" s="216"/>
      <c r="S539" s="216"/>
      <c r="T539" s="216"/>
      <c r="U539" s="216"/>
      <c r="V539" s="216"/>
      <c r="W539" s="216"/>
      <c r="X539" s="216"/>
      <c r="Y539" s="216"/>
      <c r="Z539" s="216"/>
      <c r="AA539" s="216"/>
      <c r="AB539" s="216"/>
      <c r="AC539" s="216"/>
      <c r="AD539" s="344"/>
      <c r="AE539" s="344"/>
      <c r="AF539" s="344"/>
      <c r="AG539" s="344"/>
    </row>
    <row r="540">
      <c r="A540" s="450">
        <v>44.0</v>
      </c>
      <c r="B540" s="442" t="s">
        <v>585</v>
      </c>
      <c r="C540" s="443">
        <v>2022.0</v>
      </c>
      <c r="D540" s="442" t="s">
        <v>950</v>
      </c>
      <c r="E540" s="442" t="s">
        <v>929</v>
      </c>
      <c r="F540" s="440"/>
      <c r="G540" s="216"/>
      <c r="H540" s="216"/>
      <c r="I540" s="216"/>
      <c r="J540" s="216"/>
      <c r="K540" s="216"/>
      <c r="L540" s="216"/>
      <c r="M540" s="216"/>
      <c r="N540" s="216"/>
      <c r="O540" s="216"/>
      <c r="P540" s="216"/>
      <c r="Q540" s="216"/>
      <c r="R540" s="216"/>
      <c r="S540" s="216"/>
      <c r="T540" s="216"/>
      <c r="U540" s="216"/>
      <c r="V540" s="216"/>
      <c r="W540" s="216"/>
      <c r="X540" s="216"/>
      <c r="Y540" s="216"/>
      <c r="Z540" s="216"/>
      <c r="AA540" s="216"/>
      <c r="AB540" s="216"/>
      <c r="AC540" s="216"/>
      <c r="AD540" s="344"/>
      <c r="AE540" s="344"/>
      <c r="AF540" s="344"/>
      <c r="AG540" s="344"/>
    </row>
    <row r="541">
      <c r="A541" s="445"/>
      <c r="B541" s="442"/>
      <c r="C541" s="443">
        <v>2023.0</v>
      </c>
      <c r="D541" s="442" t="s">
        <v>1043</v>
      </c>
      <c r="E541" s="442" t="s">
        <v>929</v>
      </c>
      <c r="F541" s="440"/>
      <c r="G541" s="216"/>
      <c r="H541" s="216"/>
      <c r="I541" s="216"/>
      <c r="J541" s="216"/>
      <c r="K541" s="216"/>
      <c r="L541" s="216"/>
      <c r="M541" s="216"/>
      <c r="N541" s="216"/>
      <c r="O541" s="216"/>
      <c r="P541" s="216"/>
      <c r="Q541" s="216"/>
      <c r="R541" s="216"/>
      <c r="S541" s="216"/>
      <c r="T541" s="216"/>
      <c r="U541" s="216"/>
      <c r="V541" s="216"/>
      <c r="W541" s="216"/>
      <c r="X541" s="216"/>
      <c r="Y541" s="216"/>
      <c r="Z541" s="216"/>
      <c r="AA541" s="216"/>
      <c r="AB541" s="216"/>
      <c r="AC541" s="216"/>
      <c r="AD541" s="344"/>
      <c r="AE541" s="344"/>
      <c r="AF541" s="344"/>
      <c r="AG541" s="344"/>
    </row>
    <row r="542">
      <c r="A542" s="445"/>
      <c r="B542" s="442"/>
      <c r="C542" s="443">
        <v>2023.0</v>
      </c>
      <c r="D542" s="442" t="s">
        <v>951</v>
      </c>
      <c r="E542" s="442" t="s">
        <v>929</v>
      </c>
      <c r="F542" s="440"/>
      <c r="G542" s="216"/>
      <c r="H542" s="216"/>
      <c r="I542" s="216"/>
      <c r="J542" s="216"/>
      <c r="K542" s="216"/>
      <c r="L542" s="216"/>
      <c r="M542" s="216"/>
      <c r="N542" s="216"/>
      <c r="O542" s="216"/>
      <c r="P542" s="216"/>
      <c r="Q542" s="216"/>
      <c r="R542" s="216"/>
      <c r="S542" s="216"/>
      <c r="T542" s="216"/>
      <c r="U542" s="216"/>
      <c r="V542" s="216"/>
      <c r="W542" s="216"/>
      <c r="X542" s="216"/>
      <c r="Y542" s="216"/>
      <c r="Z542" s="216"/>
      <c r="AA542" s="216"/>
      <c r="AB542" s="216"/>
      <c r="AC542" s="216"/>
      <c r="AD542" s="344"/>
      <c r="AE542" s="344"/>
      <c r="AF542" s="344"/>
      <c r="AG542" s="344"/>
    </row>
    <row r="543">
      <c r="A543" s="445"/>
      <c r="B543" s="442"/>
      <c r="C543" s="443">
        <v>2023.0</v>
      </c>
      <c r="D543" s="442" t="s">
        <v>977</v>
      </c>
      <c r="E543" s="442" t="s">
        <v>929</v>
      </c>
      <c r="F543" s="440"/>
      <c r="G543" s="216"/>
      <c r="H543" s="216"/>
      <c r="I543" s="216"/>
      <c r="J543" s="216"/>
      <c r="K543" s="216"/>
      <c r="L543" s="216"/>
      <c r="M543" s="216"/>
      <c r="N543" s="216"/>
      <c r="O543" s="216"/>
      <c r="P543" s="216"/>
      <c r="Q543" s="216"/>
      <c r="R543" s="216"/>
      <c r="S543" s="216"/>
      <c r="T543" s="216"/>
      <c r="U543" s="216"/>
      <c r="V543" s="216"/>
      <c r="W543" s="216"/>
      <c r="X543" s="216"/>
      <c r="Y543" s="216"/>
      <c r="Z543" s="216"/>
      <c r="AA543" s="216"/>
      <c r="AB543" s="216"/>
      <c r="AC543" s="216"/>
      <c r="AD543" s="344"/>
      <c r="AE543" s="344"/>
      <c r="AF543" s="344"/>
      <c r="AG543" s="344"/>
    </row>
    <row r="544">
      <c r="A544" s="445"/>
      <c r="B544" s="442"/>
      <c r="C544" s="443">
        <v>2024.0</v>
      </c>
      <c r="D544" s="444" t="s">
        <v>953</v>
      </c>
      <c r="E544" s="444"/>
      <c r="F544" s="440"/>
      <c r="G544" s="216"/>
      <c r="H544" s="216"/>
      <c r="I544" s="216"/>
      <c r="J544" s="216"/>
      <c r="K544" s="216"/>
      <c r="L544" s="216"/>
      <c r="M544" s="216"/>
      <c r="N544" s="216"/>
      <c r="O544" s="216"/>
      <c r="P544" s="216"/>
      <c r="Q544" s="216"/>
      <c r="R544" s="216"/>
      <c r="S544" s="216"/>
      <c r="T544" s="216"/>
      <c r="U544" s="216"/>
      <c r="V544" s="216"/>
      <c r="W544" s="216"/>
      <c r="X544" s="216"/>
      <c r="Y544" s="216"/>
      <c r="Z544" s="216"/>
      <c r="AA544" s="216"/>
      <c r="AB544" s="216"/>
      <c r="AC544" s="216"/>
      <c r="AD544" s="344"/>
      <c r="AE544" s="344"/>
      <c r="AF544" s="344"/>
      <c r="AG544" s="344"/>
    </row>
    <row r="545">
      <c r="A545" s="445"/>
      <c r="B545" s="442"/>
      <c r="C545" s="443">
        <v>2024.0</v>
      </c>
      <c r="D545" s="444" t="s">
        <v>996</v>
      </c>
      <c r="E545" s="444"/>
      <c r="F545" s="440"/>
      <c r="G545" s="216"/>
      <c r="H545" s="216"/>
      <c r="I545" s="216"/>
      <c r="J545" s="216"/>
      <c r="K545" s="216"/>
      <c r="L545" s="216"/>
      <c r="M545" s="216"/>
      <c r="N545" s="216"/>
      <c r="O545" s="216"/>
      <c r="P545" s="216"/>
      <c r="Q545" s="216"/>
      <c r="R545" s="216"/>
      <c r="S545" s="216"/>
      <c r="T545" s="216"/>
      <c r="U545" s="216"/>
      <c r="V545" s="216"/>
      <c r="W545" s="216"/>
      <c r="X545" s="216"/>
      <c r="Y545" s="216"/>
      <c r="Z545" s="216"/>
      <c r="AA545" s="216"/>
      <c r="AB545" s="216"/>
      <c r="AC545" s="216"/>
      <c r="AD545" s="344"/>
      <c r="AE545" s="344"/>
      <c r="AF545" s="344"/>
      <c r="AG545" s="344"/>
    </row>
    <row r="546">
      <c r="A546" s="445"/>
      <c r="B546" s="442"/>
      <c r="C546" s="443">
        <v>2024.0</v>
      </c>
      <c r="D546" s="444" t="s">
        <v>952</v>
      </c>
      <c r="E546" s="444"/>
      <c r="F546" s="440"/>
      <c r="G546" s="216"/>
      <c r="H546" s="216"/>
      <c r="I546" s="216"/>
      <c r="J546" s="216"/>
      <c r="K546" s="216"/>
      <c r="L546" s="216"/>
      <c r="M546" s="216"/>
      <c r="N546" s="216"/>
      <c r="O546" s="216"/>
      <c r="P546" s="216"/>
      <c r="Q546" s="216"/>
      <c r="R546" s="216"/>
      <c r="S546" s="216"/>
      <c r="T546" s="216"/>
      <c r="U546" s="216"/>
      <c r="V546" s="216"/>
      <c r="W546" s="216"/>
      <c r="X546" s="216"/>
      <c r="Y546" s="216"/>
      <c r="Z546" s="216"/>
      <c r="AA546" s="216"/>
      <c r="AB546" s="216"/>
      <c r="AC546" s="216"/>
      <c r="AD546" s="344"/>
      <c r="AE546" s="344"/>
      <c r="AF546" s="344"/>
      <c r="AG546" s="344"/>
    </row>
    <row r="547">
      <c r="A547" s="445"/>
      <c r="B547" s="442"/>
      <c r="C547" s="443">
        <v>2024.0</v>
      </c>
      <c r="D547" s="444" t="s">
        <v>966</v>
      </c>
      <c r="E547" s="444"/>
      <c r="F547" s="440"/>
      <c r="G547" s="216"/>
      <c r="H547" s="216"/>
      <c r="I547" s="216"/>
      <c r="J547" s="216"/>
      <c r="K547" s="216"/>
      <c r="L547" s="216"/>
      <c r="M547" s="216"/>
      <c r="N547" s="216"/>
      <c r="O547" s="216"/>
      <c r="P547" s="216"/>
      <c r="Q547" s="216"/>
      <c r="R547" s="216"/>
      <c r="S547" s="216"/>
      <c r="T547" s="216"/>
      <c r="U547" s="216"/>
      <c r="V547" s="216"/>
      <c r="W547" s="216"/>
      <c r="X547" s="216"/>
      <c r="Y547" s="216"/>
      <c r="Z547" s="216"/>
      <c r="AA547" s="216"/>
      <c r="AB547" s="216"/>
      <c r="AC547" s="216"/>
      <c r="AD547" s="344"/>
      <c r="AE547" s="344"/>
      <c r="AF547" s="344"/>
      <c r="AG547" s="344"/>
    </row>
    <row r="548">
      <c r="A548" s="450">
        <v>45.0</v>
      </c>
      <c r="B548" s="442" t="s">
        <v>787</v>
      </c>
      <c r="C548" s="443">
        <v>2022.0</v>
      </c>
      <c r="D548" s="444" t="s">
        <v>1044</v>
      </c>
      <c r="E548" s="444"/>
      <c r="F548" s="440"/>
      <c r="G548" s="216"/>
      <c r="H548" s="216"/>
      <c r="I548" s="216"/>
      <c r="J548" s="216"/>
      <c r="K548" s="216"/>
      <c r="L548" s="216"/>
      <c r="M548" s="216"/>
      <c r="N548" s="216"/>
      <c r="O548" s="216"/>
      <c r="P548" s="216"/>
      <c r="Q548" s="216"/>
      <c r="R548" s="216"/>
      <c r="S548" s="216"/>
      <c r="T548" s="216"/>
      <c r="U548" s="216"/>
      <c r="V548" s="216"/>
      <c r="W548" s="216"/>
      <c r="X548" s="216"/>
      <c r="Y548" s="216"/>
      <c r="Z548" s="216"/>
      <c r="AA548" s="216"/>
      <c r="AB548" s="216"/>
      <c r="AC548" s="216"/>
      <c r="AD548" s="344"/>
      <c r="AE548" s="344"/>
      <c r="AF548" s="344"/>
      <c r="AG548" s="344"/>
    </row>
    <row r="549">
      <c r="A549" s="445"/>
      <c r="B549" s="442"/>
      <c r="C549" s="443">
        <v>2023.0</v>
      </c>
      <c r="D549" s="444" t="s">
        <v>1045</v>
      </c>
      <c r="E549" s="444"/>
      <c r="F549" s="440"/>
      <c r="G549" s="216"/>
      <c r="H549" s="216"/>
      <c r="I549" s="216"/>
      <c r="J549" s="216"/>
      <c r="K549" s="216"/>
      <c r="L549" s="216"/>
      <c r="M549" s="216"/>
      <c r="N549" s="216"/>
      <c r="O549" s="216"/>
      <c r="P549" s="216"/>
      <c r="Q549" s="216"/>
      <c r="R549" s="216"/>
      <c r="S549" s="216"/>
      <c r="T549" s="216"/>
      <c r="U549" s="216"/>
      <c r="V549" s="216"/>
      <c r="W549" s="216"/>
      <c r="X549" s="216"/>
      <c r="Y549" s="216"/>
      <c r="Z549" s="216"/>
      <c r="AA549" s="216"/>
      <c r="AB549" s="216"/>
      <c r="AC549" s="216"/>
      <c r="AD549" s="344"/>
      <c r="AE549" s="344"/>
      <c r="AF549" s="344"/>
      <c r="AG549" s="344"/>
    </row>
    <row r="550">
      <c r="A550" s="445"/>
      <c r="B550" s="442"/>
      <c r="C550" s="443">
        <v>2023.0</v>
      </c>
      <c r="D550" s="444" t="s">
        <v>997</v>
      </c>
      <c r="E550" s="444"/>
      <c r="F550" s="440"/>
      <c r="G550" s="216"/>
      <c r="H550" s="216"/>
      <c r="I550" s="216"/>
      <c r="J550" s="216"/>
      <c r="K550" s="216"/>
      <c r="L550" s="216"/>
      <c r="M550" s="216"/>
      <c r="N550" s="216"/>
      <c r="O550" s="216"/>
      <c r="P550" s="216"/>
      <c r="Q550" s="216"/>
      <c r="R550" s="216"/>
      <c r="S550" s="216"/>
      <c r="T550" s="216"/>
      <c r="U550" s="216"/>
      <c r="V550" s="216"/>
      <c r="W550" s="216"/>
      <c r="X550" s="216"/>
      <c r="Y550" s="216"/>
      <c r="Z550" s="216"/>
      <c r="AA550" s="216"/>
      <c r="AB550" s="216"/>
      <c r="AC550" s="216"/>
      <c r="AD550" s="344"/>
      <c r="AE550" s="344"/>
      <c r="AF550" s="344"/>
      <c r="AG550" s="344"/>
    </row>
    <row r="551">
      <c r="A551" s="445"/>
      <c r="B551" s="442"/>
      <c r="C551" s="443">
        <v>2024.0</v>
      </c>
      <c r="D551" s="444" t="s">
        <v>1046</v>
      </c>
      <c r="E551" s="444"/>
      <c r="F551" s="440"/>
      <c r="G551" s="216"/>
      <c r="H551" s="216"/>
      <c r="I551" s="216"/>
      <c r="J551" s="216"/>
      <c r="K551" s="216"/>
      <c r="L551" s="216"/>
      <c r="M551" s="216"/>
      <c r="N551" s="216"/>
      <c r="O551" s="216"/>
      <c r="P551" s="216"/>
      <c r="Q551" s="216"/>
      <c r="R551" s="216"/>
      <c r="S551" s="216"/>
      <c r="T551" s="216"/>
      <c r="U551" s="216"/>
      <c r="V551" s="216"/>
      <c r="W551" s="216"/>
      <c r="X551" s="216"/>
      <c r="Y551" s="216"/>
      <c r="Z551" s="216"/>
      <c r="AA551" s="216"/>
      <c r="AB551" s="216"/>
      <c r="AC551" s="216"/>
      <c r="AD551" s="344"/>
      <c r="AE551" s="344"/>
      <c r="AF551" s="344"/>
      <c r="AG551" s="344"/>
    </row>
    <row r="552">
      <c r="A552" s="445"/>
      <c r="B552" s="442"/>
      <c r="C552" s="443">
        <v>2024.0</v>
      </c>
      <c r="D552" s="444" t="s">
        <v>1011</v>
      </c>
      <c r="E552" s="444"/>
      <c r="F552" s="440"/>
      <c r="G552" s="216"/>
      <c r="H552" s="216"/>
      <c r="I552" s="216"/>
      <c r="J552" s="216"/>
      <c r="K552" s="216"/>
      <c r="L552" s="216"/>
      <c r="M552" s="216"/>
      <c r="N552" s="216"/>
      <c r="O552" s="216"/>
      <c r="P552" s="216"/>
      <c r="Q552" s="216"/>
      <c r="R552" s="216"/>
      <c r="S552" s="216"/>
      <c r="T552" s="216"/>
      <c r="U552" s="216"/>
      <c r="V552" s="216"/>
      <c r="W552" s="216"/>
      <c r="X552" s="216"/>
      <c r="Y552" s="216"/>
      <c r="Z552" s="216"/>
      <c r="AA552" s="216"/>
      <c r="AB552" s="216"/>
      <c r="AC552" s="216"/>
      <c r="AD552" s="344"/>
      <c r="AE552" s="344"/>
      <c r="AF552" s="344"/>
      <c r="AG552" s="344"/>
    </row>
    <row r="553">
      <c r="A553" s="445"/>
      <c r="B553" s="442"/>
      <c r="C553" s="443">
        <v>2024.0</v>
      </c>
      <c r="D553" s="444" t="s">
        <v>947</v>
      </c>
      <c r="E553" s="444"/>
      <c r="F553" s="440"/>
      <c r="G553" s="216"/>
      <c r="H553" s="216"/>
      <c r="I553" s="216"/>
      <c r="J553" s="216"/>
      <c r="K553" s="216"/>
      <c r="L553" s="216"/>
      <c r="M553" s="216"/>
      <c r="N553" s="216"/>
      <c r="O553" s="216"/>
      <c r="P553" s="216"/>
      <c r="Q553" s="216"/>
      <c r="R553" s="216"/>
      <c r="S553" s="216"/>
      <c r="T553" s="216"/>
      <c r="U553" s="216"/>
      <c r="V553" s="216"/>
      <c r="W553" s="216"/>
      <c r="X553" s="216"/>
      <c r="Y553" s="216"/>
      <c r="Z553" s="216"/>
      <c r="AA553" s="216"/>
      <c r="AB553" s="216"/>
      <c r="AC553" s="216"/>
      <c r="AD553" s="344"/>
      <c r="AE553" s="344"/>
      <c r="AF553" s="344"/>
      <c r="AG553" s="344"/>
    </row>
    <row r="554">
      <c r="A554" s="450">
        <v>46.0</v>
      </c>
      <c r="B554" s="442" t="s">
        <v>789</v>
      </c>
      <c r="C554" s="443">
        <v>2022.0</v>
      </c>
      <c r="D554" s="444" t="s">
        <v>1013</v>
      </c>
      <c r="E554" s="444"/>
      <c r="F554" s="440"/>
      <c r="G554" s="216"/>
      <c r="H554" s="216"/>
      <c r="I554" s="216"/>
      <c r="J554" s="216"/>
      <c r="K554" s="216"/>
      <c r="L554" s="216"/>
      <c r="M554" s="216"/>
      <c r="N554" s="216"/>
      <c r="O554" s="216"/>
      <c r="P554" s="216"/>
      <c r="Q554" s="216"/>
      <c r="R554" s="216"/>
      <c r="S554" s="216"/>
      <c r="T554" s="216"/>
      <c r="U554" s="216"/>
      <c r="V554" s="216"/>
      <c r="W554" s="216"/>
      <c r="X554" s="216"/>
      <c r="Y554" s="216"/>
      <c r="Z554" s="216"/>
      <c r="AA554" s="216"/>
      <c r="AB554" s="216"/>
      <c r="AC554" s="216"/>
      <c r="AD554" s="344"/>
      <c r="AE554" s="344"/>
      <c r="AF554" s="344"/>
      <c r="AG554" s="344"/>
    </row>
    <row r="555">
      <c r="A555" s="445"/>
      <c r="B555" s="442"/>
      <c r="C555" s="443">
        <v>2023.0</v>
      </c>
      <c r="D555" s="444" t="s">
        <v>1015</v>
      </c>
      <c r="E555" s="444"/>
      <c r="F555" s="440"/>
      <c r="G555" s="216"/>
      <c r="H555" s="216"/>
      <c r="I555" s="216"/>
      <c r="J555" s="216"/>
      <c r="K555" s="216"/>
      <c r="L555" s="216"/>
      <c r="M555" s="216"/>
      <c r="N555" s="216"/>
      <c r="O555" s="216"/>
      <c r="P555" s="216"/>
      <c r="Q555" s="216"/>
      <c r="R555" s="216"/>
      <c r="S555" s="216"/>
      <c r="T555" s="216"/>
      <c r="U555" s="216"/>
      <c r="V555" s="216"/>
      <c r="W555" s="216"/>
      <c r="X555" s="216"/>
      <c r="Y555" s="216"/>
      <c r="Z555" s="216"/>
      <c r="AA555" s="216"/>
      <c r="AB555" s="216"/>
      <c r="AC555" s="216"/>
      <c r="AD555" s="344"/>
      <c r="AE555" s="344"/>
      <c r="AF555" s="344"/>
      <c r="AG555" s="344"/>
    </row>
    <row r="556">
      <c r="A556" s="445"/>
      <c r="B556" s="442"/>
      <c r="C556" s="443">
        <v>2023.0</v>
      </c>
      <c r="D556" s="444" t="s">
        <v>1010</v>
      </c>
      <c r="E556" s="444"/>
      <c r="F556" s="440"/>
      <c r="G556" s="216"/>
      <c r="H556" s="216"/>
      <c r="I556" s="216"/>
      <c r="J556" s="216"/>
      <c r="K556" s="216"/>
      <c r="L556" s="216"/>
      <c r="M556" s="216"/>
      <c r="N556" s="216"/>
      <c r="O556" s="216"/>
      <c r="P556" s="216"/>
      <c r="Q556" s="216"/>
      <c r="R556" s="216"/>
      <c r="S556" s="216"/>
      <c r="T556" s="216"/>
      <c r="U556" s="216"/>
      <c r="V556" s="216"/>
      <c r="W556" s="216"/>
      <c r="X556" s="216"/>
      <c r="Y556" s="216"/>
      <c r="Z556" s="216"/>
      <c r="AA556" s="216"/>
      <c r="AB556" s="216"/>
      <c r="AC556" s="216"/>
      <c r="AD556" s="344"/>
      <c r="AE556" s="344"/>
      <c r="AF556" s="344"/>
      <c r="AG556" s="344"/>
    </row>
    <row r="557">
      <c r="A557" s="445"/>
      <c r="B557" s="442"/>
      <c r="C557" s="443">
        <v>2024.0</v>
      </c>
      <c r="D557" s="444" t="s">
        <v>1011</v>
      </c>
      <c r="E557" s="444"/>
      <c r="F557" s="440"/>
      <c r="G557" s="216"/>
      <c r="H557" s="216"/>
      <c r="I557" s="216"/>
      <c r="J557" s="216"/>
      <c r="K557" s="216"/>
      <c r="L557" s="216"/>
      <c r="M557" s="216"/>
      <c r="N557" s="216"/>
      <c r="O557" s="216"/>
      <c r="P557" s="216"/>
      <c r="Q557" s="216"/>
      <c r="R557" s="216"/>
      <c r="S557" s="216"/>
      <c r="T557" s="216"/>
      <c r="U557" s="216"/>
      <c r="V557" s="216"/>
      <c r="W557" s="216"/>
      <c r="X557" s="216"/>
      <c r="Y557" s="216"/>
      <c r="Z557" s="216"/>
      <c r="AA557" s="216"/>
      <c r="AB557" s="216"/>
      <c r="AC557" s="216"/>
      <c r="AD557" s="344"/>
      <c r="AE557" s="344"/>
      <c r="AF557" s="344"/>
      <c r="AG557" s="344"/>
    </row>
    <row r="558">
      <c r="A558" s="450">
        <v>47.0</v>
      </c>
      <c r="B558" s="442" t="s">
        <v>790</v>
      </c>
      <c r="C558" s="443">
        <v>2022.0</v>
      </c>
      <c r="D558" s="444" t="s">
        <v>1005</v>
      </c>
      <c r="E558" s="444"/>
      <c r="F558" s="440"/>
      <c r="G558" s="216"/>
      <c r="H558" s="216"/>
      <c r="I558" s="216"/>
      <c r="J558" s="216"/>
      <c r="K558" s="216"/>
      <c r="L558" s="216"/>
      <c r="M558" s="216"/>
      <c r="N558" s="216"/>
      <c r="O558" s="216"/>
      <c r="P558" s="216"/>
      <c r="Q558" s="216"/>
      <c r="R558" s="216"/>
      <c r="S558" s="216"/>
      <c r="T558" s="216"/>
      <c r="U558" s="216"/>
      <c r="V558" s="216"/>
      <c r="W558" s="216"/>
      <c r="X558" s="216"/>
      <c r="Y558" s="216"/>
      <c r="Z558" s="216"/>
      <c r="AA558" s="216"/>
      <c r="AB558" s="216"/>
      <c r="AC558" s="216"/>
      <c r="AD558" s="344"/>
      <c r="AE558" s="344"/>
      <c r="AF558" s="344"/>
      <c r="AG558" s="344"/>
    </row>
    <row r="559">
      <c r="A559" s="445"/>
      <c r="B559" s="442"/>
      <c r="C559" s="443">
        <v>2023.0</v>
      </c>
      <c r="D559" s="444" t="s">
        <v>977</v>
      </c>
      <c r="E559" s="444"/>
      <c r="F559" s="440"/>
      <c r="G559" s="216"/>
      <c r="H559" s="216"/>
      <c r="I559" s="216"/>
      <c r="J559" s="216"/>
      <c r="K559" s="216"/>
      <c r="L559" s="216"/>
      <c r="M559" s="216"/>
      <c r="N559" s="216"/>
      <c r="O559" s="216"/>
      <c r="P559" s="216"/>
      <c r="Q559" s="216"/>
      <c r="R559" s="216"/>
      <c r="S559" s="216"/>
      <c r="T559" s="216"/>
      <c r="U559" s="216"/>
      <c r="V559" s="216"/>
      <c r="W559" s="216"/>
      <c r="X559" s="216"/>
      <c r="Y559" s="216"/>
      <c r="Z559" s="216"/>
      <c r="AA559" s="216"/>
      <c r="AB559" s="216"/>
      <c r="AC559" s="216"/>
      <c r="AD559" s="344"/>
      <c r="AE559" s="344"/>
      <c r="AF559" s="344"/>
      <c r="AG559" s="344"/>
    </row>
    <row r="560">
      <c r="A560" s="445"/>
      <c r="B560" s="442"/>
      <c r="C560" s="443">
        <v>2024.0</v>
      </c>
      <c r="D560" s="446" t="s">
        <v>966</v>
      </c>
      <c r="E560" s="442"/>
      <c r="F560" s="440"/>
      <c r="G560" s="216"/>
      <c r="H560" s="216"/>
      <c r="I560" s="216"/>
      <c r="J560" s="216"/>
      <c r="K560" s="216"/>
      <c r="L560" s="216"/>
      <c r="M560" s="216"/>
      <c r="N560" s="216"/>
      <c r="O560" s="216"/>
      <c r="P560" s="216"/>
      <c r="Q560" s="216"/>
      <c r="R560" s="216"/>
      <c r="S560" s="216"/>
      <c r="T560" s="216"/>
      <c r="U560" s="216"/>
      <c r="V560" s="216"/>
      <c r="W560" s="216"/>
      <c r="X560" s="216"/>
      <c r="Y560" s="216"/>
      <c r="Z560" s="216"/>
      <c r="AA560" s="216"/>
      <c r="AB560" s="216"/>
      <c r="AC560" s="216"/>
      <c r="AD560" s="344"/>
      <c r="AE560" s="344"/>
      <c r="AF560" s="344"/>
      <c r="AG560" s="344"/>
    </row>
    <row r="561">
      <c r="A561" s="445"/>
      <c r="B561" s="442"/>
      <c r="C561" s="443">
        <v>2024.0</v>
      </c>
      <c r="D561" s="444" t="s">
        <v>939</v>
      </c>
      <c r="E561" s="442"/>
      <c r="F561" s="440"/>
      <c r="G561" s="216"/>
      <c r="H561" s="216"/>
      <c r="I561" s="216"/>
      <c r="J561" s="216"/>
      <c r="K561" s="216"/>
      <c r="L561" s="216"/>
      <c r="M561" s="216"/>
      <c r="N561" s="216"/>
      <c r="O561" s="216"/>
      <c r="P561" s="216"/>
      <c r="Q561" s="216"/>
      <c r="R561" s="216"/>
      <c r="S561" s="216"/>
      <c r="T561" s="216"/>
      <c r="U561" s="216"/>
      <c r="V561" s="216"/>
      <c r="W561" s="216"/>
      <c r="X561" s="216"/>
      <c r="Y561" s="216"/>
      <c r="Z561" s="216"/>
      <c r="AA561" s="216"/>
      <c r="AB561" s="216"/>
      <c r="AC561" s="216"/>
      <c r="AD561" s="344"/>
      <c r="AE561" s="344"/>
      <c r="AF561" s="344"/>
      <c r="AG561" s="344"/>
    </row>
    <row r="562">
      <c r="A562" s="445"/>
      <c r="B562" s="442"/>
      <c r="C562" s="443">
        <v>2024.0</v>
      </c>
      <c r="D562" s="444" t="s">
        <v>996</v>
      </c>
      <c r="E562" s="444"/>
      <c r="F562" s="440"/>
      <c r="G562" s="216"/>
      <c r="H562" s="216"/>
      <c r="I562" s="216"/>
      <c r="J562" s="216"/>
      <c r="K562" s="216"/>
      <c r="L562" s="216"/>
      <c r="M562" s="216"/>
      <c r="N562" s="216"/>
      <c r="O562" s="216"/>
      <c r="P562" s="216"/>
      <c r="Q562" s="216"/>
      <c r="R562" s="216"/>
      <c r="S562" s="216"/>
      <c r="T562" s="216"/>
      <c r="U562" s="216"/>
      <c r="V562" s="216"/>
      <c r="W562" s="216"/>
      <c r="X562" s="216"/>
      <c r="Y562" s="216"/>
      <c r="Z562" s="216"/>
      <c r="AA562" s="216"/>
      <c r="AB562" s="216"/>
      <c r="AC562" s="216"/>
      <c r="AD562" s="344"/>
      <c r="AE562" s="344"/>
      <c r="AF562" s="344"/>
      <c r="AG562" s="344"/>
    </row>
    <row r="563">
      <c r="A563" s="445"/>
      <c r="B563" s="442"/>
      <c r="C563" s="443">
        <v>2024.0</v>
      </c>
      <c r="D563" s="451" t="s">
        <v>966</v>
      </c>
      <c r="E563" s="444"/>
      <c r="F563" s="440"/>
      <c r="G563" s="216"/>
      <c r="H563" s="216"/>
      <c r="I563" s="216"/>
      <c r="J563" s="216"/>
      <c r="K563" s="216"/>
      <c r="L563" s="216"/>
      <c r="M563" s="216"/>
      <c r="N563" s="216"/>
      <c r="O563" s="216"/>
      <c r="P563" s="216"/>
      <c r="Q563" s="216"/>
      <c r="R563" s="216"/>
      <c r="S563" s="216"/>
      <c r="T563" s="216"/>
      <c r="U563" s="216"/>
      <c r="V563" s="216"/>
      <c r="W563" s="216"/>
      <c r="X563" s="216"/>
      <c r="Y563" s="216"/>
      <c r="Z563" s="216"/>
      <c r="AA563" s="216"/>
      <c r="AB563" s="216"/>
      <c r="AC563" s="216"/>
      <c r="AD563" s="344"/>
      <c r="AE563" s="344"/>
      <c r="AF563" s="344"/>
      <c r="AG563" s="344"/>
    </row>
    <row r="564">
      <c r="A564" s="450">
        <v>48.0</v>
      </c>
      <c r="B564" s="442" t="s">
        <v>791</v>
      </c>
      <c r="C564" s="443">
        <v>2022.0</v>
      </c>
      <c r="D564" s="444" t="s">
        <v>980</v>
      </c>
      <c r="E564" s="444"/>
      <c r="F564" s="440"/>
      <c r="G564" s="216"/>
      <c r="H564" s="216"/>
      <c r="I564" s="216"/>
      <c r="J564" s="216"/>
      <c r="K564" s="216"/>
      <c r="L564" s="216"/>
      <c r="M564" s="216"/>
      <c r="N564" s="216"/>
      <c r="O564" s="216"/>
      <c r="P564" s="216"/>
      <c r="Q564" s="216"/>
      <c r="R564" s="216"/>
      <c r="S564" s="216"/>
      <c r="T564" s="216"/>
      <c r="U564" s="216"/>
      <c r="V564" s="216"/>
      <c r="W564" s="216"/>
      <c r="X564" s="216"/>
      <c r="Y564" s="216"/>
      <c r="Z564" s="216"/>
      <c r="AA564" s="216"/>
      <c r="AB564" s="216"/>
      <c r="AC564" s="216"/>
      <c r="AD564" s="344"/>
      <c r="AE564" s="344"/>
      <c r="AF564" s="344"/>
      <c r="AG564" s="344"/>
    </row>
    <row r="565">
      <c r="A565" s="445"/>
      <c r="B565" s="442"/>
      <c r="C565" s="443">
        <v>2022.0</v>
      </c>
      <c r="D565" s="444" t="s">
        <v>981</v>
      </c>
      <c r="E565" s="444"/>
      <c r="F565" s="440"/>
      <c r="G565" s="216"/>
      <c r="H565" s="216"/>
      <c r="I565" s="216"/>
      <c r="J565" s="216"/>
      <c r="K565" s="216"/>
      <c r="L565" s="216"/>
      <c r="M565" s="216"/>
      <c r="N565" s="216"/>
      <c r="O565" s="216"/>
      <c r="P565" s="216"/>
      <c r="Q565" s="216"/>
      <c r="R565" s="216"/>
      <c r="S565" s="216"/>
      <c r="T565" s="216"/>
      <c r="U565" s="216"/>
      <c r="V565" s="216"/>
      <c r="W565" s="216"/>
      <c r="X565" s="216"/>
      <c r="Y565" s="216"/>
      <c r="Z565" s="216"/>
      <c r="AA565" s="216"/>
      <c r="AB565" s="216"/>
      <c r="AC565" s="216"/>
      <c r="AD565" s="344"/>
      <c r="AE565" s="344"/>
      <c r="AF565" s="344"/>
      <c r="AG565" s="344"/>
    </row>
    <row r="566">
      <c r="A566" s="445"/>
      <c r="B566" s="442"/>
      <c r="C566" s="443">
        <v>2023.0</v>
      </c>
      <c r="D566" s="442" t="s">
        <v>971</v>
      </c>
      <c r="E566" s="442"/>
      <c r="F566" s="440"/>
      <c r="G566" s="216"/>
      <c r="H566" s="216"/>
      <c r="I566" s="216"/>
      <c r="J566" s="216"/>
      <c r="K566" s="216"/>
      <c r="L566" s="216"/>
      <c r="M566" s="216"/>
      <c r="N566" s="216"/>
      <c r="O566" s="216"/>
      <c r="P566" s="216"/>
      <c r="Q566" s="216"/>
      <c r="R566" s="216"/>
      <c r="S566" s="216"/>
      <c r="T566" s="216"/>
      <c r="U566" s="216"/>
      <c r="V566" s="216"/>
      <c r="W566" s="216"/>
      <c r="X566" s="216"/>
      <c r="Y566" s="216"/>
      <c r="Z566" s="216"/>
      <c r="AA566" s="216"/>
      <c r="AB566" s="216"/>
      <c r="AC566" s="216"/>
      <c r="AD566" s="344"/>
      <c r="AE566" s="344"/>
      <c r="AF566" s="344"/>
      <c r="AG566" s="344"/>
    </row>
    <row r="567">
      <c r="A567" s="445"/>
      <c r="B567" s="442"/>
      <c r="C567" s="443">
        <v>2023.0</v>
      </c>
      <c r="D567" s="444" t="s">
        <v>982</v>
      </c>
      <c r="E567" s="444"/>
      <c r="F567" s="440"/>
      <c r="G567" s="216"/>
      <c r="H567" s="216"/>
      <c r="I567" s="216"/>
      <c r="J567" s="216"/>
      <c r="K567" s="216"/>
      <c r="L567" s="216"/>
      <c r="M567" s="216"/>
      <c r="N567" s="216"/>
      <c r="O567" s="216"/>
      <c r="P567" s="216"/>
      <c r="Q567" s="216"/>
      <c r="R567" s="216"/>
      <c r="S567" s="216"/>
      <c r="T567" s="216"/>
      <c r="U567" s="216"/>
      <c r="V567" s="216"/>
      <c r="W567" s="216"/>
      <c r="X567" s="216"/>
      <c r="Y567" s="216"/>
      <c r="Z567" s="216"/>
      <c r="AA567" s="216"/>
      <c r="AB567" s="216"/>
      <c r="AC567" s="216"/>
      <c r="AD567" s="344"/>
      <c r="AE567" s="344"/>
      <c r="AF567" s="344"/>
      <c r="AG567" s="344"/>
    </row>
    <row r="568">
      <c r="A568" s="445"/>
      <c r="B568" s="442"/>
      <c r="C568" s="443">
        <v>2024.0</v>
      </c>
      <c r="D568" s="444" t="s">
        <v>999</v>
      </c>
      <c r="E568" s="452"/>
      <c r="F568" s="440"/>
      <c r="G568" s="216"/>
      <c r="H568" s="216"/>
      <c r="I568" s="216"/>
      <c r="J568" s="216"/>
      <c r="K568" s="216"/>
      <c r="L568" s="216"/>
      <c r="M568" s="216"/>
      <c r="N568" s="216"/>
      <c r="O568" s="216"/>
      <c r="P568" s="216"/>
      <c r="Q568" s="216"/>
      <c r="R568" s="216"/>
      <c r="S568" s="216"/>
      <c r="T568" s="216"/>
      <c r="U568" s="216"/>
      <c r="V568" s="216"/>
      <c r="W568" s="216"/>
      <c r="X568" s="216"/>
      <c r="Y568" s="216"/>
      <c r="Z568" s="216"/>
      <c r="AA568" s="216"/>
      <c r="AB568" s="216"/>
      <c r="AC568" s="216"/>
      <c r="AD568" s="344"/>
      <c r="AE568" s="344"/>
      <c r="AF568" s="344"/>
      <c r="AG568" s="344"/>
    </row>
    <row r="569">
      <c r="A569" s="450">
        <v>49.0</v>
      </c>
      <c r="B569" s="442" t="s">
        <v>692</v>
      </c>
      <c r="C569" s="443">
        <v>2022.0</v>
      </c>
      <c r="D569" s="442" t="s">
        <v>988</v>
      </c>
      <c r="E569" s="442" t="s">
        <v>929</v>
      </c>
      <c r="F569" s="440"/>
      <c r="G569" s="216"/>
      <c r="H569" s="216"/>
      <c r="I569" s="216"/>
      <c r="J569" s="216"/>
      <c r="K569" s="216"/>
      <c r="L569" s="216"/>
      <c r="M569" s="216"/>
      <c r="N569" s="216"/>
      <c r="O569" s="216"/>
      <c r="P569" s="216"/>
      <c r="Q569" s="216"/>
      <c r="R569" s="216"/>
      <c r="S569" s="216"/>
      <c r="T569" s="216"/>
      <c r="U569" s="216"/>
      <c r="V569" s="216"/>
      <c r="W569" s="216"/>
      <c r="X569" s="216"/>
      <c r="Y569" s="216"/>
      <c r="Z569" s="216"/>
      <c r="AA569" s="216"/>
      <c r="AB569" s="216"/>
      <c r="AC569" s="216"/>
      <c r="AD569" s="344"/>
      <c r="AE569" s="344"/>
      <c r="AF569" s="344"/>
      <c r="AG569" s="344"/>
    </row>
    <row r="570">
      <c r="A570" s="445"/>
      <c r="B570" s="442"/>
      <c r="C570" s="443">
        <v>2022.0</v>
      </c>
      <c r="D570" s="442" t="s">
        <v>1047</v>
      </c>
      <c r="E570" s="442" t="s">
        <v>929</v>
      </c>
      <c r="F570" s="440"/>
      <c r="G570" s="216"/>
      <c r="H570" s="216"/>
      <c r="I570" s="216"/>
      <c r="J570" s="216"/>
      <c r="K570" s="216"/>
      <c r="L570" s="216"/>
      <c r="M570" s="216"/>
      <c r="N570" s="216"/>
      <c r="O570" s="216"/>
      <c r="P570" s="216"/>
      <c r="Q570" s="216"/>
      <c r="R570" s="216"/>
      <c r="S570" s="216"/>
      <c r="T570" s="216"/>
      <c r="U570" s="216"/>
      <c r="V570" s="216"/>
      <c r="W570" s="216"/>
      <c r="X570" s="216"/>
      <c r="Y570" s="216"/>
      <c r="Z570" s="216"/>
      <c r="AA570" s="216"/>
      <c r="AB570" s="216"/>
      <c r="AC570" s="216"/>
      <c r="AD570" s="344"/>
      <c r="AE570" s="344"/>
      <c r="AF570" s="344"/>
      <c r="AG570" s="344"/>
    </row>
    <row r="571">
      <c r="A571" s="445"/>
      <c r="B571" s="442"/>
      <c r="C571" s="443">
        <v>2022.0</v>
      </c>
      <c r="D571" s="442" t="s">
        <v>1048</v>
      </c>
      <c r="E571" s="442"/>
      <c r="F571" s="440"/>
      <c r="G571" s="216"/>
      <c r="H571" s="216"/>
      <c r="I571" s="216"/>
      <c r="J571" s="216"/>
      <c r="K571" s="216"/>
      <c r="L571" s="216"/>
      <c r="M571" s="216"/>
      <c r="N571" s="216"/>
      <c r="O571" s="216"/>
      <c r="P571" s="216"/>
      <c r="Q571" s="216"/>
      <c r="R571" s="216"/>
      <c r="S571" s="216"/>
      <c r="T571" s="216"/>
      <c r="U571" s="216"/>
      <c r="V571" s="216"/>
      <c r="W571" s="216"/>
      <c r="X571" s="216"/>
      <c r="Y571" s="216"/>
      <c r="Z571" s="216"/>
      <c r="AA571" s="216"/>
      <c r="AB571" s="216"/>
      <c r="AC571" s="216"/>
      <c r="AD571" s="344"/>
      <c r="AE571" s="344"/>
      <c r="AF571" s="344"/>
      <c r="AG571" s="344"/>
    </row>
    <row r="572">
      <c r="A572" s="445"/>
      <c r="B572" s="442"/>
      <c r="C572" s="443">
        <v>2023.0</v>
      </c>
      <c r="D572" s="442" t="s">
        <v>991</v>
      </c>
      <c r="E572" s="442" t="s">
        <v>933</v>
      </c>
      <c r="F572" s="440"/>
      <c r="G572" s="216"/>
      <c r="H572" s="216"/>
      <c r="I572" s="216"/>
      <c r="J572" s="216"/>
      <c r="K572" s="216"/>
      <c r="L572" s="216"/>
      <c r="M572" s="216"/>
      <c r="N572" s="216"/>
      <c r="O572" s="216"/>
      <c r="P572" s="216"/>
      <c r="Q572" s="216"/>
      <c r="R572" s="216"/>
      <c r="S572" s="216"/>
      <c r="T572" s="216"/>
      <c r="U572" s="216"/>
      <c r="V572" s="216"/>
      <c r="W572" s="216"/>
      <c r="X572" s="216"/>
      <c r="Y572" s="216"/>
      <c r="Z572" s="216"/>
      <c r="AA572" s="216"/>
      <c r="AB572" s="216"/>
      <c r="AC572" s="216"/>
      <c r="AD572" s="344"/>
      <c r="AE572" s="344"/>
      <c r="AF572" s="344"/>
      <c r="AG572" s="344"/>
    </row>
    <row r="573">
      <c r="A573" s="445"/>
      <c r="B573" s="442"/>
      <c r="C573" s="448">
        <v>2024.0</v>
      </c>
      <c r="D573" s="444" t="s">
        <v>936</v>
      </c>
      <c r="E573" s="444"/>
      <c r="F573" s="440"/>
      <c r="G573" s="216"/>
      <c r="H573" s="216"/>
      <c r="I573" s="216"/>
      <c r="J573" s="216"/>
      <c r="K573" s="216"/>
      <c r="L573" s="216"/>
      <c r="M573" s="216"/>
      <c r="N573" s="216"/>
      <c r="O573" s="216"/>
      <c r="P573" s="216"/>
      <c r="Q573" s="216"/>
      <c r="R573" s="216"/>
      <c r="S573" s="216"/>
      <c r="T573" s="216"/>
      <c r="U573" s="216"/>
      <c r="V573" s="216"/>
      <c r="W573" s="216"/>
      <c r="X573" s="216"/>
      <c r="Y573" s="216"/>
      <c r="Z573" s="216"/>
      <c r="AA573" s="216"/>
      <c r="AB573" s="216"/>
      <c r="AC573" s="216"/>
      <c r="AD573" s="344"/>
      <c r="AE573" s="344"/>
      <c r="AF573" s="344"/>
      <c r="AG573" s="344"/>
    </row>
    <row r="574">
      <c r="A574" s="445"/>
      <c r="B574" s="442"/>
      <c r="C574" s="448">
        <v>2024.0</v>
      </c>
      <c r="D574" s="444" t="s">
        <v>954</v>
      </c>
      <c r="E574" s="442"/>
      <c r="F574" s="440"/>
      <c r="G574" s="216"/>
      <c r="H574" s="216"/>
      <c r="I574" s="216"/>
      <c r="J574" s="216"/>
      <c r="K574" s="216"/>
      <c r="L574" s="216"/>
      <c r="M574" s="216"/>
      <c r="N574" s="216"/>
      <c r="O574" s="216"/>
      <c r="P574" s="216"/>
      <c r="Q574" s="216"/>
      <c r="R574" s="216"/>
      <c r="S574" s="216"/>
      <c r="T574" s="216"/>
      <c r="U574" s="216"/>
      <c r="V574" s="216"/>
      <c r="W574" s="216"/>
      <c r="X574" s="216"/>
      <c r="Y574" s="216"/>
      <c r="Z574" s="216"/>
      <c r="AA574" s="216"/>
      <c r="AB574" s="216"/>
      <c r="AC574" s="216"/>
      <c r="AD574" s="344"/>
      <c r="AE574" s="344"/>
      <c r="AF574" s="344"/>
      <c r="AG574" s="344"/>
    </row>
    <row r="575">
      <c r="A575" s="450">
        <v>50.0</v>
      </c>
      <c r="B575" s="442" t="s">
        <v>794</v>
      </c>
      <c r="C575" s="443">
        <v>2022.0</v>
      </c>
      <c r="D575" s="442" t="s">
        <v>1044</v>
      </c>
      <c r="E575" s="452" t="s">
        <v>971</v>
      </c>
      <c r="F575" s="440"/>
      <c r="G575" s="216"/>
      <c r="H575" s="216"/>
      <c r="I575" s="216"/>
      <c r="J575" s="216"/>
      <c r="K575" s="216"/>
      <c r="L575" s="216"/>
      <c r="M575" s="216"/>
      <c r="N575" s="216"/>
      <c r="O575" s="216"/>
      <c r="P575" s="216"/>
      <c r="Q575" s="216"/>
      <c r="R575" s="216"/>
      <c r="S575" s="216"/>
      <c r="T575" s="216"/>
      <c r="U575" s="216"/>
      <c r="V575" s="216"/>
      <c r="W575" s="216"/>
      <c r="X575" s="216"/>
      <c r="Y575" s="216"/>
      <c r="Z575" s="216"/>
      <c r="AA575" s="216"/>
      <c r="AB575" s="216"/>
      <c r="AC575" s="216"/>
      <c r="AD575" s="344"/>
      <c r="AE575" s="344"/>
      <c r="AF575" s="344"/>
      <c r="AG575" s="344"/>
    </row>
    <row r="576">
      <c r="A576" s="445"/>
      <c r="B576" s="442"/>
      <c r="C576" s="443">
        <v>2022.0</v>
      </c>
      <c r="D576" s="444" t="s">
        <v>1017</v>
      </c>
      <c r="E576" s="452"/>
      <c r="F576" s="440"/>
      <c r="G576" s="216"/>
      <c r="H576" s="216"/>
      <c r="I576" s="216"/>
      <c r="J576" s="216"/>
      <c r="K576" s="216"/>
      <c r="L576" s="216"/>
      <c r="M576" s="216"/>
      <c r="N576" s="216"/>
      <c r="O576" s="216"/>
      <c r="P576" s="216"/>
      <c r="Q576" s="216"/>
      <c r="R576" s="216"/>
      <c r="S576" s="216"/>
      <c r="T576" s="216"/>
      <c r="U576" s="216"/>
      <c r="V576" s="216"/>
      <c r="W576" s="216"/>
      <c r="X576" s="216"/>
      <c r="Y576" s="216"/>
      <c r="Z576" s="216"/>
      <c r="AA576" s="216"/>
      <c r="AB576" s="216"/>
      <c r="AC576" s="216"/>
      <c r="AD576" s="344"/>
      <c r="AE576" s="344"/>
      <c r="AF576" s="344"/>
      <c r="AG576" s="344"/>
    </row>
    <row r="577">
      <c r="A577" s="445"/>
      <c r="B577" s="442"/>
      <c r="C577" s="443">
        <v>2023.0</v>
      </c>
      <c r="D577" s="444" t="s">
        <v>1049</v>
      </c>
      <c r="E577" s="444"/>
      <c r="F577" s="440"/>
      <c r="G577" s="216"/>
      <c r="H577" s="216"/>
      <c r="I577" s="216"/>
      <c r="J577" s="216"/>
      <c r="K577" s="216"/>
      <c r="L577" s="216"/>
      <c r="M577" s="216"/>
      <c r="N577" s="216"/>
      <c r="O577" s="216"/>
      <c r="P577" s="216"/>
      <c r="Q577" s="216"/>
      <c r="R577" s="216"/>
      <c r="S577" s="216"/>
      <c r="T577" s="216"/>
      <c r="U577" s="216"/>
      <c r="V577" s="216"/>
      <c r="W577" s="216"/>
      <c r="X577" s="216"/>
      <c r="Y577" s="216"/>
      <c r="Z577" s="216"/>
      <c r="AA577" s="216"/>
      <c r="AB577" s="216"/>
      <c r="AC577" s="216"/>
      <c r="AD577" s="344"/>
      <c r="AE577" s="344"/>
      <c r="AF577" s="344"/>
      <c r="AG577" s="344"/>
    </row>
    <row r="578">
      <c r="A578" s="445"/>
      <c r="B578" s="442"/>
      <c r="C578" s="443">
        <v>2024.0</v>
      </c>
      <c r="D578" s="444" t="s">
        <v>1011</v>
      </c>
      <c r="E578" s="444"/>
      <c r="F578" s="440"/>
      <c r="G578" s="216"/>
      <c r="H578" s="216"/>
      <c r="I578" s="216"/>
      <c r="J578" s="216"/>
      <c r="K578" s="216"/>
      <c r="L578" s="216"/>
      <c r="M578" s="216"/>
      <c r="N578" s="216"/>
      <c r="O578" s="216"/>
      <c r="P578" s="216"/>
      <c r="Q578" s="216"/>
      <c r="R578" s="216"/>
      <c r="S578" s="216"/>
      <c r="T578" s="216"/>
      <c r="U578" s="216"/>
      <c r="V578" s="216"/>
      <c r="W578" s="216"/>
      <c r="X578" s="216"/>
      <c r="Y578" s="216"/>
      <c r="Z578" s="216"/>
      <c r="AA578" s="216"/>
      <c r="AB578" s="216"/>
      <c r="AC578" s="216"/>
      <c r="AD578" s="344"/>
      <c r="AE578" s="344"/>
      <c r="AF578" s="344"/>
      <c r="AG578" s="344"/>
    </row>
    <row r="579">
      <c r="A579" s="445"/>
      <c r="B579" s="442"/>
      <c r="C579" s="443">
        <v>2024.0</v>
      </c>
      <c r="D579" s="444" t="s">
        <v>1028</v>
      </c>
      <c r="E579" s="444"/>
      <c r="F579" s="440"/>
      <c r="G579" s="216"/>
      <c r="H579" s="216"/>
      <c r="I579" s="216"/>
      <c r="J579" s="216"/>
      <c r="K579" s="216"/>
      <c r="L579" s="216"/>
      <c r="M579" s="216"/>
      <c r="N579" s="216"/>
      <c r="O579" s="216"/>
      <c r="P579" s="216"/>
      <c r="Q579" s="216"/>
      <c r="R579" s="216"/>
      <c r="S579" s="216"/>
      <c r="T579" s="216"/>
      <c r="U579" s="216"/>
      <c r="V579" s="216"/>
      <c r="W579" s="216"/>
      <c r="X579" s="216"/>
      <c r="Y579" s="216"/>
      <c r="Z579" s="216"/>
      <c r="AA579" s="216"/>
      <c r="AB579" s="216"/>
      <c r="AC579" s="216"/>
      <c r="AD579" s="344"/>
      <c r="AE579" s="344"/>
      <c r="AF579" s="344"/>
      <c r="AG579" s="344"/>
    </row>
    <row r="580">
      <c r="A580" s="445"/>
      <c r="B580" s="442"/>
      <c r="C580" s="443">
        <v>2024.0</v>
      </c>
      <c r="D580" s="444" t="s">
        <v>1011</v>
      </c>
      <c r="E580" s="444"/>
      <c r="F580" s="440"/>
      <c r="G580" s="216"/>
      <c r="H580" s="216"/>
      <c r="I580" s="216"/>
      <c r="J580" s="216"/>
      <c r="K580" s="216"/>
      <c r="L580" s="216"/>
      <c r="M580" s="216"/>
      <c r="N580" s="216"/>
      <c r="O580" s="216"/>
      <c r="P580" s="216"/>
      <c r="Q580" s="216"/>
      <c r="R580" s="216"/>
      <c r="S580" s="216"/>
      <c r="T580" s="216"/>
      <c r="U580" s="216"/>
      <c r="V580" s="216"/>
      <c r="W580" s="216"/>
      <c r="X580" s="216"/>
      <c r="Y580" s="216"/>
      <c r="Z580" s="216"/>
      <c r="AA580" s="216"/>
      <c r="AB580" s="216"/>
      <c r="AC580" s="216"/>
      <c r="AD580" s="344"/>
      <c r="AE580" s="344"/>
      <c r="AF580" s="344"/>
      <c r="AG580" s="344"/>
    </row>
    <row r="581">
      <c r="A581" s="450">
        <v>51.0</v>
      </c>
      <c r="B581" s="442" t="s">
        <v>796</v>
      </c>
      <c r="C581" s="443">
        <v>2022.0</v>
      </c>
      <c r="D581" s="444" t="s">
        <v>1041</v>
      </c>
      <c r="E581" s="444"/>
      <c r="F581" s="440"/>
      <c r="G581" s="216"/>
      <c r="H581" s="216"/>
      <c r="I581" s="216"/>
      <c r="J581" s="216"/>
      <c r="K581" s="216"/>
      <c r="L581" s="216"/>
      <c r="M581" s="216"/>
      <c r="N581" s="216"/>
      <c r="O581" s="216"/>
      <c r="P581" s="216"/>
      <c r="Q581" s="216"/>
      <c r="R581" s="216"/>
      <c r="S581" s="216"/>
      <c r="T581" s="216"/>
      <c r="U581" s="216"/>
      <c r="V581" s="216"/>
      <c r="W581" s="216"/>
      <c r="X581" s="216"/>
      <c r="Y581" s="216"/>
      <c r="Z581" s="216"/>
      <c r="AA581" s="216"/>
      <c r="AB581" s="216"/>
      <c r="AC581" s="216"/>
      <c r="AD581" s="344"/>
      <c r="AE581" s="344"/>
      <c r="AF581" s="344"/>
      <c r="AG581" s="344"/>
    </row>
    <row r="582">
      <c r="A582" s="445"/>
      <c r="B582" s="442"/>
      <c r="C582" s="443">
        <v>2022.0</v>
      </c>
      <c r="D582" s="444" t="s">
        <v>1050</v>
      </c>
      <c r="E582" s="444"/>
      <c r="F582" s="440"/>
      <c r="G582" s="216"/>
      <c r="H582" s="216"/>
      <c r="I582" s="216"/>
      <c r="J582" s="216"/>
      <c r="K582" s="216"/>
      <c r="L582" s="216"/>
      <c r="M582" s="216"/>
      <c r="N582" s="216"/>
      <c r="O582" s="216"/>
      <c r="P582" s="216"/>
      <c r="Q582" s="216"/>
      <c r="R582" s="216"/>
      <c r="S582" s="216"/>
      <c r="T582" s="216"/>
      <c r="U582" s="216"/>
      <c r="V582" s="216"/>
      <c r="W582" s="216"/>
      <c r="X582" s="216"/>
      <c r="Y582" s="216"/>
      <c r="Z582" s="216"/>
      <c r="AA582" s="216"/>
      <c r="AB582" s="216"/>
      <c r="AC582" s="216"/>
      <c r="AD582" s="344"/>
      <c r="AE582" s="344"/>
      <c r="AF582" s="344"/>
      <c r="AG582" s="344"/>
    </row>
    <row r="583">
      <c r="A583" s="445"/>
      <c r="B583" s="442"/>
      <c r="C583" s="443">
        <v>2022.0</v>
      </c>
      <c r="D583" s="444" t="s">
        <v>958</v>
      </c>
      <c r="E583" s="444"/>
      <c r="F583" s="440"/>
      <c r="G583" s="216"/>
      <c r="H583" s="216"/>
      <c r="I583" s="216"/>
      <c r="J583" s="216"/>
      <c r="K583" s="216"/>
      <c r="L583" s="216"/>
      <c r="M583" s="216"/>
      <c r="N583" s="216"/>
      <c r="O583" s="216"/>
      <c r="P583" s="216"/>
      <c r="Q583" s="216"/>
      <c r="R583" s="216"/>
      <c r="S583" s="216"/>
      <c r="T583" s="216"/>
      <c r="U583" s="216"/>
      <c r="V583" s="216"/>
      <c r="W583" s="216"/>
      <c r="X583" s="216"/>
      <c r="Y583" s="216"/>
      <c r="Z583" s="216"/>
      <c r="AA583" s="216"/>
      <c r="AB583" s="216"/>
      <c r="AC583" s="216"/>
      <c r="AD583" s="344"/>
      <c r="AE583" s="344"/>
      <c r="AF583" s="344"/>
      <c r="AG583" s="344"/>
    </row>
    <row r="584">
      <c r="A584" s="445"/>
      <c r="B584" s="442"/>
      <c r="C584" s="443">
        <v>2023.0</v>
      </c>
      <c r="D584" s="444" t="s">
        <v>960</v>
      </c>
      <c r="E584" s="444"/>
      <c r="F584" s="440"/>
      <c r="G584" s="216"/>
      <c r="H584" s="216"/>
      <c r="I584" s="216"/>
      <c r="J584" s="216"/>
      <c r="K584" s="216"/>
      <c r="L584" s="216"/>
      <c r="M584" s="216"/>
      <c r="N584" s="216"/>
      <c r="O584" s="216"/>
      <c r="P584" s="216"/>
      <c r="Q584" s="216"/>
      <c r="R584" s="216"/>
      <c r="S584" s="216"/>
      <c r="T584" s="216"/>
      <c r="U584" s="216"/>
      <c r="V584" s="216"/>
      <c r="W584" s="216"/>
      <c r="X584" s="216"/>
      <c r="Y584" s="216"/>
      <c r="Z584" s="216"/>
      <c r="AA584" s="216"/>
      <c r="AB584" s="216"/>
      <c r="AC584" s="216"/>
      <c r="AD584" s="344"/>
      <c r="AE584" s="344"/>
      <c r="AF584" s="344"/>
      <c r="AG584" s="344"/>
    </row>
    <row r="585">
      <c r="A585" s="445"/>
      <c r="B585" s="442"/>
      <c r="C585" s="443">
        <v>2023.0</v>
      </c>
      <c r="D585" s="444" t="s">
        <v>974</v>
      </c>
      <c r="E585" s="444"/>
      <c r="F585" s="440"/>
      <c r="G585" s="216"/>
      <c r="H585" s="216"/>
      <c r="I585" s="216"/>
      <c r="J585" s="216"/>
      <c r="K585" s="216"/>
      <c r="L585" s="216"/>
      <c r="M585" s="216"/>
      <c r="N585" s="216"/>
      <c r="O585" s="216"/>
      <c r="P585" s="216"/>
      <c r="Q585" s="216"/>
      <c r="R585" s="216"/>
      <c r="S585" s="216"/>
      <c r="T585" s="216"/>
      <c r="U585" s="216"/>
      <c r="V585" s="216"/>
      <c r="W585" s="216"/>
      <c r="X585" s="216"/>
      <c r="Y585" s="216"/>
      <c r="Z585" s="216"/>
      <c r="AA585" s="216"/>
      <c r="AB585" s="216"/>
      <c r="AC585" s="216"/>
      <c r="AD585" s="344"/>
      <c r="AE585" s="344"/>
      <c r="AF585" s="344"/>
      <c r="AG585" s="344"/>
    </row>
    <row r="586">
      <c r="A586" s="445"/>
      <c r="B586" s="442"/>
      <c r="C586" s="443">
        <v>2024.0</v>
      </c>
      <c r="D586" s="446" t="s">
        <v>987</v>
      </c>
      <c r="E586" s="442"/>
      <c r="F586" s="440"/>
      <c r="G586" s="216"/>
      <c r="H586" s="216"/>
      <c r="I586" s="216"/>
      <c r="J586" s="216"/>
      <c r="K586" s="216"/>
      <c r="L586" s="216"/>
      <c r="M586" s="216"/>
      <c r="N586" s="216"/>
      <c r="O586" s="216"/>
      <c r="P586" s="216"/>
      <c r="Q586" s="216"/>
      <c r="R586" s="216"/>
      <c r="S586" s="216"/>
      <c r="T586" s="216"/>
      <c r="U586" s="216"/>
      <c r="V586" s="216"/>
      <c r="W586" s="216"/>
      <c r="X586" s="216"/>
      <c r="Y586" s="216"/>
      <c r="Z586" s="216"/>
      <c r="AA586" s="216"/>
      <c r="AB586" s="216"/>
      <c r="AC586" s="216"/>
      <c r="AD586" s="344"/>
      <c r="AE586" s="344"/>
      <c r="AF586" s="344"/>
      <c r="AG586" s="344"/>
    </row>
    <row r="587">
      <c r="A587" s="445"/>
      <c r="B587" s="442"/>
      <c r="C587" s="443">
        <v>2024.0</v>
      </c>
      <c r="D587" s="446" t="s">
        <v>935</v>
      </c>
      <c r="E587" s="442"/>
      <c r="F587" s="440"/>
      <c r="G587" s="216"/>
      <c r="H587" s="216"/>
      <c r="I587" s="216"/>
      <c r="J587" s="216"/>
      <c r="K587" s="216"/>
      <c r="L587" s="216"/>
      <c r="M587" s="216"/>
      <c r="N587" s="216"/>
      <c r="O587" s="216"/>
      <c r="P587" s="216"/>
      <c r="Q587" s="216"/>
      <c r="R587" s="216"/>
      <c r="S587" s="216"/>
      <c r="T587" s="216"/>
      <c r="U587" s="216"/>
      <c r="V587" s="216"/>
      <c r="W587" s="216"/>
      <c r="X587" s="216"/>
      <c r="Y587" s="216"/>
      <c r="Z587" s="216"/>
      <c r="AA587" s="216"/>
      <c r="AB587" s="216"/>
      <c r="AC587" s="216"/>
      <c r="AD587" s="344"/>
      <c r="AE587" s="344"/>
      <c r="AF587" s="344"/>
      <c r="AG587" s="344"/>
    </row>
    <row r="588">
      <c r="A588" s="445"/>
      <c r="B588" s="442"/>
      <c r="C588" s="443">
        <v>2024.0</v>
      </c>
      <c r="D588" s="446" t="s">
        <v>987</v>
      </c>
      <c r="E588" s="442"/>
      <c r="F588" s="440"/>
      <c r="G588" s="216"/>
      <c r="H588" s="216"/>
      <c r="I588" s="216"/>
      <c r="J588" s="216"/>
      <c r="K588" s="216"/>
      <c r="L588" s="216"/>
      <c r="M588" s="216"/>
      <c r="N588" s="216"/>
      <c r="O588" s="216"/>
      <c r="P588" s="216"/>
      <c r="Q588" s="216"/>
      <c r="R588" s="216"/>
      <c r="S588" s="216"/>
      <c r="T588" s="216"/>
      <c r="U588" s="216"/>
      <c r="V588" s="216"/>
      <c r="W588" s="216"/>
      <c r="X588" s="216"/>
      <c r="Y588" s="216"/>
      <c r="Z588" s="216"/>
      <c r="AA588" s="216"/>
      <c r="AB588" s="216"/>
      <c r="AC588" s="216"/>
      <c r="AD588" s="344"/>
      <c r="AE588" s="344"/>
      <c r="AF588" s="344"/>
      <c r="AG588" s="344"/>
    </row>
    <row r="589">
      <c r="A589" s="450">
        <v>52.0</v>
      </c>
      <c r="B589" s="442" t="s">
        <v>562</v>
      </c>
      <c r="C589" s="443">
        <v>2022.0</v>
      </c>
      <c r="D589" s="442" t="s">
        <v>1023</v>
      </c>
      <c r="E589" s="442" t="s">
        <v>929</v>
      </c>
      <c r="F589" s="440"/>
      <c r="G589" s="216"/>
      <c r="H589" s="216"/>
      <c r="I589" s="216"/>
      <c r="J589" s="216"/>
      <c r="K589" s="216"/>
      <c r="L589" s="216"/>
      <c r="M589" s="216"/>
      <c r="N589" s="216"/>
      <c r="O589" s="216"/>
      <c r="P589" s="216"/>
      <c r="Q589" s="216"/>
      <c r="R589" s="216"/>
      <c r="S589" s="216"/>
      <c r="T589" s="216"/>
      <c r="U589" s="216"/>
      <c r="V589" s="216"/>
      <c r="W589" s="216"/>
      <c r="X589" s="216"/>
      <c r="Y589" s="216"/>
      <c r="Z589" s="216"/>
      <c r="AA589" s="216"/>
      <c r="AB589" s="216"/>
      <c r="AC589" s="216"/>
      <c r="AD589" s="344"/>
      <c r="AE589" s="344"/>
      <c r="AF589" s="344"/>
      <c r="AG589" s="344"/>
    </row>
    <row r="590">
      <c r="A590" s="445"/>
      <c r="B590" s="442"/>
      <c r="C590" s="443">
        <v>2022.0</v>
      </c>
      <c r="D590" s="442" t="s">
        <v>1027</v>
      </c>
      <c r="E590" s="442" t="s">
        <v>933</v>
      </c>
      <c r="F590" s="440"/>
      <c r="G590" s="216"/>
      <c r="H590" s="216"/>
      <c r="I590" s="216"/>
      <c r="J590" s="216"/>
      <c r="K590" s="216"/>
      <c r="L590" s="216"/>
      <c r="M590" s="216"/>
      <c r="N590" s="216"/>
      <c r="O590" s="216"/>
      <c r="P590" s="216"/>
      <c r="Q590" s="216"/>
      <c r="R590" s="216"/>
      <c r="S590" s="216"/>
      <c r="T590" s="216"/>
      <c r="U590" s="216"/>
      <c r="V590" s="216"/>
      <c r="W590" s="216"/>
      <c r="X590" s="216"/>
      <c r="Y590" s="216"/>
      <c r="Z590" s="216"/>
      <c r="AA590" s="216"/>
      <c r="AB590" s="216"/>
      <c r="AC590" s="216"/>
      <c r="AD590" s="344"/>
      <c r="AE590" s="344"/>
      <c r="AF590" s="344"/>
      <c r="AG590" s="344"/>
    </row>
    <row r="591">
      <c r="A591" s="445"/>
      <c r="B591" s="442"/>
      <c r="C591" s="443">
        <v>2023.0</v>
      </c>
      <c r="D591" s="442" t="s">
        <v>1051</v>
      </c>
      <c r="E591" s="442" t="s">
        <v>929</v>
      </c>
      <c r="F591" s="440"/>
      <c r="G591" s="216"/>
      <c r="H591" s="216"/>
      <c r="I591" s="216"/>
      <c r="J591" s="216"/>
      <c r="K591" s="216"/>
      <c r="L591" s="216"/>
      <c r="M591" s="216"/>
      <c r="N591" s="216"/>
      <c r="O591" s="216"/>
      <c r="P591" s="216"/>
      <c r="Q591" s="216"/>
      <c r="R591" s="216"/>
      <c r="S591" s="216"/>
      <c r="T591" s="216"/>
      <c r="U591" s="216"/>
      <c r="V591" s="216"/>
      <c r="W591" s="216"/>
      <c r="X591" s="216"/>
      <c r="Y591" s="216"/>
      <c r="Z591" s="216"/>
      <c r="AA591" s="216"/>
      <c r="AB591" s="216"/>
      <c r="AC591" s="216"/>
      <c r="AD591" s="344"/>
      <c r="AE591" s="344"/>
      <c r="AF591" s="344"/>
      <c r="AG591" s="344"/>
    </row>
    <row r="592">
      <c r="A592" s="445"/>
      <c r="B592" s="442"/>
      <c r="C592" s="443">
        <v>2024.0</v>
      </c>
      <c r="D592" s="444" t="s">
        <v>948</v>
      </c>
      <c r="E592" s="444"/>
      <c r="F592" s="440"/>
      <c r="G592" s="216"/>
      <c r="H592" s="216"/>
      <c r="I592" s="216"/>
      <c r="J592" s="216"/>
      <c r="K592" s="216"/>
      <c r="L592" s="216"/>
      <c r="M592" s="216"/>
      <c r="N592" s="216"/>
      <c r="O592" s="216"/>
      <c r="P592" s="216"/>
      <c r="Q592" s="216"/>
      <c r="R592" s="216"/>
      <c r="S592" s="216"/>
      <c r="T592" s="216"/>
      <c r="U592" s="216"/>
      <c r="V592" s="216"/>
      <c r="W592" s="216"/>
      <c r="X592" s="216"/>
      <c r="Y592" s="216"/>
      <c r="Z592" s="216"/>
      <c r="AA592" s="216"/>
      <c r="AB592" s="216"/>
      <c r="AC592" s="216"/>
      <c r="AD592" s="344"/>
      <c r="AE592" s="344"/>
      <c r="AF592" s="344"/>
      <c r="AG592" s="344"/>
    </row>
    <row r="593">
      <c r="A593" s="450">
        <v>53.0</v>
      </c>
      <c r="B593" s="442" t="s">
        <v>595</v>
      </c>
      <c r="C593" s="443">
        <v>2022.0</v>
      </c>
      <c r="D593" s="444" t="s">
        <v>1001</v>
      </c>
      <c r="E593" s="444"/>
      <c r="F593" s="440"/>
      <c r="G593" s="216"/>
      <c r="H593" s="216"/>
      <c r="I593" s="216"/>
      <c r="J593" s="216"/>
      <c r="K593" s="216"/>
      <c r="L593" s="216"/>
      <c r="M593" s="216"/>
      <c r="N593" s="216"/>
      <c r="O593" s="216"/>
      <c r="P593" s="216"/>
      <c r="Q593" s="216"/>
      <c r="R593" s="216"/>
      <c r="S593" s="216"/>
      <c r="T593" s="216"/>
      <c r="U593" s="216"/>
      <c r="V593" s="216"/>
      <c r="W593" s="216"/>
      <c r="X593" s="216"/>
      <c r="Y593" s="216"/>
      <c r="Z593" s="216"/>
      <c r="AA593" s="216"/>
      <c r="AB593" s="216"/>
      <c r="AC593" s="216"/>
      <c r="AD593" s="344"/>
      <c r="AE593" s="344"/>
      <c r="AF593" s="344"/>
      <c r="AG593" s="344"/>
    </row>
    <row r="594">
      <c r="A594" s="445"/>
      <c r="B594" s="442"/>
      <c r="C594" s="443">
        <v>2022.0</v>
      </c>
      <c r="D594" s="444" t="s">
        <v>1052</v>
      </c>
      <c r="E594" s="442"/>
      <c r="F594" s="440"/>
      <c r="G594" s="216"/>
      <c r="H594" s="216"/>
      <c r="I594" s="216"/>
      <c r="J594" s="216"/>
      <c r="K594" s="216"/>
      <c r="L594" s="216"/>
      <c r="M594" s="216"/>
      <c r="N594" s="216"/>
      <c r="O594" s="216"/>
      <c r="P594" s="216"/>
      <c r="Q594" s="216"/>
      <c r="R594" s="216"/>
      <c r="S594" s="216"/>
      <c r="T594" s="216"/>
      <c r="U594" s="216"/>
      <c r="V594" s="216"/>
      <c r="W594" s="216"/>
      <c r="X594" s="216"/>
      <c r="Y594" s="216"/>
      <c r="Z594" s="216"/>
      <c r="AA594" s="216"/>
      <c r="AB594" s="216"/>
      <c r="AC594" s="216"/>
      <c r="AD594" s="344"/>
      <c r="AE594" s="344"/>
      <c r="AF594" s="344"/>
      <c r="AG594" s="344"/>
    </row>
    <row r="595">
      <c r="A595" s="445"/>
      <c r="B595" s="442"/>
      <c r="C595" s="443">
        <v>2023.0</v>
      </c>
      <c r="D595" s="444" t="s">
        <v>974</v>
      </c>
      <c r="E595" s="444"/>
      <c r="F595" s="440"/>
      <c r="G595" s="216"/>
      <c r="H595" s="216"/>
      <c r="I595" s="216"/>
      <c r="J595" s="216"/>
      <c r="K595" s="216"/>
      <c r="L595" s="216"/>
      <c r="M595" s="216"/>
      <c r="N595" s="216"/>
      <c r="O595" s="216"/>
      <c r="P595" s="216"/>
      <c r="Q595" s="216"/>
      <c r="R595" s="216"/>
      <c r="S595" s="216"/>
      <c r="T595" s="216"/>
      <c r="U595" s="216"/>
      <c r="V595" s="216"/>
      <c r="W595" s="216"/>
      <c r="X595" s="216"/>
      <c r="Y595" s="216"/>
      <c r="Z595" s="216"/>
      <c r="AA595" s="216"/>
      <c r="AB595" s="216"/>
      <c r="AC595" s="216"/>
      <c r="AD595" s="344"/>
      <c r="AE595" s="344"/>
      <c r="AF595" s="344"/>
      <c r="AG595" s="344"/>
    </row>
    <row r="596">
      <c r="A596" s="445"/>
      <c r="B596" s="442"/>
      <c r="C596" s="443">
        <v>2023.0</v>
      </c>
      <c r="D596" s="444" t="s">
        <v>964</v>
      </c>
      <c r="E596" s="444"/>
      <c r="F596" s="440"/>
      <c r="G596" s="216"/>
      <c r="H596" s="216"/>
      <c r="I596" s="216"/>
      <c r="J596" s="216"/>
      <c r="K596" s="216"/>
      <c r="L596" s="216"/>
      <c r="M596" s="216"/>
      <c r="N596" s="216"/>
      <c r="O596" s="216"/>
      <c r="P596" s="216"/>
      <c r="Q596" s="216"/>
      <c r="R596" s="216"/>
      <c r="S596" s="216"/>
      <c r="T596" s="216"/>
      <c r="U596" s="216"/>
      <c r="V596" s="216"/>
      <c r="W596" s="216"/>
      <c r="X596" s="216"/>
      <c r="Y596" s="216"/>
      <c r="Z596" s="216"/>
      <c r="AA596" s="216"/>
      <c r="AB596" s="216"/>
      <c r="AC596" s="216"/>
      <c r="AD596" s="344"/>
      <c r="AE596" s="344"/>
      <c r="AF596" s="344"/>
      <c r="AG596" s="344"/>
    </row>
    <row r="597">
      <c r="A597" s="445"/>
      <c r="B597" s="442"/>
      <c r="C597" s="443">
        <v>2024.0</v>
      </c>
      <c r="D597" s="446" t="s">
        <v>935</v>
      </c>
      <c r="E597" s="442"/>
      <c r="F597" s="440"/>
      <c r="G597" s="216"/>
      <c r="H597" s="216"/>
      <c r="I597" s="216"/>
      <c r="J597" s="216"/>
      <c r="K597" s="216"/>
      <c r="L597" s="216"/>
      <c r="M597" s="216"/>
      <c r="N597" s="216"/>
      <c r="O597" s="216"/>
      <c r="P597" s="216"/>
      <c r="Q597" s="216"/>
      <c r="R597" s="216"/>
      <c r="S597" s="216"/>
      <c r="T597" s="216"/>
      <c r="U597" s="216"/>
      <c r="V597" s="216"/>
      <c r="W597" s="216"/>
      <c r="X597" s="216"/>
      <c r="Y597" s="216"/>
      <c r="Z597" s="216"/>
      <c r="AA597" s="216"/>
      <c r="AB597" s="216"/>
      <c r="AC597" s="216"/>
      <c r="AD597" s="344"/>
      <c r="AE597" s="344"/>
      <c r="AF597" s="344"/>
      <c r="AG597" s="344"/>
    </row>
    <row r="598">
      <c r="A598" s="445"/>
      <c r="B598" s="442"/>
      <c r="C598" s="443">
        <v>2024.0</v>
      </c>
      <c r="D598" s="444" t="s">
        <v>1004</v>
      </c>
      <c r="E598" s="442"/>
      <c r="F598" s="440"/>
      <c r="G598" s="216"/>
      <c r="H598" s="216"/>
      <c r="I598" s="216"/>
      <c r="J598" s="216"/>
      <c r="K598" s="216"/>
      <c r="L598" s="216"/>
      <c r="M598" s="216"/>
      <c r="N598" s="216"/>
      <c r="O598" s="216"/>
      <c r="P598" s="216"/>
      <c r="Q598" s="216"/>
      <c r="R598" s="216"/>
      <c r="S598" s="216"/>
      <c r="T598" s="216"/>
      <c r="U598" s="216"/>
      <c r="V598" s="216"/>
      <c r="W598" s="216"/>
      <c r="X598" s="216"/>
      <c r="Y598" s="216"/>
      <c r="Z598" s="216"/>
      <c r="AA598" s="216"/>
      <c r="AB598" s="216"/>
      <c r="AC598" s="216"/>
      <c r="AD598" s="344"/>
      <c r="AE598" s="344"/>
      <c r="AF598" s="344"/>
      <c r="AG598" s="344"/>
    </row>
    <row r="599">
      <c r="A599" s="445"/>
      <c r="B599" s="442"/>
      <c r="C599" s="443">
        <v>2024.0</v>
      </c>
      <c r="D599" s="444" t="s">
        <v>976</v>
      </c>
      <c r="E599" s="442"/>
      <c r="F599" s="440"/>
      <c r="G599" s="216"/>
      <c r="H599" s="216"/>
      <c r="I599" s="216"/>
      <c r="J599" s="216"/>
      <c r="K599" s="216"/>
      <c r="L599" s="216"/>
      <c r="M599" s="216"/>
      <c r="N599" s="216"/>
      <c r="O599" s="216"/>
      <c r="P599" s="216"/>
      <c r="Q599" s="216"/>
      <c r="R599" s="216"/>
      <c r="S599" s="216"/>
      <c r="T599" s="216"/>
      <c r="U599" s="216"/>
      <c r="V599" s="216"/>
      <c r="W599" s="216"/>
      <c r="X599" s="216"/>
      <c r="Y599" s="216"/>
      <c r="Z599" s="216"/>
      <c r="AA599" s="216"/>
      <c r="AB599" s="216"/>
      <c r="AC599" s="216"/>
      <c r="AD599" s="344"/>
      <c r="AE599" s="344"/>
      <c r="AF599" s="344"/>
      <c r="AG599" s="344"/>
    </row>
    <row r="600">
      <c r="A600" s="450">
        <v>54.0</v>
      </c>
      <c r="B600" s="442" t="s">
        <v>597</v>
      </c>
      <c r="C600" s="443">
        <v>2022.0</v>
      </c>
      <c r="D600" s="444" t="s">
        <v>1053</v>
      </c>
      <c r="E600" s="444"/>
      <c r="F600" s="440"/>
      <c r="G600" s="216"/>
      <c r="H600" s="216"/>
      <c r="I600" s="216"/>
      <c r="J600" s="216"/>
      <c r="K600" s="216"/>
      <c r="L600" s="216"/>
      <c r="M600" s="216"/>
      <c r="N600" s="216"/>
      <c r="O600" s="216"/>
      <c r="P600" s="216"/>
      <c r="Q600" s="216"/>
      <c r="R600" s="216"/>
      <c r="S600" s="216"/>
      <c r="T600" s="216"/>
      <c r="U600" s="216"/>
      <c r="V600" s="216"/>
      <c r="W600" s="216"/>
      <c r="X600" s="216"/>
      <c r="Y600" s="216"/>
      <c r="Z600" s="216"/>
      <c r="AA600" s="216"/>
      <c r="AB600" s="216"/>
      <c r="AC600" s="216"/>
      <c r="AD600" s="344"/>
      <c r="AE600" s="344"/>
      <c r="AF600" s="344"/>
      <c r="AG600" s="344"/>
    </row>
    <row r="601">
      <c r="A601" s="445"/>
      <c r="B601" s="442"/>
      <c r="C601" s="443">
        <v>2023.0</v>
      </c>
      <c r="D601" s="444" t="s">
        <v>1054</v>
      </c>
      <c r="E601" s="444"/>
      <c r="F601" s="440"/>
      <c r="G601" s="216"/>
      <c r="H601" s="216"/>
      <c r="I601" s="216"/>
      <c r="J601" s="216"/>
      <c r="K601" s="216"/>
      <c r="L601" s="216"/>
      <c r="M601" s="216"/>
      <c r="N601" s="216"/>
      <c r="O601" s="216"/>
      <c r="P601" s="216"/>
      <c r="Q601" s="216"/>
      <c r="R601" s="216"/>
      <c r="S601" s="216"/>
      <c r="T601" s="216"/>
      <c r="U601" s="216"/>
      <c r="V601" s="216"/>
      <c r="W601" s="216"/>
      <c r="X601" s="216"/>
      <c r="Y601" s="216"/>
      <c r="Z601" s="216"/>
      <c r="AA601" s="216"/>
      <c r="AB601" s="216"/>
      <c r="AC601" s="216"/>
      <c r="AD601" s="344"/>
      <c r="AE601" s="344"/>
      <c r="AF601" s="344"/>
      <c r="AG601" s="344"/>
    </row>
    <row r="602">
      <c r="A602" s="445"/>
      <c r="B602" s="442"/>
      <c r="C602" s="443">
        <v>2023.0</v>
      </c>
      <c r="D602" s="444" t="s">
        <v>1055</v>
      </c>
      <c r="E602" s="444"/>
      <c r="F602" s="440"/>
      <c r="G602" s="216"/>
      <c r="H602" s="216"/>
      <c r="I602" s="216"/>
      <c r="J602" s="216"/>
      <c r="K602" s="216"/>
      <c r="L602" s="216"/>
      <c r="M602" s="216"/>
      <c r="N602" s="216"/>
      <c r="O602" s="216"/>
      <c r="P602" s="216"/>
      <c r="Q602" s="216"/>
      <c r="R602" s="216"/>
      <c r="S602" s="216"/>
      <c r="T602" s="216"/>
      <c r="U602" s="216"/>
      <c r="V602" s="216"/>
      <c r="W602" s="216"/>
      <c r="X602" s="216"/>
      <c r="Y602" s="216"/>
      <c r="Z602" s="216"/>
      <c r="AA602" s="216"/>
      <c r="AB602" s="216"/>
      <c r="AC602" s="216"/>
      <c r="AD602" s="344"/>
      <c r="AE602" s="344"/>
      <c r="AF602" s="344"/>
      <c r="AG602" s="344"/>
    </row>
    <row r="603">
      <c r="A603" s="450">
        <v>55.0</v>
      </c>
      <c r="B603" s="442" t="s">
        <v>799</v>
      </c>
      <c r="C603" s="443"/>
      <c r="D603" s="442"/>
      <c r="E603" s="442"/>
      <c r="F603" s="440"/>
      <c r="G603" s="216"/>
      <c r="H603" s="216"/>
      <c r="I603" s="216"/>
      <c r="J603" s="216"/>
      <c r="K603" s="216"/>
      <c r="L603" s="216"/>
      <c r="M603" s="216"/>
      <c r="N603" s="216"/>
      <c r="O603" s="216"/>
      <c r="P603" s="216"/>
      <c r="Q603" s="216"/>
      <c r="R603" s="216"/>
      <c r="S603" s="216"/>
      <c r="T603" s="216"/>
      <c r="U603" s="216"/>
      <c r="V603" s="216"/>
      <c r="W603" s="216"/>
      <c r="X603" s="216"/>
      <c r="Y603" s="216"/>
      <c r="Z603" s="216"/>
      <c r="AA603" s="216"/>
      <c r="AB603" s="216"/>
      <c r="AC603" s="216"/>
      <c r="AD603" s="344"/>
      <c r="AE603" s="344"/>
      <c r="AF603" s="344"/>
      <c r="AG603" s="344"/>
    </row>
    <row r="604">
      <c r="A604" s="450">
        <v>56.0</v>
      </c>
      <c r="B604" s="442" t="s">
        <v>598</v>
      </c>
      <c r="C604" s="443">
        <v>2022.0</v>
      </c>
      <c r="D604" s="442" t="s">
        <v>1056</v>
      </c>
      <c r="E604" s="442" t="s">
        <v>929</v>
      </c>
      <c r="F604" s="440"/>
      <c r="G604" s="216"/>
      <c r="H604" s="216"/>
      <c r="I604" s="216"/>
      <c r="J604" s="216"/>
      <c r="K604" s="216"/>
      <c r="L604" s="216"/>
      <c r="M604" s="216"/>
      <c r="N604" s="216"/>
      <c r="O604" s="216"/>
      <c r="P604" s="216"/>
      <c r="Q604" s="216"/>
      <c r="R604" s="216"/>
      <c r="S604" s="216"/>
      <c r="T604" s="216"/>
      <c r="U604" s="216"/>
      <c r="V604" s="216"/>
      <c r="W604" s="216"/>
      <c r="X604" s="216"/>
      <c r="Y604" s="216"/>
      <c r="Z604" s="216"/>
      <c r="AA604" s="216"/>
      <c r="AB604" s="216"/>
      <c r="AC604" s="216"/>
      <c r="AD604" s="344"/>
      <c r="AE604" s="344"/>
      <c r="AF604" s="344"/>
      <c r="AG604" s="344"/>
    </row>
    <row r="605">
      <c r="A605" s="445"/>
      <c r="B605" s="442"/>
      <c r="C605" s="443">
        <v>2023.0</v>
      </c>
      <c r="D605" s="444" t="s">
        <v>1057</v>
      </c>
      <c r="E605" s="444"/>
      <c r="F605" s="440"/>
      <c r="G605" s="216"/>
      <c r="H605" s="216"/>
      <c r="I605" s="216"/>
      <c r="J605" s="216"/>
      <c r="K605" s="216"/>
      <c r="L605" s="216"/>
      <c r="M605" s="216"/>
      <c r="N605" s="216"/>
      <c r="O605" s="216"/>
      <c r="P605" s="216"/>
      <c r="Q605" s="216"/>
      <c r="R605" s="216"/>
      <c r="S605" s="216"/>
      <c r="T605" s="216"/>
      <c r="U605" s="216"/>
      <c r="V605" s="216"/>
      <c r="W605" s="216"/>
      <c r="X605" s="216"/>
      <c r="Y605" s="216"/>
      <c r="Z605" s="216"/>
      <c r="AA605" s="216"/>
      <c r="AB605" s="216"/>
      <c r="AC605" s="216"/>
      <c r="AD605" s="344"/>
      <c r="AE605" s="344"/>
      <c r="AF605" s="344"/>
      <c r="AG605" s="344"/>
    </row>
    <row r="606">
      <c r="A606" s="445"/>
      <c r="B606" s="442"/>
      <c r="C606" s="443">
        <v>2023.0</v>
      </c>
      <c r="D606" s="444" t="s">
        <v>1058</v>
      </c>
      <c r="E606" s="444"/>
      <c r="F606" s="440"/>
      <c r="G606" s="216"/>
      <c r="H606" s="216"/>
      <c r="I606" s="216"/>
      <c r="J606" s="216"/>
      <c r="K606" s="216"/>
      <c r="L606" s="216"/>
      <c r="M606" s="216"/>
      <c r="N606" s="216"/>
      <c r="O606" s="216"/>
      <c r="P606" s="216"/>
      <c r="Q606" s="216"/>
      <c r="R606" s="216"/>
      <c r="S606" s="216"/>
      <c r="T606" s="216"/>
      <c r="U606" s="216"/>
      <c r="V606" s="216"/>
      <c r="W606" s="216"/>
      <c r="X606" s="216"/>
      <c r="Y606" s="216"/>
      <c r="Z606" s="216"/>
      <c r="AA606" s="216"/>
      <c r="AB606" s="216"/>
      <c r="AC606" s="216"/>
      <c r="AD606" s="344"/>
      <c r="AE606" s="344"/>
      <c r="AF606" s="344"/>
      <c r="AG606" s="344"/>
    </row>
    <row r="607">
      <c r="A607" s="445"/>
      <c r="B607" s="442"/>
      <c r="C607" s="443">
        <v>2023.0</v>
      </c>
      <c r="D607" s="444" t="s">
        <v>1052</v>
      </c>
      <c r="E607" s="442"/>
      <c r="F607" s="440"/>
      <c r="G607" s="216"/>
      <c r="H607" s="216"/>
      <c r="I607" s="216"/>
      <c r="J607" s="216"/>
      <c r="K607" s="216"/>
      <c r="L607" s="216"/>
      <c r="M607" s="216"/>
      <c r="N607" s="216"/>
      <c r="O607" s="216"/>
      <c r="P607" s="216"/>
      <c r="Q607" s="216"/>
      <c r="R607" s="216"/>
      <c r="S607" s="216"/>
      <c r="T607" s="216"/>
      <c r="U607" s="216"/>
      <c r="V607" s="216"/>
      <c r="W607" s="216"/>
      <c r="X607" s="216"/>
      <c r="Y607" s="216"/>
      <c r="Z607" s="216"/>
      <c r="AA607" s="216"/>
      <c r="AB607" s="216"/>
      <c r="AC607" s="216"/>
      <c r="AD607" s="344"/>
      <c r="AE607" s="344"/>
      <c r="AF607" s="344"/>
      <c r="AG607" s="344"/>
    </row>
    <row r="608">
      <c r="A608" s="445"/>
      <c r="B608" s="442"/>
      <c r="C608" s="443">
        <v>2023.0</v>
      </c>
      <c r="D608" s="444" t="s">
        <v>1059</v>
      </c>
      <c r="E608" s="444"/>
      <c r="F608" s="440"/>
      <c r="G608" s="216"/>
      <c r="H608" s="216"/>
      <c r="I608" s="216"/>
      <c r="J608" s="216"/>
      <c r="K608" s="216"/>
      <c r="L608" s="216"/>
      <c r="M608" s="216"/>
      <c r="N608" s="216"/>
      <c r="O608" s="216"/>
      <c r="P608" s="216"/>
      <c r="Q608" s="216"/>
      <c r="R608" s="216"/>
      <c r="S608" s="216"/>
      <c r="T608" s="216"/>
      <c r="U608" s="216"/>
      <c r="V608" s="216"/>
      <c r="W608" s="216"/>
      <c r="X608" s="216"/>
      <c r="Y608" s="216"/>
      <c r="Z608" s="216"/>
      <c r="AA608" s="216"/>
      <c r="AB608" s="216"/>
      <c r="AC608" s="216"/>
      <c r="AD608" s="344"/>
      <c r="AE608" s="344"/>
      <c r="AF608" s="344"/>
      <c r="AG608" s="344"/>
    </row>
    <row r="609">
      <c r="A609" s="445"/>
      <c r="B609" s="442"/>
      <c r="C609" s="443">
        <v>2023.0</v>
      </c>
      <c r="D609" s="444" t="s">
        <v>1060</v>
      </c>
      <c r="E609" s="444"/>
      <c r="F609" s="440"/>
      <c r="G609" s="216"/>
      <c r="H609" s="216"/>
      <c r="I609" s="216"/>
      <c r="J609" s="216"/>
      <c r="K609" s="216"/>
      <c r="L609" s="216"/>
      <c r="M609" s="216"/>
      <c r="N609" s="216"/>
      <c r="O609" s="216"/>
      <c r="P609" s="216"/>
      <c r="Q609" s="216"/>
      <c r="R609" s="216"/>
      <c r="S609" s="216"/>
      <c r="T609" s="216"/>
      <c r="U609" s="216"/>
      <c r="V609" s="216"/>
      <c r="W609" s="216"/>
      <c r="X609" s="216"/>
      <c r="Y609" s="216"/>
      <c r="Z609" s="216"/>
      <c r="AA609" s="216"/>
      <c r="AB609" s="216"/>
      <c r="AC609" s="216"/>
      <c r="AD609" s="344"/>
      <c r="AE609" s="344"/>
      <c r="AF609" s="344"/>
      <c r="AG609" s="344"/>
    </row>
    <row r="610">
      <c r="A610" s="450">
        <v>57.0</v>
      </c>
      <c r="B610" s="442" t="s">
        <v>1061</v>
      </c>
      <c r="C610" s="443">
        <v>2022.0</v>
      </c>
      <c r="D610" s="442" t="s">
        <v>1021</v>
      </c>
      <c r="E610" s="442" t="s">
        <v>929</v>
      </c>
      <c r="F610" s="440"/>
      <c r="G610" s="216"/>
      <c r="H610" s="216"/>
      <c r="I610" s="216"/>
      <c r="J610" s="216"/>
      <c r="K610" s="216"/>
      <c r="L610" s="216"/>
      <c r="M610" s="216"/>
      <c r="N610" s="216"/>
      <c r="O610" s="216"/>
      <c r="P610" s="216"/>
      <c r="Q610" s="216"/>
      <c r="R610" s="216"/>
      <c r="S610" s="216"/>
      <c r="T610" s="216"/>
      <c r="U610" s="216"/>
      <c r="V610" s="216"/>
      <c r="W610" s="216"/>
      <c r="X610" s="216"/>
      <c r="Y610" s="216"/>
      <c r="Z610" s="216"/>
      <c r="AA610" s="216"/>
      <c r="AB610" s="216"/>
      <c r="AC610" s="216"/>
      <c r="AD610" s="344"/>
      <c r="AE610" s="344"/>
      <c r="AF610" s="344"/>
      <c r="AG610" s="344"/>
    </row>
    <row r="611">
      <c r="A611" s="445"/>
      <c r="B611" s="442"/>
      <c r="C611" s="443">
        <v>2022.0</v>
      </c>
      <c r="D611" s="442" t="s">
        <v>958</v>
      </c>
      <c r="E611" s="442" t="s">
        <v>929</v>
      </c>
      <c r="F611" s="440"/>
      <c r="G611" s="216"/>
      <c r="H611" s="216"/>
      <c r="I611" s="216"/>
      <c r="J611" s="216"/>
      <c r="K611" s="216"/>
      <c r="L611" s="216"/>
      <c r="M611" s="216"/>
      <c r="N611" s="216"/>
      <c r="O611" s="216"/>
      <c r="P611" s="216"/>
      <c r="Q611" s="216"/>
      <c r="R611" s="216"/>
      <c r="S611" s="216"/>
      <c r="T611" s="216"/>
      <c r="U611" s="216"/>
      <c r="V611" s="216"/>
      <c r="W611" s="216"/>
      <c r="X611" s="216"/>
      <c r="Y611" s="216"/>
      <c r="Z611" s="216"/>
      <c r="AA611" s="216"/>
      <c r="AB611" s="216"/>
      <c r="AC611" s="216"/>
      <c r="AD611" s="344"/>
      <c r="AE611" s="344"/>
      <c r="AF611" s="344"/>
      <c r="AG611" s="344"/>
    </row>
    <row r="612">
      <c r="A612" s="445"/>
      <c r="B612" s="442"/>
      <c r="C612" s="443">
        <v>2023.0</v>
      </c>
      <c r="D612" s="442" t="s">
        <v>1022</v>
      </c>
      <c r="E612" s="442" t="s">
        <v>929</v>
      </c>
      <c r="F612" s="440"/>
      <c r="G612" s="216"/>
      <c r="H612" s="216"/>
      <c r="I612" s="216"/>
      <c r="J612" s="216"/>
      <c r="K612" s="216"/>
      <c r="L612" s="216"/>
      <c r="M612" s="216"/>
      <c r="N612" s="216"/>
      <c r="O612" s="216"/>
      <c r="P612" s="216"/>
      <c r="Q612" s="216"/>
      <c r="R612" s="216"/>
      <c r="S612" s="216"/>
      <c r="T612" s="216"/>
      <c r="U612" s="216"/>
      <c r="V612" s="216"/>
      <c r="W612" s="216"/>
      <c r="X612" s="216"/>
      <c r="Y612" s="216"/>
      <c r="Z612" s="216"/>
      <c r="AA612" s="216"/>
      <c r="AB612" s="216"/>
      <c r="AC612" s="216"/>
      <c r="AD612" s="344"/>
      <c r="AE612" s="344"/>
      <c r="AF612" s="344"/>
      <c r="AG612" s="344"/>
    </row>
    <row r="613">
      <c r="A613" s="445"/>
      <c r="B613" s="442"/>
      <c r="C613" s="443">
        <v>2024.0</v>
      </c>
      <c r="D613" s="444" t="s">
        <v>1004</v>
      </c>
      <c r="E613" s="442"/>
      <c r="F613" s="440"/>
      <c r="G613" s="216"/>
      <c r="H613" s="216"/>
      <c r="I613" s="216"/>
      <c r="J613" s="216"/>
      <c r="K613" s="216"/>
      <c r="L613" s="216"/>
      <c r="M613" s="216"/>
      <c r="N613" s="216"/>
      <c r="O613" s="216"/>
      <c r="P613" s="216"/>
      <c r="Q613" s="216"/>
      <c r="R613" s="216"/>
      <c r="S613" s="216"/>
      <c r="T613" s="216"/>
      <c r="U613" s="216"/>
      <c r="V613" s="216"/>
      <c r="W613" s="216"/>
      <c r="X613" s="216"/>
      <c r="Y613" s="216"/>
      <c r="Z613" s="216"/>
      <c r="AA613" s="216"/>
      <c r="AB613" s="216"/>
      <c r="AC613" s="216"/>
      <c r="AD613" s="344"/>
      <c r="AE613" s="344"/>
      <c r="AF613" s="344"/>
      <c r="AG613" s="344"/>
    </row>
    <row r="614">
      <c r="A614" s="450">
        <v>58.0</v>
      </c>
      <c r="B614" s="442" t="s">
        <v>881</v>
      </c>
      <c r="C614" s="443">
        <v>2022.0</v>
      </c>
      <c r="D614" s="442" t="s">
        <v>1062</v>
      </c>
      <c r="E614" s="442" t="s">
        <v>929</v>
      </c>
      <c r="F614" s="440"/>
      <c r="G614" s="216"/>
      <c r="H614" s="216"/>
      <c r="I614" s="216"/>
      <c r="J614" s="216"/>
      <c r="K614" s="216"/>
      <c r="L614" s="216"/>
      <c r="M614" s="216"/>
      <c r="N614" s="216"/>
      <c r="O614" s="216"/>
      <c r="P614" s="216"/>
      <c r="Q614" s="216"/>
      <c r="R614" s="216"/>
      <c r="S614" s="216"/>
      <c r="T614" s="216"/>
      <c r="U614" s="216"/>
      <c r="V614" s="216"/>
      <c r="W614" s="216"/>
      <c r="X614" s="216"/>
      <c r="Y614" s="216"/>
      <c r="Z614" s="216"/>
      <c r="AA614" s="216"/>
      <c r="AB614" s="216"/>
      <c r="AC614" s="216"/>
      <c r="AD614" s="344"/>
      <c r="AE614" s="344"/>
      <c r="AF614" s="344"/>
      <c r="AG614" s="344"/>
    </row>
    <row r="615">
      <c r="A615" s="445"/>
      <c r="B615" s="442"/>
      <c r="C615" s="443">
        <v>2022.0</v>
      </c>
      <c r="D615" s="442" t="s">
        <v>950</v>
      </c>
      <c r="E615" s="442" t="s">
        <v>929</v>
      </c>
      <c r="F615" s="440"/>
      <c r="G615" s="216"/>
      <c r="H615" s="216"/>
      <c r="I615" s="216"/>
      <c r="J615" s="216"/>
      <c r="K615" s="216"/>
      <c r="L615" s="216"/>
      <c r="M615" s="216"/>
      <c r="N615" s="216"/>
      <c r="O615" s="216"/>
      <c r="P615" s="216"/>
      <c r="Q615" s="216"/>
      <c r="R615" s="216"/>
      <c r="S615" s="216"/>
      <c r="T615" s="216"/>
      <c r="U615" s="216"/>
      <c r="V615" s="216"/>
      <c r="W615" s="216"/>
      <c r="X615" s="216"/>
      <c r="Y615" s="216"/>
      <c r="Z615" s="216"/>
      <c r="AA615" s="216"/>
      <c r="AB615" s="216"/>
      <c r="AC615" s="216"/>
      <c r="AD615" s="344"/>
      <c r="AE615" s="344"/>
      <c r="AF615" s="344"/>
      <c r="AG615" s="344"/>
    </row>
    <row r="616">
      <c r="A616" s="445"/>
      <c r="B616" s="442"/>
      <c r="C616" s="443">
        <v>2023.0</v>
      </c>
      <c r="D616" s="442" t="s">
        <v>964</v>
      </c>
      <c r="E616" s="442" t="s">
        <v>929</v>
      </c>
      <c r="F616" s="440"/>
      <c r="G616" s="216"/>
      <c r="H616" s="216"/>
      <c r="I616" s="216"/>
      <c r="J616" s="216"/>
      <c r="K616" s="216"/>
      <c r="L616" s="216"/>
      <c r="M616" s="216"/>
      <c r="N616" s="216"/>
      <c r="O616" s="216"/>
      <c r="P616" s="216"/>
      <c r="Q616" s="216"/>
      <c r="R616" s="216"/>
      <c r="S616" s="216"/>
      <c r="T616" s="216"/>
      <c r="U616" s="216"/>
      <c r="V616" s="216"/>
      <c r="W616" s="216"/>
      <c r="X616" s="216"/>
      <c r="Y616" s="216"/>
      <c r="Z616" s="216"/>
      <c r="AA616" s="216"/>
      <c r="AB616" s="216"/>
      <c r="AC616" s="216"/>
      <c r="AD616" s="344"/>
      <c r="AE616" s="344"/>
      <c r="AF616" s="344"/>
      <c r="AG616" s="344"/>
    </row>
    <row r="617">
      <c r="A617" s="445"/>
      <c r="B617" s="442"/>
      <c r="C617" s="443">
        <v>2023.0</v>
      </c>
      <c r="D617" s="442" t="s">
        <v>1063</v>
      </c>
      <c r="E617" s="442" t="s">
        <v>933</v>
      </c>
      <c r="F617" s="440"/>
      <c r="G617" s="216"/>
      <c r="H617" s="216"/>
      <c r="I617" s="216"/>
      <c r="J617" s="216"/>
      <c r="K617" s="216"/>
      <c r="L617" s="216"/>
      <c r="M617" s="216"/>
      <c r="N617" s="216"/>
      <c r="O617" s="216"/>
      <c r="P617" s="216"/>
      <c r="Q617" s="216"/>
      <c r="R617" s="216"/>
      <c r="S617" s="216"/>
      <c r="T617" s="216"/>
      <c r="U617" s="216"/>
      <c r="V617" s="216"/>
      <c r="W617" s="216"/>
      <c r="X617" s="216"/>
      <c r="Y617" s="216"/>
      <c r="Z617" s="216"/>
      <c r="AA617" s="216"/>
      <c r="AB617" s="216"/>
      <c r="AC617" s="216"/>
      <c r="AD617" s="344"/>
      <c r="AE617" s="344"/>
      <c r="AF617" s="344"/>
      <c r="AG617" s="344"/>
    </row>
    <row r="618">
      <c r="A618" s="445"/>
      <c r="B618" s="442"/>
      <c r="C618" s="443">
        <v>2023.0</v>
      </c>
      <c r="D618" s="442" t="s">
        <v>951</v>
      </c>
      <c r="E618" s="442" t="s">
        <v>929</v>
      </c>
      <c r="F618" s="440"/>
      <c r="G618" s="216"/>
      <c r="H618" s="216"/>
      <c r="I618" s="216"/>
      <c r="J618" s="216"/>
      <c r="K618" s="216"/>
      <c r="L618" s="216"/>
      <c r="M618" s="216"/>
      <c r="N618" s="216"/>
      <c r="O618" s="216"/>
      <c r="P618" s="216"/>
      <c r="Q618" s="216"/>
      <c r="R618" s="216"/>
      <c r="S618" s="216"/>
      <c r="T618" s="216"/>
      <c r="U618" s="216"/>
      <c r="V618" s="216"/>
      <c r="W618" s="216"/>
      <c r="X618" s="216"/>
      <c r="Y618" s="216"/>
      <c r="Z618" s="216"/>
      <c r="AA618" s="216"/>
      <c r="AB618" s="216"/>
      <c r="AC618" s="216"/>
      <c r="AD618" s="344"/>
      <c r="AE618" s="344"/>
      <c r="AF618" s="344"/>
      <c r="AG618" s="344"/>
    </row>
    <row r="619">
      <c r="A619" s="445"/>
      <c r="B619" s="442"/>
      <c r="C619" s="443">
        <v>2024.0</v>
      </c>
      <c r="D619" s="444" t="s">
        <v>947</v>
      </c>
      <c r="E619" s="444"/>
      <c r="F619" s="440"/>
      <c r="G619" s="216"/>
      <c r="H619" s="216"/>
      <c r="I619" s="216"/>
      <c r="J619" s="216"/>
      <c r="K619" s="216"/>
      <c r="L619" s="216"/>
      <c r="M619" s="216"/>
      <c r="N619" s="216"/>
      <c r="O619" s="216"/>
      <c r="P619" s="216"/>
      <c r="Q619" s="216"/>
      <c r="R619" s="216"/>
      <c r="S619" s="216"/>
      <c r="T619" s="216"/>
      <c r="U619" s="216"/>
      <c r="V619" s="216"/>
      <c r="W619" s="216"/>
      <c r="X619" s="216"/>
      <c r="Y619" s="216"/>
      <c r="Z619" s="216"/>
      <c r="AA619" s="216"/>
      <c r="AB619" s="216"/>
      <c r="AC619" s="216"/>
      <c r="AD619" s="344"/>
      <c r="AE619" s="344"/>
      <c r="AF619" s="344"/>
      <c r="AG619" s="344"/>
    </row>
    <row r="620">
      <c r="A620" s="445"/>
      <c r="B620" s="442"/>
      <c r="C620" s="443">
        <v>2024.0</v>
      </c>
      <c r="D620" s="444" t="s">
        <v>948</v>
      </c>
      <c r="E620" s="444"/>
      <c r="F620" s="440"/>
      <c r="G620" s="216"/>
      <c r="H620" s="216"/>
      <c r="I620" s="216"/>
      <c r="J620" s="216"/>
      <c r="K620" s="216"/>
      <c r="L620" s="216"/>
      <c r="M620" s="216"/>
      <c r="N620" s="216"/>
      <c r="O620" s="216"/>
      <c r="P620" s="216"/>
      <c r="Q620" s="216"/>
      <c r="R620" s="216"/>
      <c r="S620" s="216"/>
      <c r="T620" s="216"/>
      <c r="U620" s="216"/>
      <c r="V620" s="216"/>
      <c r="W620" s="216"/>
      <c r="X620" s="216"/>
      <c r="Y620" s="216"/>
      <c r="Z620" s="216"/>
      <c r="AA620" s="216"/>
      <c r="AB620" s="216"/>
      <c r="AC620" s="216"/>
      <c r="AD620" s="344"/>
      <c r="AE620" s="344"/>
      <c r="AF620" s="344"/>
      <c r="AG620" s="344"/>
    </row>
    <row r="621">
      <c r="A621" s="445"/>
      <c r="B621" s="442"/>
      <c r="C621" s="443">
        <v>2024.0</v>
      </c>
      <c r="D621" s="444" t="s">
        <v>952</v>
      </c>
      <c r="E621" s="444"/>
      <c r="F621" s="440"/>
      <c r="G621" s="216"/>
      <c r="H621" s="216"/>
      <c r="I621" s="216"/>
      <c r="J621" s="216"/>
      <c r="K621" s="216"/>
      <c r="L621" s="216"/>
      <c r="M621" s="216"/>
      <c r="N621" s="216"/>
      <c r="O621" s="216"/>
      <c r="P621" s="216"/>
      <c r="Q621" s="216"/>
      <c r="R621" s="216"/>
      <c r="S621" s="216"/>
      <c r="T621" s="216"/>
      <c r="U621" s="216"/>
      <c r="V621" s="216"/>
      <c r="W621" s="216"/>
      <c r="X621" s="216"/>
      <c r="Y621" s="216"/>
      <c r="Z621" s="216"/>
      <c r="AA621" s="216"/>
      <c r="AB621" s="216"/>
      <c r="AC621" s="216"/>
      <c r="AD621" s="344"/>
      <c r="AE621" s="344"/>
      <c r="AF621" s="344"/>
      <c r="AG621" s="344"/>
    </row>
    <row r="622">
      <c r="A622" s="450">
        <v>59.0</v>
      </c>
      <c r="B622" s="442" t="s">
        <v>805</v>
      </c>
      <c r="C622" s="443">
        <v>2023.0</v>
      </c>
      <c r="D622" s="444" t="s">
        <v>977</v>
      </c>
      <c r="E622" s="444"/>
      <c r="F622" s="440"/>
      <c r="G622" s="216"/>
      <c r="H622" s="216"/>
      <c r="I622" s="216"/>
      <c r="J622" s="216"/>
      <c r="K622" s="216"/>
      <c r="L622" s="216"/>
      <c r="M622" s="216"/>
      <c r="N622" s="216"/>
      <c r="O622" s="216"/>
      <c r="P622" s="216"/>
      <c r="Q622" s="216"/>
      <c r="R622" s="216"/>
      <c r="S622" s="216"/>
      <c r="T622" s="216"/>
      <c r="U622" s="216"/>
      <c r="V622" s="216"/>
      <c r="W622" s="216"/>
      <c r="X622" s="216"/>
      <c r="Y622" s="216"/>
      <c r="Z622" s="216"/>
      <c r="AA622" s="216"/>
      <c r="AB622" s="216"/>
      <c r="AC622" s="216"/>
      <c r="AD622" s="344"/>
      <c r="AE622" s="344"/>
      <c r="AF622" s="344"/>
      <c r="AG622" s="344"/>
    </row>
    <row r="623">
      <c r="A623" s="445"/>
      <c r="B623" s="442"/>
      <c r="C623" s="443">
        <v>2024.0</v>
      </c>
      <c r="D623" s="446" t="s">
        <v>966</v>
      </c>
      <c r="E623" s="442"/>
      <c r="F623" s="440"/>
      <c r="G623" s="216"/>
      <c r="H623" s="216"/>
      <c r="I623" s="216"/>
      <c r="J623" s="216"/>
      <c r="K623" s="216"/>
      <c r="L623" s="216"/>
      <c r="M623" s="216"/>
      <c r="N623" s="216"/>
      <c r="O623" s="216"/>
      <c r="P623" s="216"/>
      <c r="Q623" s="216"/>
      <c r="R623" s="216"/>
      <c r="S623" s="216"/>
      <c r="T623" s="216"/>
      <c r="U623" s="216"/>
      <c r="V623" s="216"/>
      <c r="W623" s="216"/>
      <c r="X623" s="216"/>
      <c r="Y623" s="216"/>
      <c r="Z623" s="216"/>
      <c r="AA623" s="216"/>
      <c r="AB623" s="216"/>
      <c r="AC623" s="216"/>
      <c r="AD623" s="344"/>
      <c r="AE623" s="344"/>
      <c r="AF623" s="344"/>
      <c r="AG623" s="344"/>
    </row>
    <row r="624">
      <c r="A624" s="445"/>
      <c r="B624" s="442"/>
      <c r="C624" s="443">
        <v>2024.0</v>
      </c>
      <c r="D624" s="446" t="s">
        <v>968</v>
      </c>
      <c r="E624" s="442"/>
      <c r="F624" s="440"/>
      <c r="G624" s="216"/>
      <c r="H624" s="216"/>
      <c r="I624" s="216"/>
      <c r="J624" s="216"/>
      <c r="K624" s="216"/>
      <c r="L624" s="216"/>
      <c r="M624" s="216"/>
      <c r="N624" s="216"/>
      <c r="O624" s="216"/>
      <c r="P624" s="216"/>
      <c r="Q624" s="216"/>
      <c r="R624" s="216"/>
      <c r="S624" s="216"/>
      <c r="T624" s="216"/>
      <c r="U624" s="216"/>
      <c r="V624" s="216"/>
      <c r="W624" s="216"/>
      <c r="X624" s="216"/>
      <c r="Y624" s="216"/>
      <c r="Z624" s="216"/>
      <c r="AA624" s="216"/>
      <c r="AB624" s="216"/>
      <c r="AC624" s="216"/>
      <c r="AD624" s="344"/>
      <c r="AE624" s="344"/>
      <c r="AF624" s="344"/>
      <c r="AG624" s="344"/>
    </row>
    <row r="625">
      <c r="A625" s="445"/>
      <c r="B625" s="442"/>
      <c r="C625" s="443">
        <v>2024.0</v>
      </c>
      <c r="D625" s="446" t="s">
        <v>939</v>
      </c>
      <c r="E625" s="442"/>
      <c r="F625" s="440"/>
      <c r="G625" s="216"/>
      <c r="H625" s="216"/>
      <c r="I625" s="216"/>
      <c r="J625" s="216"/>
      <c r="K625" s="216"/>
      <c r="L625" s="216"/>
      <c r="M625" s="216"/>
      <c r="N625" s="216"/>
      <c r="O625" s="216"/>
      <c r="P625" s="216"/>
      <c r="Q625" s="216"/>
      <c r="R625" s="216"/>
      <c r="S625" s="216"/>
      <c r="T625" s="216"/>
      <c r="U625" s="216"/>
      <c r="V625" s="216"/>
      <c r="W625" s="216"/>
      <c r="X625" s="216"/>
      <c r="Y625" s="216"/>
      <c r="Z625" s="216"/>
      <c r="AA625" s="216"/>
      <c r="AB625" s="216"/>
      <c r="AC625" s="216"/>
      <c r="AD625" s="344"/>
      <c r="AE625" s="344"/>
      <c r="AF625" s="344"/>
      <c r="AG625" s="344"/>
    </row>
    <row r="626">
      <c r="A626" s="445"/>
      <c r="B626" s="442"/>
      <c r="C626" s="443">
        <v>2024.0</v>
      </c>
      <c r="D626" s="446" t="s">
        <v>976</v>
      </c>
      <c r="E626" s="442"/>
      <c r="F626" s="440"/>
      <c r="G626" s="216"/>
      <c r="H626" s="216"/>
      <c r="I626" s="216"/>
      <c r="J626" s="216"/>
      <c r="K626" s="216"/>
      <c r="L626" s="216"/>
      <c r="M626" s="216"/>
      <c r="N626" s="216"/>
      <c r="O626" s="216"/>
      <c r="P626" s="216"/>
      <c r="Q626" s="216"/>
      <c r="R626" s="216"/>
      <c r="S626" s="216"/>
      <c r="T626" s="216"/>
      <c r="U626" s="216"/>
      <c r="V626" s="216"/>
      <c r="W626" s="216"/>
      <c r="X626" s="216"/>
      <c r="Y626" s="216"/>
      <c r="Z626" s="216"/>
      <c r="AA626" s="216"/>
      <c r="AB626" s="216"/>
      <c r="AC626" s="216"/>
      <c r="AD626" s="344"/>
      <c r="AE626" s="344"/>
      <c r="AF626" s="344"/>
      <c r="AG626" s="344"/>
    </row>
    <row r="627">
      <c r="A627" s="450">
        <v>60.0</v>
      </c>
      <c r="B627" s="442" t="s">
        <v>806</v>
      </c>
      <c r="C627" s="443">
        <v>2022.0</v>
      </c>
      <c r="D627" s="444" t="s">
        <v>950</v>
      </c>
      <c r="E627" s="444"/>
      <c r="F627" s="440"/>
      <c r="G627" s="216"/>
      <c r="H627" s="216"/>
      <c r="I627" s="216"/>
      <c r="J627" s="216"/>
      <c r="K627" s="216"/>
      <c r="L627" s="216"/>
      <c r="M627" s="216"/>
      <c r="N627" s="216"/>
      <c r="O627" s="216"/>
      <c r="P627" s="216"/>
      <c r="Q627" s="216"/>
      <c r="R627" s="216"/>
      <c r="S627" s="216"/>
      <c r="T627" s="216"/>
      <c r="U627" s="216"/>
      <c r="V627" s="216"/>
      <c r="W627" s="216"/>
      <c r="X627" s="216"/>
      <c r="Y627" s="216"/>
      <c r="Z627" s="216"/>
      <c r="AA627" s="216"/>
      <c r="AB627" s="216"/>
      <c r="AC627" s="216"/>
      <c r="AD627" s="344"/>
      <c r="AE627" s="344"/>
      <c r="AF627" s="344"/>
      <c r="AG627" s="344"/>
    </row>
    <row r="628">
      <c r="A628" s="445"/>
      <c r="B628" s="442"/>
      <c r="C628" s="443">
        <v>2022.0</v>
      </c>
      <c r="D628" s="444" t="s">
        <v>963</v>
      </c>
      <c r="E628" s="444"/>
      <c r="F628" s="440"/>
      <c r="G628" s="216"/>
      <c r="H628" s="216"/>
      <c r="I628" s="216"/>
      <c r="J628" s="216"/>
      <c r="K628" s="216"/>
      <c r="L628" s="216"/>
      <c r="M628" s="216"/>
      <c r="N628" s="216"/>
      <c r="O628" s="216"/>
      <c r="P628" s="216"/>
      <c r="Q628" s="216"/>
      <c r="R628" s="216"/>
      <c r="S628" s="216"/>
      <c r="T628" s="216"/>
      <c r="U628" s="216"/>
      <c r="V628" s="216"/>
      <c r="W628" s="216"/>
      <c r="X628" s="216"/>
      <c r="Y628" s="216"/>
      <c r="Z628" s="216"/>
      <c r="AA628" s="216"/>
      <c r="AB628" s="216"/>
      <c r="AC628" s="216"/>
      <c r="AD628" s="344"/>
      <c r="AE628" s="344"/>
      <c r="AF628" s="344"/>
      <c r="AG628" s="344"/>
    </row>
    <row r="629">
      <c r="A629" s="445"/>
      <c r="B629" s="442"/>
      <c r="C629" s="443">
        <v>2022.0</v>
      </c>
      <c r="D629" s="444" t="s">
        <v>962</v>
      </c>
      <c r="E629" s="444"/>
      <c r="F629" s="440"/>
      <c r="G629" s="216"/>
      <c r="H629" s="216"/>
      <c r="I629" s="216"/>
      <c r="J629" s="216"/>
      <c r="K629" s="216"/>
      <c r="L629" s="216"/>
      <c r="M629" s="216"/>
      <c r="N629" s="216"/>
      <c r="O629" s="216"/>
      <c r="P629" s="216"/>
      <c r="Q629" s="216"/>
      <c r="R629" s="216"/>
      <c r="S629" s="216"/>
      <c r="T629" s="216"/>
      <c r="U629" s="216"/>
      <c r="V629" s="216"/>
      <c r="W629" s="216"/>
      <c r="X629" s="216"/>
      <c r="Y629" s="216"/>
      <c r="Z629" s="216"/>
      <c r="AA629" s="216"/>
      <c r="AB629" s="216"/>
      <c r="AC629" s="216"/>
      <c r="AD629" s="344"/>
      <c r="AE629" s="344"/>
      <c r="AF629" s="344"/>
      <c r="AG629" s="344"/>
    </row>
    <row r="630">
      <c r="A630" s="445"/>
      <c r="B630" s="442"/>
      <c r="C630" s="443">
        <v>2023.0</v>
      </c>
      <c r="D630" s="444" t="s">
        <v>977</v>
      </c>
      <c r="E630" s="444"/>
      <c r="F630" s="440"/>
      <c r="G630" s="216"/>
      <c r="H630" s="216"/>
      <c r="I630" s="216"/>
      <c r="J630" s="216"/>
      <c r="K630" s="216"/>
      <c r="L630" s="216"/>
      <c r="M630" s="216"/>
      <c r="N630" s="216"/>
      <c r="O630" s="216"/>
      <c r="P630" s="216"/>
      <c r="Q630" s="216"/>
      <c r="R630" s="216"/>
      <c r="S630" s="216"/>
      <c r="T630" s="216"/>
      <c r="U630" s="216"/>
      <c r="V630" s="216"/>
      <c r="W630" s="216"/>
      <c r="X630" s="216"/>
      <c r="Y630" s="216"/>
      <c r="Z630" s="216"/>
      <c r="AA630" s="216"/>
      <c r="AB630" s="216"/>
      <c r="AC630" s="216"/>
      <c r="AD630" s="344"/>
      <c r="AE630" s="344"/>
      <c r="AF630" s="344"/>
      <c r="AG630" s="344"/>
    </row>
    <row r="631">
      <c r="A631" s="445"/>
      <c r="B631" s="442"/>
      <c r="C631" s="443">
        <v>2023.0</v>
      </c>
      <c r="D631" s="444" t="s">
        <v>1010</v>
      </c>
      <c r="E631" s="444"/>
      <c r="F631" s="440"/>
      <c r="G631" s="216"/>
      <c r="H631" s="216"/>
      <c r="I631" s="216"/>
      <c r="J631" s="216"/>
      <c r="K631" s="216"/>
      <c r="L631" s="216"/>
      <c r="M631" s="216"/>
      <c r="N631" s="216"/>
      <c r="O631" s="216"/>
      <c r="P631" s="216"/>
      <c r="Q631" s="216"/>
      <c r="R631" s="216"/>
      <c r="S631" s="216"/>
      <c r="T631" s="216"/>
      <c r="U631" s="216"/>
      <c r="V631" s="216"/>
      <c r="W631" s="216"/>
      <c r="X631" s="216"/>
      <c r="Y631" s="216"/>
      <c r="Z631" s="216"/>
      <c r="AA631" s="216"/>
      <c r="AB631" s="216"/>
      <c r="AC631" s="216"/>
      <c r="AD631" s="344"/>
      <c r="AE631" s="344"/>
      <c r="AF631" s="344"/>
      <c r="AG631" s="344"/>
    </row>
    <row r="632">
      <c r="A632" s="445"/>
      <c r="B632" s="442"/>
      <c r="C632" s="443">
        <v>2024.0</v>
      </c>
      <c r="D632" s="444" t="s">
        <v>1046</v>
      </c>
      <c r="E632" s="444"/>
      <c r="F632" s="440"/>
      <c r="G632" s="216"/>
      <c r="H632" s="216"/>
      <c r="I632" s="216"/>
      <c r="J632" s="216"/>
      <c r="K632" s="216"/>
      <c r="L632" s="216"/>
      <c r="M632" s="216"/>
      <c r="N632" s="216"/>
      <c r="O632" s="216"/>
      <c r="P632" s="216"/>
      <c r="Q632" s="216"/>
      <c r="R632" s="216"/>
      <c r="S632" s="216"/>
      <c r="T632" s="216"/>
      <c r="U632" s="216"/>
      <c r="V632" s="216"/>
      <c r="W632" s="216"/>
      <c r="X632" s="216"/>
      <c r="Y632" s="216"/>
      <c r="Z632" s="216"/>
      <c r="AA632" s="216"/>
      <c r="AB632" s="216"/>
      <c r="AC632" s="216"/>
      <c r="AD632" s="344"/>
      <c r="AE632" s="344"/>
      <c r="AF632" s="344"/>
      <c r="AG632" s="344"/>
    </row>
    <row r="633">
      <c r="A633" s="445"/>
      <c r="B633" s="442"/>
      <c r="C633" s="443">
        <v>2024.0</v>
      </c>
      <c r="D633" s="444" t="s">
        <v>996</v>
      </c>
      <c r="E633" s="444"/>
      <c r="F633" s="440"/>
      <c r="G633" s="216"/>
      <c r="H633" s="216"/>
      <c r="I633" s="216"/>
      <c r="J633" s="216"/>
      <c r="K633" s="216"/>
      <c r="L633" s="216"/>
      <c r="M633" s="216"/>
      <c r="N633" s="216"/>
      <c r="O633" s="216"/>
      <c r="P633" s="216"/>
      <c r="Q633" s="216"/>
      <c r="R633" s="216"/>
      <c r="S633" s="216"/>
      <c r="T633" s="216"/>
      <c r="U633" s="216"/>
      <c r="V633" s="216"/>
      <c r="W633" s="216"/>
      <c r="X633" s="216"/>
      <c r="Y633" s="216"/>
      <c r="Z633" s="216"/>
      <c r="AA633" s="216"/>
      <c r="AB633" s="216"/>
      <c r="AC633" s="216"/>
      <c r="AD633" s="344"/>
      <c r="AE633" s="344"/>
      <c r="AF633" s="344"/>
      <c r="AG633" s="344"/>
    </row>
    <row r="634">
      <c r="A634" s="445"/>
      <c r="B634" s="442"/>
      <c r="C634" s="443">
        <v>2024.0</v>
      </c>
      <c r="D634" s="444" t="s">
        <v>952</v>
      </c>
      <c r="E634" s="444"/>
      <c r="F634" s="440"/>
      <c r="G634" s="216"/>
      <c r="H634" s="216"/>
      <c r="I634" s="216"/>
      <c r="J634" s="216"/>
      <c r="K634" s="216"/>
      <c r="L634" s="216"/>
      <c r="M634" s="216"/>
      <c r="N634" s="216"/>
      <c r="O634" s="216"/>
      <c r="P634" s="216"/>
      <c r="Q634" s="216"/>
      <c r="R634" s="216"/>
      <c r="S634" s="216"/>
      <c r="T634" s="216"/>
      <c r="U634" s="216"/>
      <c r="V634" s="216"/>
      <c r="W634" s="216"/>
      <c r="X634" s="216"/>
      <c r="Y634" s="216"/>
      <c r="Z634" s="216"/>
      <c r="AA634" s="216"/>
      <c r="AB634" s="216"/>
      <c r="AC634" s="216"/>
      <c r="AD634" s="344"/>
      <c r="AE634" s="344"/>
      <c r="AF634" s="344"/>
      <c r="AG634" s="344"/>
    </row>
    <row r="635">
      <c r="A635" s="445"/>
      <c r="B635" s="442"/>
      <c r="C635" s="443">
        <v>2024.0</v>
      </c>
      <c r="D635" s="444" t="s">
        <v>953</v>
      </c>
      <c r="E635" s="444"/>
      <c r="F635" s="440"/>
      <c r="G635" s="216"/>
      <c r="H635" s="216"/>
      <c r="I635" s="216"/>
      <c r="J635" s="216"/>
      <c r="K635" s="216"/>
      <c r="L635" s="216"/>
      <c r="M635" s="216"/>
      <c r="N635" s="216"/>
      <c r="O635" s="216"/>
      <c r="P635" s="216"/>
      <c r="Q635" s="216"/>
      <c r="R635" s="216"/>
      <c r="S635" s="216"/>
      <c r="T635" s="216"/>
      <c r="U635" s="216"/>
      <c r="V635" s="216"/>
      <c r="W635" s="216"/>
      <c r="X635" s="216"/>
      <c r="Y635" s="216"/>
      <c r="Z635" s="216"/>
      <c r="AA635" s="216"/>
      <c r="AB635" s="216"/>
      <c r="AC635" s="216"/>
      <c r="AD635" s="344"/>
      <c r="AE635" s="344"/>
      <c r="AF635" s="344"/>
      <c r="AG635" s="344"/>
    </row>
    <row r="636">
      <c r="A636" s="450">
        <v>61.0</v>
      </c>
      <c r="B636" s="442" t="s">
        <v>600</v>
      </c>
      <c r="C636" s="443">
        <v>2022.0</v>
      </c>
      <c r="D636" s="444" t="s">
        <v>973</v>
      </c>
      <c r="E636" s="442"/>
      <c r="F636" s="440"/>
      <c r="G636" s="216"/>
      <c r="H636" s="216"/>
      <c r="I636" s="216"/>
      <c r="J636" s="216"/>
      <c r="K636" s="216"/>
      <c r="L636" s="216"/>
      <c r="M636" s="216"/>
      <c r="N636" s="216"/>
      <c r="O636" s="216"/>
      <c r="P636" s="216"/>
      <c r="Q636" s="216"/>
      <c r="R636" s="216"/>
      <c r="S636" s="216"/>
      <c r="T636" s="216"/>
      <c r="U636" s="216"/>
      <c r="V636" s="216"/>
      <c r="W636" s="216"/>
      <c r="X636" s="216"/>
      <c r="Y636" s="216"/>
      <c r="Z636" s="216"/>
      <c r="AA636" s="216"/>
      <c r="AB636" s="216"/>
      <c r="AC636" s="216"/>
      <c r="AD636" s="344"/>
      <c r="AE636" s="344"/>
      <c r="AF636" s="344"/>
      <c r="AG636" s="344"/>
    </row>
    <row r="637">
      <c r="A637" s="445"/>
      <c r="B637" s="442"/>
      <c r="C637" s="443">
        <v>2023.0</v>
      </c>
      <c r="D637" s="444" t="s">
        <v>1036</v>
      </c>
      <c r="E637" s="444"/>
      <c r="F637" s="440"/>
      <c r="G637" s="216"/>
      <c r="H637" s="216"/>
      <c r="I637" s="216"/>
      <c r="J637" s="216"/>
      <c r="K637" s="216"/>
      <c r="L637" s="216"/>
      <c r="M637" s="216"/>
      <c r="N637" s="216"/>
      <c r="O637" s="216"/>
      <c r="P637" s="216"/>
      <c r="Q637" s="216"/>
      <c r="R637" s="216"/>
      <c r="S637" s="216"/>
      <c r="T637" s="216"/>
      <c r="U637" s="216"/>
      <c r="V637" s="216"/>
      <c r="W637" s="216"/>
      <c r="X637" s="216"/>
      <c r="Y637" s="216"/>
      <c r="Z637" s="216"/>
      <c r="AA637" s="216"/>
      <c r="AB637" s="216"/>
      <c r="AC637" s="216"/>
      <c r="AD637" s="344"/>
      <c r="AE637" s="344"/>
      <c r="AF637" s="344"/>
      <c r="AG637" s="344"/>
    </row>
    <row r="638">
      <c r="A638" s="445"/>
      <c r="B638" s="442"/>
      <c r="C638" s="443"/>
      <c r="D638" s="444" t="s">
        <v>960</v>
      </c>
      <c r="E638" s="444"/>
      <c r="F638" s="440"/>
      <c r="G638" s="216"/>
      <c r="H638" s="216"/>
      <c r="I638" s="216"/>
      <c r="J638" s="216"/>
      <c r="K638" s="216"/>
      <c r="L638" s="216"/>
      <c r="M638" s="216"/>
      <c r="N638" s="216"/>
      <c r="O638" s="216"/>
      <c r="P638" s="216"/>
      <c r="Q638" s="216"/>
      <c r="R638" s="216"/>
      <c r="S638" s="216"/>
      <c r="T638" s="216"/>
      <c r="U638" s="216"/>
      <c r="V638" s="216"/>
      <c r="W638" s="216"/>
      <c r="X638" s="216"/>
      <c r="Y638" s="216"/>
      <c r="Z638" s="216"/>
      <c r="AA638" s="216"/>
      <c r="AB638" s="216"/>
      <c r="AC638" s="216"/>
      <c r="AD638" s="344"/>
      <c r="AE638" s="344"/>
      <c r="AF638" s="344"/>
      <c r="AG638" s="344"/>
    </row>
    <row r="639">
      <c r="A639" s="445"/>
      <c r="B639" s="442"/>
      <c r="C639" s="443">
        <v>2024.0</v>
      </c>
      <c r="D639" s="446" t="s">
        <v>935</v>
      </c>
      <c r="E639" s="442"/>
      <c r="F639" s="440"/>
      <c r="G639" s="216"/>
      <c r="H639" s="216"/>
      <c r="I639" s="216"/>
      <c r="J639" s="216"/>
      <c r="K639" s="216"/>
      <c r="L639" s="216"/>
      <c r="M639" s="216"/>
      <c r="N639" s="216"/>
      <c r="O639" s="216"/>
      <c r="P639" s="216"/>
      <c r="Q639" s="216"/>
      <c r="R639" s="216"/>
      <c r="S639" s="216"/>
      <c r="T639" s="216"/>
      <c r="U639" s="216"/>
      <c r="V639" s="216"/>
      <c r="W639" s="216"/>
      <c r="X639" s="216"/>
      <c r="Y639" s="216"/>
      <c r="Z639" s="216"/>
      <c r="AA639" s="216"/>
      <c r="AB639" s="216"/>
      <c r="AC639" s="216"/>
      <c r="AD639" s="344"/>
      <c r="AE639" s="344"/>
      <c r="AF639" s="344"/>
      <c r="AG639" s="344"/>
    </row>
    <row r="640">
      <c r="A640" s="445"/>
      <c r="B640" s="442"/>
      <c r="C640" s="443">
        <v>2024.0</v>
      </c>
      <c r="D640" s="444" t="s">
        <v>935</v>
      </c>
      <c r="E640" s="444"/>
      <c r="F640" s="440"/>
      <c r="G640" s="216"/>
      <c r="H640" s="216"/>
      <c r="I640" s="216"/>
      <c r="J640" s="216"/>
      <c r="K640" s="216"/>
      <c r="L640" s="216"/>
      <c r="M640" s="216"/>
      <c r="N640" s="216"/>
      <c r="O640" s="216"/>
      <c r="P640" s="216"/>
      <c r="Q640" s="216"/>
      <c r="R640" s="216"/>
      <c r="S640" s="216"/>
      <c r="T640" s="216"/>
      <c r="U640" s="216"/>
      <c r="V640" s="216"/>
      <c r="W640" s="216"/>
      <c r="X640" s="216"/>
      <c r="Y640" s="216"/>
      <c r="Z640" s="216"/>
      <c r="AA640" s="216"/>
      <c r="AB640" s="216"/>
      <c r="AC640" s="216"/>
      <c r="AD640" s="344"/>
      <c r="AE640" s="344"/>
      <c r="AF640" s="344"/>
      <c r="AG640" s="344"/>
    </row>
    <row r="641">
      <c r="A641" s="445"/>
      <c r="B641" s="442"/>
      <c r="C641" s="443">
        <v>2024.0</v>
      </c>
      <c r="D641" s="444" t="s">
        <v>970</v>
      </c>
      <c r="E641" s="442"/>
      <c r="F641" s="440"/>
      <c r="G641" s="216"/>
      <c r="H641" s="216"/>
      <c r="I641" s="216"/>
      <c r="J641" s="216"/>
      <c r="K641" s="216"/>
      <c r="L641" s="216"/>
      <c r="M641" s="216"/>
      <c r="N641" s="216"/>
      <c r="O641" s="216"/>
      <c r="P641" s="216"/>
      <c r="Q641" s="216"/>
      <c r="R641" s="216"/>
      <c r="S641" s="216"/>
      <c r="T641" s="216"/>
      <c r="U641" s="216"/>
      <c r="V641" s="216"/>
      <c r="W641" s="216"/>
      <c r="X641" s="216"/>
      <c r="Y641" s="216"/>
      <c r="Z641" s="216"/>
      <c r="AA641" s="216"/>
      <c r="AB641" s="216"/>
      <c r="AC641" s="216"/>
      <c r="AD641" s="344"/>
      <c r="AE641" s="344"/>
      <c r="AF641" s="344"/>
      <c r="AG641" s="344"/>
    </row>
    <row r="642">
      <c r="A642" s="450">
        <v>62.0</v>
      </c>
      <c r="B642" s="442" t="s">
        <v>712</v>
      </c>
      <c r="C642" s="443">
        <v>2023.0</v>
      </c>
      <c r="D642" s="444" t="s">
        <v>942</v>
      </c>
      <c r="E642" s="444"/>
      <c r="F642" s="440"/>
      <c r="G642" s="216"/>
      <c r="H642" s="216"/>
      <c r="I642" s="216"/>
      <c r="J642" s="216"/>
      <c r="K642" s="216"/>
      <c r="L642" s="216"/>
      <c r="M642" s="216"/>
      <c r="N642" s="216"/>
      <c r="O642" s="216"/>
      <c r="P642" s="216"/>
      <c r="Q642" s="216"/>
      <c r="R642" s="216"/>
      <c r="S642" s="216"/>
      <c r="T642" s="216"/>
      <c r="U642" s="216"/>
      <c r="V642" s="216"/>
      <c r="W642" s="216"/>
      <c r="X642" s="216"/>
      <c r="Y642" s="216"/>
      <c r="Z642" s="216"/>
      <c r="AA642" s="216"/>
      <c r="AB642" s="216"/>
      <c r="AC642" s="216"/>
      <c r="AD642" s="344"/>
      <c r="AE642" s="344"/>
      <c r="AF642" s="344"/>
      <c r="AG642" s="344"/>
    </row>
    <row r="643">
      <c r="A643" s="445"/>
      <c r="B643" s="442"/>
      <c r="C643" s="443">
        <v>2024.0</v>
      </c>
      <c r="D643" s="446" t="s">
        <v>953</v>
      </c>
      <c r="E643" s="442"/>
      <c r="F643" s="440"/>
      <c r="G643" s="216"/>
      <c r="H643" s="216"/>
      <c r="I643" s="216"/>
      <c r="J643" s="216"/>
      <c r="K643" s="216"/>
      <c r="L643" s="216"/>
      <c r="M643" s="216"/>
      <c r="N643" s="216"/>
      <c r="O643" s="216"/>
      <c r="P643" s="216"/>
      <c r="Q643" s="216"/>
      <c r="R643" s="216"/>
      <c r="S643" s="216"/>
      <c r="T643" s="216"/>
      <c r="U643" s="216"/>
      <c r="V643" s="216"/>
      <c r="W643" s="216"/>
      <c r="X643" s="216"/>
      <c r="Y643" s="216"/>
      <c r="Z643" s="216"/>
      <c r="AA643" s="216"/>
      <c r="AB643" s="216"/>
      <c r="AC643" s="216"/>
      <c r="AD643" s="344"/>
      <c r="AE643" s="344"/>
      <c r="AF643" s="344"/>
      <c r="AG643" s="344"/>
    </row>
    <row r="644">
      <c r="A644" s="450">
        <v>63.0</v>
      </c>
      <c r="B644" s="442" t="s">
        <v>905</v>
      </c>
      <c r="C644" s="443">
        <v>2022.0</v>
      </c>
      <c r="D644" s="442" t="s">
        <v>989</v>
      </c>
      <c r="E644" s="442" t="s">
        <v>929</v>
      </c>
      <c r="F644" s="440"/>
      <c r="G644" s="216"/>
      <c r="H644" s="216"/>
      <c r="I644" s="216"/>
      <c r="J644" s="216"/>
      <c r="K644" s="216"/>
      <c r="L644" s="216"/>
      <c r="M644" s="216"/>
      <c r="N644" s="216"/>
      <c r="O644" s="216"/>
      <c r="P644" s="216"/>
      <c r="Q644" s="216"/>
      <c r="R644" s="216"/>
      <c r="S644" s="216"/>
      <c r="T644" s="216"/>
      <c r="U644" s="216"/>
      <c r="V644" s="216"/>
      <c r="W644" s="216"/>
      <c r="X644" s="216"/>
      <c r="Y644" s="216"/>
      <c r="Z644" s="216"/>
      <c r="AA644" s="216"/>
      <c r="AB644" s="216"/>
      <c r="AC644" s="216"/>
      <c r="AD644" s="344"/>
      <c r="AE644" s="344"/>
      <c r="AF644" s="344"/>
      <c r="AG644" s="344"/>
    </row>
    <row r="645">
      <c r="A645" s="445"/>
      <c r="B645" s="442"/>
      <c r="C645" s="443">
        <v>2022.0</v>
      </c>
      <c r="D645" s="442" t="s">
        <v>1018</v>
      </c>
      <c r="E645" s="442" t="s">
        <v>929</v>
      </c>
      <c r="F645" s="440"/>
      <c r="G645" s="216"/>
      <c r="H645" s="216"/>
      <c r="I645" s="216"/>
      <c r="J645" s="216"/>
      <c r="K645" s="216"/>
      <c r="L645" s="216"/>
      <c r="M645" s="216"/>
      <c r="N645" s="216"/>
      <c r="O645" s="216"/>
      <c r="P645" s="216"/>
      <c r="Q645" s="216"/>
      <c r="R645" s="216"/>
      <c r="S645" s="216"/>
      <c r="T645" s="216"/>
      <c r="U645" s="216"/>
      <c r="V645" s="216"/>
      <c r="W645" s="216"/>
      <c r="X645" s="216"/>
      <c r="Y645" s="216"/>
      <c r="Z645" s="216"/>
      <c r="AA645" s="216"/>
      <c r="AB645" s="216"/>
      <c r="AC645" s="216"/>
      <c r="AD645" s="344"/>
      <c r="AE645" s="344"/>
      <c r="AF645" s="344"/>
      <c r="AG645" s="344"/>
    </row>
    <row r="646">
      <c r="A646" s="445"/>
      <c r="B646" s="442"/>
      <c r="C646" s="443">
        <v>2023.0</v>
      </c>
      <c r="D646" s="442" t="s">
        <v>983</v>
      </c>
      <c r="E646" s="442" t="s">
        <v>929</v>
      </c>
      <c r="F646" s="440"/>
      <c r="G646" s="216"/>
      <c r="H646" s="216"/>
      <c r="I646" s="216"/>
      <c r="J646" s="216"/>
      <c r="K646" s="216"/>
      <c r="L646" s="216"/>
      <c r="M646" s="216"/>
      <c r="N646" s="216"/>
      <c r="O646" s="216"/>
      <c r="P646" s="216"/>
      <c r="Q646" s="216"/>
      <c r="R646" s="216"/>
      <c r="S646" s="216"/>
      <c r="T646" s="216"/>
      <c r="U646" s="216"/>
      <c r="V646" s="216"/>
      <c r="W646" s="216"/>
      <c r="X646" s="216"/>
      <c r="Y646" s="216"/>
      <c r="Z646" s="216"/>
      <c r="AA646" s="216"/>
      <c r="AB646" s="216"/>
      <c r="AC646" s="216"/>
      <c r="AD646" s="344"/>
      <c r="AE646" s="344"/>
      <c r="AF646" s="344"/>
      <c r="AG646" s="344"/>
    </row>
    <row r="647">
      <c r="A647" s="445"/>
      <c r="B647" s="442"/>
      <c r="C647" s="443">
        <v>2024.0</v>
      </c>
      <c r="D647" s="444" t="s">
        <v>1028</v>
      </c>
      <c r="E647" s="444"/>
      <c r="F647" s="440"/>
      <c r="G647" s="216"/>
      <c r="H647" s="216"/>
      <c r="I647" s="216"/>
      <c r="J647" s="216"/>
      <c r="K647" s="216"/>
      <c r="L647" s="216"/>
      <c r="M647" s="216"/>
      <c r="N647" s="216"/>
      <c r="O647" s="216"/>
      <c r="P647" s="216"/>
      <c r="Q647" s="216"/>
      <c r="R647" s="216"/>
      <c r="S647" s="216"/>
      <c r="T647" s="216"/>
      <c r="U647" s="216"/>
      <c r="V647" s="216"/>
      <c r="W647" s="216"/>
      <c r="X647" s="216"/>
      <c r="Y647" s="216"/>
      <c r="Z647" s="216"/>
      <c r="AA647" s="216"/>
      <c r="AB647" s="216"/>
      <c r="AC647" s="216"/>
      <c r="AD647" s="344"/>
      <c r="AE647" s="344"/>
      <c r="AF647" s="344"/>
      <c r="AG647" s="344"/>
    </row>
    <row r="648">
      <c r="A648" s="450">
        <v>64.0</v>
      </c>
      <c r="B648" s="442" t="s">
        <v>884</v>
      </c>
      <c r="C648" s="443">
        <v>2022.0</v>
      </c>
      <c r="D648" s="442" t="s">
        <v>1027</v>
      </c>
      <c r="E648" s="442" t="s">
        <v>933</v>
      </c>
      <c r="F648" s="440"/>
      <c r="G648" s="216"/>
      <c r="H648" s="216"/>
      <c r="I648" s="216"/>
      <c r="J648" s="216"/>
      <c r="K648" s="216"/>
      <c r="L648" s="216"/>
      <c r="M648" s="216"/>
      <c r="N648" s="216"/>
      <c r="O648" s="216"/>
      <c r="P648" s="216"/>
      <c r="Q648" s="216"/>
      <c r="R648" s="216"/>
      <c r="S648" s="216"/>
      <c r="T648" s="216"/>
      <c r="U648" s="216"/>
      <c r="V648" s="216"/>
      <c r="W648" s="216"/>
      <c r="X648" s="216"/>
      <c r="Y648" s="216"/>
      <c r="Z648" s="216"/>
      <c r="AA648" s="216"/>
      <c r="AB648" s="216"/>
      <c r="AC648" s="216"/>
      <c r="AD648" s="344"/>
      <c r="AE648" s="344"/>
      <c r="AF648" s="344"/>
      <c r="AG648" s="344"/>
    </row>
    <row r="649">
      <c r="A649" s="445"/>
      <c r="B649" s="442"/>
      <c r="C649" s="443">
        <v>2022.0</v>
      </c>
      <c r="D649" s="442" t="s">
        <v>1018</v>
      </c>
      <c r="E649" s="442" t="s">
        <v>929</v>
      </c>
      <c r="F649" s="440"/>
      <c r="G649" s="216"/>
      <c r="H649" s="216"/>
      <c r="I649" s="216"/>
      <c r="J649" s="216"/>
      <c r="K649" s="216"/>
      <c r="L649" s="216"/>
      <c r="M649" s="216"/>
      <c r="N649" s="216"/>
      <c r="O649" s="216"/>
      <c r="P649" s="216"/>
      <c r="Q649" s="216"/>
      <c r="R649" s="216"/>
      <c r="S649" s="216"/>
      <c r="T649" s="216"/>
      <c r="U649" s="216"/>
      <c r="V649" s="216"/>
      <c r="W649" s="216"/>
      <c r="X649" s="216"/>
      <c r="Y649" s="216"/>
      <c r="Z649" s="216"/>
      <c r="AA649" s="216"/>
      <c r="AB649" s="216"/>
      <c r="AC649" s="216"/>
      <c r="AD649" s="344"/>
      <c r="AE649" s="344"/>
      <c r="AF649" s="344"/>
      <c r="AG649" s="344"/>
    </row>
    <row r="650">
      <c r="A650" s="445"/>
      <c r="B650" s="442"/>
      <c r="C650" s="443">
        <v>2023.0</v>
      </c>
      <c r="D650" s="442" t="s">
        <v>932</v>
      </c>
      <c r="E650" s="442" t="s">
        <v>929</v>
      </c>
      <c r="F650" s="440"/>
      <c r="G650" s="216"/>
      <c r="H650" s="216"/>
      <c r="I650" s="216"/>
      <c r="J650" s="216"/>
      <c r="K650" s="216"/>
      <c r="L650" s="216"/>
      <c r="M650" s="216"/>
      <c r="N650" s="216"/>
      <c r="O650" s="216"/>
      <c r="P650" s="216"/>
      <c r="Q650" s="216"/>
      <c r="R650" s="216"/>
      <c r="S650" s="216"/>
      <c r="T650" s="216"/>
      <c r="U650" s="216"/>
      <c r="V650" s="216"/>
      <c r="W650" s="216"/>
      <c r="X650" s="216"/>
      <c r="Y650" s="216"/>
      <c r="Z650" s="216"/>
      <c r="AA650" s="216"/>
      <c r="AB650" s="216"/>
      <c r="AC650" s="216"/>
      <c r="AD650" s="344"/>
      <c r="AE650" s="344"/>
      <c r="AF650" s="344"/>
      <c r="AG650" s="344"/>
    </row>
    <row r="651">
      <c r="A651" s="445"/>
      <c r="B651" s="442"/>
      <c r="C651" s="443">
        <v>2023.0</v>
      </c>
      <c r="D651" s="444" t="s">
        <v>965</v>
      </c>
      <c r="E651" s="444"/>
      <c r="F651" s="440"/>
      <c r="G651" s="216"/>
      <c r="H651" s="216"/>
      <c r="I651" s="216"/>
      <c r="J651" s="216"/>
      <c r="K651" s="216"/>
      <c r="L651" s="216"/>
      <c r="M651" s="216"/>
      <c r="N651" s="216"/>
      <c r="O651" s="216"/>
      <c r="P651" s="216"/>
      <c r="Q651" s="216"/>
      <c r="R651" s="216"/>
      <c r="S651" s="216"/>
      <c r="T651" s="216"/>
      <c r="U651" s="216"/>
      <c r="V651" s="216"/>
      <c r="W651" s="216"/>
      <c r="X651" s="216"/>
      <c r="Y651" s="216"/>
      <c r="Z651" s="216"/>
      <c r="AA651" s="216"/>
      <c r="AB651" s="216"/>
      <c r="AC651" s="216"/>
      <c r="AD651" s="344"/>
      <c r="AE651" s="344"/>
      <c r="AF651" s="344"/>
      <c r="AG651" s="344"/>
    </row>
    <row r="652">
      <c r="A652" s="445"/>
      <c r="B652" s="442"/>
      <c r="C652" s="443">
        <v>2023.0</v>
      </c>
      <c r="D652" s="444" t="s">
        <v>1064</v>
      </c>
      <c r="E652" s="444"/>
      <c r="F652" s="440"/>
      <c r="G652" s="216"/>
      <c r="H652" s="216"/>
      <c r="I652" s="216"/>
      <c r="J652" s="216"/>
      <c r="K652" s="216"/>
      <c r="L652" s="216"/>
      <c r="M652" s="216"/>
      <c r="N652" s="216"/>
      <c r="O652" s="216"/>
      <c r="P652" s="216"/>
      <c r="Q652" s="216"/>
      <c r="R652" s="216"/>
      <c r="S652" s="216"/>
      <c r="T652" s="216"/>
      <c r="U652" s="216"/>
      <c r="V652" s="216"/>
      <c r="W652" s="216"/>
      <c r="X652" s="216"/>
      <c r="Y652" s="216"/>
      <c r="Z652" s="216"/>
      <c r="AA652" s="216"/>
      <c r="AB652" s="216"/>
      <c r="AC652" s="216"/>
      <c r="AD652" s="344"/>
      <c r="AE652" s="344"/>
      <c r="AF652" s="344"/>
      <c r="AG652" s="344"/>
    </row>
    <row r="653">
      <c r="A653" s="445"/>
      <c r="B653" s="442"/>
      <c r="C653" s="443">
        <v>2023.0</v>
      </c>
      <c r="D653" s="442" t="s">
        <v>964</v>
      </c>
      <c r="E653" s="442" t="s">
        <v>929</v>
      </c>
      <c r="F653" s="440"/>
      <c r="G653" s="216"/>
      <c r="H653" s="216"/>
      <c r="I653" s="216"/>
      <c r="J653" s="216"/>
      <c r="K653" s="216"/>
      <c r="L653" s="216"/>
      <c r="M653" s="216"/>
      <c r="N653" s="216"/>
      <c r="O653" s="216"/>
      <c r="P653" s="216"/>
      <c r="Q653" s="216"/>
      <c r="R653" s="216"/>
      <c r="S653" s="216"/>
      <c r="T653" s="216"/>
      <c r="U653" s="216"/>
      <c r="V653" s="216"/>
      <c r="W653" s="216"/>
      <c r="X653" s="216"/>
      <c r="Y653" s="216"/>
      <c r="Z653" s="216"/>
      <c r="AA653" s="216"/>
      <c r="AB653" s="216"/>
      <c r="AC653" s="216"/>
      <c r="AD653" s="344"/>
      <c r="AE653" s="344"/>
      <c r="AF653" s="344"/>
      <c r="AG653" s="344"/>
    </row>
    <row r="654">
      <c r="A654" s="445"/>
      <c r="B654" s="442"/>
      <c r="C654" s="443">
        <v>2024.0</v>
      </c>
      <c r="D654" s="444" t="s">
        <v>976</v>
      </c>
      <c r="E654" s="442"/>
      <c r="F654" s="440"/>
      <c r="G654" s="216"/>
      <c r="H654" s="216"/>
      <c r="I654" s="216"/>
      <c r="J654" s="216"/>
      <c r="K654" s="216"/>
      <c r="L654" s="216"/>
      <c r="M654" s="216"/>
      <c r="N654" s="216"/>
      <c r="O654" s="216"/>
      <c r="P654" s="216"/>
      <c r="Q654" s="216"/>
      <c r="R654" s="216"/>
      <c r="S654" s="216"/>
      <c r="T654" s="216"/>
      <c r="U654" s="216"/>
      <c r="V654" s="216"/>
      <c r="W654" s="216"/>
      <c r="X654" s="216"/>
      <c r="Y654" s="216"/>
      <c r="Z654" s="216"/>
      <c r="AA654" s="216"/>
      <c r="AB654" s="216"/>
      <c r="AC654" s="216"/>
      <c r="AD654" s="344"/>
      <c r="AE654" s="344"/>
      <c r="AF654" s="344"/>
      <c r="AG654" s="344"/>
    </row>
    <row r="655">
      <c r="A655" s="445"/>
      <c r="B655" s="442"/>
      <c r="C655" s="443">
        <v>2024.0</v>
      </c>
      <c r="D655" s="444" t="s">
        <v>966</v>
      </c>
      <c r="E655" s="444"/>
      <c r="F655" s="440"/>
      <c r="G655" s="216"/>
      <c r="H655" s="216"/>
      <c r="I655" s="216"/>
      <c r="J655" s="216"/>
      <c r="K655" s="216"/>
      <c r="L655" s="216"/>
      <c r="M655" s="216"/>
      <c r="N655" s="216"/>
      <c r="O655" s="216"/>
      <c r="P655" s="216"/>
      <c r="Q655" s="216"/>
      <c r="R655" s="216"/>
      <c r="S655" s="216"/>
      <c r="T655" s="216"/>
      <c r="U655" s="216"/>
      <c r="V655" s="216"/>
      <c r="W655" s="216"/>
      <c r="X655" s="216"/>
      <c r="Y655" s="216"/>
      <c r="Z655" s="216"/>
      <c r="AA655" s="216"/>
      <c r="AB655" s="216"/>
      <c r="AC655" s="216"/>
      <c r="AD655" s="344"/>
      <c r="AE655" s="344"/>
      <c r="AF655" s="344"/>
      <c r="AG655" s="344"/>
    </row>
    <row r="656">
      <c r="A656" s="445"/>
      <c r="B656" s="442"/>
      <c r="C656" s="443">
        <v>2024.0</v>
      </c>
      <c r="D656" s="444" t="s">
        <v>967</v>
      </c>
      <c r="E656" s="444"/>
      <c r="F656" s="440"/>
      <c r="G656" s="216"/>
      <c r="H656" s="216"/>
      <c r="I656" s="216"/>
      <c r="J656" s="216"/>
      <c r="K656" s="216"/>
      <c r="L656" s="216"/>
      <c r="M656" s="216"/>
      <c r="N656" s="216"/>
      <c r="O656" s="216"/>
      <c r="P656" s="216"/>
      <c r="Q656" s="216"/>
      <c r="R656" s="216"/>
      <c r="S656" s="216"/>
      <c r="T656" s="216"/>
      <c r="U656" s="216"/>
      <c r="V656" s="216"/>
      <c r="W656" s="216"/>
      <c r="X656" s="216"/>
      <c r="Y656" s="216"/>
      <c r="Z656" s="216"/>
      <c r="AA656" s="216"/>
      <c r="AB656" s="216"/>
      <c r="AC656" s="216"/>
      <c r="AD656" s="344"/>
      <c r="AE656" s="344"/>
      <c r="AF656" s="344"/>
      <c r="AG656" s="344"/>
    </row>
    <row r="657">
      <c r="A657" s="450">
        <v>65.0</v>
      </c>
      <c r="B657" s="442" t="s">
        <v>811</v>
      </c>
      <c r="C657" s="443">
        <v>2022.0</v>
      </c>
      <c r="D657" s="444" t="s">
        <v>1041</v>
      </c>
      <c r="E657" s="444"/>
      <c r="F657" s="440"/>
      <c r="G657" s="216"/>
      <c r="H657" s="216"/>
      <c r="I657" s="216"/>
      <c r="J657" s="216"/>
      <c r="K657" s="216"/>
      <c r="L657" s="216"/>
      <c r="M657" s="216"/>
      <c r="N657" s="216"/>
      <c r="O657" s="216"/>
      <c r="P657" s="216"/>
      <c r="Q657" s="216"/>
      <c r="R657" s="216"/>
      <c r="S657" s="216"/>
      <c r="T657" s="216"/>
      <c r="U657" s="216"/>
      <c r="V657" s="216"/>
      <c r="W657" s="216"/>
      <c r="X657" s="216"/>
      <c r="Y657" s="216"/>
      <c r="Z657" s="216"/>
      <c r="AA657" s="216"/>
      <c r="AB657" s="216"/>
      <c r="AC657" s="216"/>
      <c r="AD657" s="344"/>
      <c r="AE657" s="344"/>
      <c r="AF657" s="344"/>
      <c r="AG657" s="344"/>
    </row>
    <row r="658">
      <c r="A658" s="445"/>
      <c r="B658" s="442"/>
      <c r="C658" s="443">
        <v>2023.0</v>
      </c>
      <c r="D658" s="444" t="s">
        <v>959</v>
      </c>
      <c r="E658" s="444"/>
      <c r="F658" s="440"/>
      <c r="G658" s="216"/>
      <c r="H658" s="216"/>
      <c r="I658" s="216"/>
      <c r="J658" s="216"/>
      <c r="K658" s="216"/>
      <c r="L658" s="216"/>
      <c r="M658" s="216"/>
      <c r="N658" s="216"/>
      <c r="O658" s="216"/>
      <c r="P658" s="216"/>
      <c r="Q658" s="216"/>
      <c r="R658" s="216"/>
      <c r="S658" s="216"/>
      <c r="T658" s="216"/>
      <c r="U658" s="216"/>
      <c r="V658" s="216"/>
      <c r="W658" s="216"/>
      <c r="X658" s="216"/>
      <c r="Y658" s="216"/>
      <c r="Z658" s="216"/>
      <c r="AA658" s="216"/>
      <c r="AB658" s="216"/>
      <c r="AC658" s="216"/>
      <c r="AD658" s="344"/>
      <c r="AE658" s="344"/>
      <c r="AF658" s="344"/>
      <c r="AG658" s="344"/>
    </row>
    <row r="659">
      <c r="A659" s="445"/>
      <c r="B659" s="442"/>
      <c r="C659" s="443">
        <v>2024.0</v>
      </c>
      <c r="D659" s="446" t="s">
        <v>954</v>
      </c>
      <c r="E659" s="442"/>
      <c r="F659" s="440"/>
      <c r="G659" s="216"/>
      <c r="H659" s="216"/>
      <c r="I659" s="216"/>
      <c r="J659" s="216"/>
      <c r="K659" s="216"/>
      <c r="L659" s="216"/>
      <c r="M659" s="216"/>
      <c r="N659" s="216"/>
      <c r="O659" s="216"/>
      <c r="P659" s="216"/>
      <c r="Q659" s="216"/>
      <c r="R659" s="216"/>
      <c r="S659" s="216"/>
      <c r="T659" s="216"/>
      <c r="U659" s="216"/>
      <c r="V659" s="216"/>
      <c r="W659" s="216"/>
      <c r="X659" s="216"/>
      <c r="Y659" s="216"/>
      <c r="Z659" s="216"/>
      <c r="AA659" s="216"/>
      <c r="AB659" s="216"/>
      <c r="AC659" s="216"/>
      <c r="AD659" s="344"/>
      <c r="AE659" s="344"/>
      <c r="AF659" s="344"/>
      <c r="AG659" s="344"/>
    </row>
    <row r="660">
      <c r="A660" s="445"/>
      <c r="B660" s="442"/>
      <c r="C660" s="443">
        <v>2024.0</v>
      </c>
      <c r="D660" s="442" t="s">
        <v>937</v>
      </c>
      <c r="E660" s="442"/>
      <c r="F660" s="440"/>
      <c r="G660" s="216"/>
      <c r="H660" s="216"/>
      <c r="I660" s="216"/>
      <c r="J660" s="216"/>
      <c r="K660" s="216"/>
      <c r="L660" s="216"/>
      <c r="M660" s="216"/>
      <c r="N660" s="216"/>
      <c r="O660" s="216"/>
      <c r="P660" s="216"/>
      <c r="Q660" s="216"/>
      <c r="R660" s="216"/>
      <c r="S660" s="216"/>
      <c r="T660" s="216"/>
      <c r="U660" s="216"/>
      <c r="V660" s="216"/>
      <c r="W660" s="216"/>
      <c r="X660" s="216"/>
      <c r="Y660" s="216"/>
      <c r="Z660" s="216"/>
      <c r="AA660" s="216"/>
      <c r="AB660" s="216"/>
      <c r="AC660" s="216"/>
      <c r="AD660" s="344"/>
      <c r="AE660" s="344"/>
      <c r="AF660" s="344"/>
      <c r="AG660" s="344"/>
    </row>
    <row r="661">
      <c r="A661" s="445"/>
      <c r="B661" s="442"/>
      <c r="C661" s="443">
        <v>2024.0</v>
      </c>
      <c r="D661" s="444" t="s">
        <v>969</v>
      </c>
      <c r="E661" s="444"/>
      <c r="F661" s="440"/>
      <c r="G661" s="216"/>
      <c r="H661" s="216"/>
      <c r="I661" s="216"/>
      <c r="J661" s="216"/>
      <c r="K661" s="216"/>
      <c r="L661" s="216"/>
      <c r="M661" s="216"/>
      <c r="N661" s="216"/>
      <c r="O661" s="216"/>
      <c r="P661" s="216"/>
      <c r="Q661" s="216"/>
      <c r="R661" s="216"/>
      <c r="S661" s="216"/>
      <c r="T661" s="216"/>
      <c r="U661" s="216"/>
      <c r="V661" s="216"/>
      <c r="W661" s="216"/>
      <c r="X661" s="216"/>
      <c r="Y661" s="216"/>
      <c r="Z661" s="216"/>
      <c r="AA661" s="216"/>
      <c r="AB661" s="216"/>
      <c r="AC661" s="216"/>
      <c r="AD661" s="344"/>
      <c r="AE661" s="344"/>
      <c r="AF661" s="344"/>
      <c r="AG661" s="344"/>
    </row>
    <row r="662">
      <c r="A662" s="445"/>
      <c r="B662" s="442"/>
      <c r="C662" s="443">
        <v>2024.0</v>
      </c>
      <c r="D662" s="446" t="s">
        <v>954</v>
      </c>
      <c r="E662" s="442"/>
      <c r="F662" s="440"/>
      <c r="G662" s="216"/>
      <c r="H662" s="216"/>
      <c r="I662" s="216"/>
      <c r="J662" s="216"/>
      <c r="K662" s="216"/>
      <c r="L662" s="216"/>
      <c r="M662" s="216"/>
      <c r="N662" s="216"/>
      <c r="O662" s="216"/>
      <c r="P662" s="216"/>
      <c r="Q662" s="216"/>
      <c r="R662" s="216"/>
      <c r="S662" s="216"/>
      <c r="T662" s="216"/>
      <c r="U662" s="216"/>
      <c r="V662" s="216"/>
      <c r="W662" s="216"/>
      <c r="X662" s="216"/>
      <c r="Y662" s="216"/>
      <c r="Z662" s="216"/>
      <c r="AA662" s="216"/>
      <c r="AB662" s="216"/>
      <c r="AC662" s="216"/>
      <c r="AD662" s="344"/>
      <c r="AE662" s="344"/>
      <c r="AF662" s="344"/>
      <c r="AG662" s="344"/>
    </row>
    <row r="663">
      <c r="A663" s="450">
        <v>66.0</v>
      </c>
      <c r="B663" s="442" t="s">
        <v>886</v>
      </c>
      <c r="C663" s="443">
        <v>2022.0</v>
      </c>
      <c r="D663" s="442" t="s">
        <v>988</v>
      </c>
      <c r="E663" s="442" t="s">
        <v>929</v>
      </c>
      <c r="F663" s="440"/>
      <c r="G663" s="216"/>
      <c r="H663" s="216"/>
      <c r="I663" s="216"/>
      <c r="J663" s="216"/>
      <c r="K663" s="216"/>
      <c r="L663" s="216"/>
      <c r="M663" s="216"/>
      <c r="N663" s="216"/>
      <c r="O663" s="216"/>
      <c r="P663" s="216"/>
      <c r="Q663" s="216"/>
      <c r="R663" s="216"/>
      <c r="S663" s="216"/>
      <c r="T663" s="216"/>
      <c r="U663" s="216"/>
      <c r="V663" s="216"/>
      <c r="W663" s="216"/>
      <c r="X663" s="216"/>
      <c r="Y663" s="216"/>
      <c r="Z663" s="216"/>
      <c r="AA663" s="216"/>
      <c r="AB663" s="216"/>
      <c r="AC663" s="216"/>
      <c r="AD663" s="344"/>
      <c r="AE663" s="344"/>
      <c r="AF663" s="344"/>
      <c r="AG663" s="344"/>
    </row>
    <row r="664">
      <c r="A664" s="445"/>
      <c r="B664" s="442"/>
      <c r="C664" s="443">
        <v>2022.0</v>
      </c>
      <c r="D664" s="442" t="s">
        <v>1020</v>
      </c>
      <c r="E664" s="442" t="s">
        <v>929</v>
      </c>
      <c r="F664" s="440"/>
      <c r="G664" s="216"/>
      <c r="H664" s="216"/>
      <c r="I664" s="216"/>
      <c r="J664" s="216"/>
      <c r="K664" s="216"/>
      <c r="L664" s="216"/>
      <c r="M664" s="216"/>
      <c r="N664" s="216"/>
      <c r="O664" s="216"/>
      <c r="P664" s="216"/>
      <c r="Q664" s="216"/>
      <c r="R664" s="216"/>
      <c r="S664" s="216"/>
      <c r="T664" s="216"/>
      <c r="U664" s="216"/>
      <c r="V664" s="216"/>
      <c r="W664" s="216"/>
      <c r="X664" s="216"/>
      <c r="Y664" s="216"/>
      <c r="Z664" s="216"/>
      <c r="AA664" s="216"/>
      <c r="AB664" s="216"/>
      <c r="AC664" s="216"/>
      <c r="AD664" s="344"/>
      <c r="AE664" s="344"/>
      <c r="AF664" s="344"/>
      <c r="AG664" s="344"/>
    </row>
    <row r="665">
      <c r="A665" s="445"/>
      <c r="B665" s="442"/>
      <c r="C665" s="443">
        <v>2023.0</v>
      </c>
      <c r="D665" s="442" t="s">
        <v>991</v>
      </c>
      <c r="E665" s="442" t="s">
        <v>933</v>
      </c>
      <c r="F665" s="440"/>
      <c r="G665" s="216"/>
      <c r="H665" s="216"/>
      <c r="I665" s="216"/>
      <c r="J665" s="216"/>
      <c r="K665" s="216"/>
      <c r="L665" s="216"/>
      <c r="M665" s="216"/>
      <c r="N665" s="216"/>
      <c r="O665" s="216"/>
      <c r="P665" s="216"/>
      <c r="Q665" s="216"/>
      <c r="R665" s="216"/>
      <c r="S665" s="216"/>
      <c r="T665" s="216"/>
      <c r="U665" s="216"/>
      <c r="V665" s="216"/>
      <c r="W665" s="216"/>
      <c r="X665" s="216"/>
      <c r="Y665" s="216"/>
      <c r="Z665" s="216"/>
      <c r="AA665" s="216"/>
      <c r="AB665" s="216"/>
      <c r="AC665" s="216"/>
      <c r="AD665" s="344"/>
      <c r="AE665" s="344"/>
      <c r="AF665" s="344"/>
      <c r="AG665" s="344"/>
    </row>
    <row r="666">
      <c r="A666" s="445"/>
      <c r="B666" s="442"/>
      <c r="C666" s="443">
        <v>2023.0</v>
      </c>
      <c r="D666" s="442" t="s">
        <v>1022</v>
      </c>
      <c r="E666" s="442" t="s">
        <v>929</v>
      </c>
      <c r="F666" s="440"/>
      <c r="G666" s="216"/>
      <c r="H666" s="216"/>
      <c r="I666" s="216"/>
      <c r="J666" s="216"/>
      <c r="K666" s="216"/>
      <c r="L666" s="216"/>
      <c r="M666" s="216"/>
      <c r="N666" s="216"/>
      <c r="O666" s="216"/>
      <c r="P666" s="216"/>
      <c r="Q666" s="216"/>
      <c r="R666" s="216"/>
      <c r="S666" s="216"/>
      <c r="T666" s="216"/>
      <c r="U666" s="216"/>
      <c r="V666" s="216"/>
      <c r="W666" s="216"/>
      <c r="X666" s="216"/>
      <c r="Y666" s="216"/>
      <c r="Z666" s="216"/>
      <c r="AA666" s="216"/>
      <c r="AB666" s="216"/>
      <c r="AC666" s="216"/>
      <c r="AD666" s="344"/>
      <c r="AE666" s="344"/>
      <c r="AF666" s="344"/>
      <c r="AG666" s="344"/>
    </row>
    <row r="667">
      <c r="A667" s="445"/>
      <c r="B667" s="442"/>
      <c r="C667" s="453">
        <v>2024.0</v>
      </c>
      <c r="D667" s="444" t="s">
        <v>936</v>
      </c>
      <c r="E667" s="444"/>
      <c r="F667" s="440"/>
      <c r="G667" s="216"/>
      <c r="H667" s="216"/>
      <c r="I667" s="216"/>
      <c r="J667" s="216"/>
      <c r="K667" s="216"/>
      <c r="L667" s="216"/>
      <c r="M667" s="216"/>
      <c r="N667" s="216"/>
      <c r="O667" s="216"/>
      <c r="P667" s="216"/>
      <c r="Q667" s="216"/>
      <c r="R667" s="216"/>
      <c r="S667" s="216"/>
      <c r="T667" s="216"/>
      <c r="U667" s="216"/>
      <c r="V667" s="216"/>
      <c r="W667" s="216"/>
      <c r="X667" s="216"/>
      <c r="Y667" s="216"/>
      <c r="Z667" s="216"/>
      <c r="AA667" s="216"/>
      <c r="AB667" s="216"/>
      <c r="AC667" s="216"/>
      <c r="AD667" s="344"/>
      <c r="AE667" s="344"/>
      <c r="AF667" s="344"/>
      <c r="AG667" s="344"/>
    </row>
    <row r="668">
      <c r="A668" s="445"/>
      <c r="B668" s="442"/>
      <c r="C668" s="453">
        <v>2024.0</v>
      </c>
      <c r="D668" s="444" t="s">
        <v>954</v>
      </c>
      <c r="E668" s="442"/>
      <c r="F668" s="440"/>
      <c r="G668" s="216"/>
      <c r="H668" s="216"/>
      <c r="I668" s="216"/>
      <c r="J668" s="216"/>
      <c r="K668" s="216"/>
      <c r="L668" s="216"/>
      <c r="M668" s="216"/>
      <c r="N668" s="216"/>
      <c r="O668" s="216"/>
      <c r="P668" s="216"/>
      <c r="Q668" s="216"/>
      <c r="R668" s="216"/>
      <c r="S668" s="216"/>
      <c r="T668" s="216"/>
      <c r="U668" s="216"/>
      <c r="V668" s="216"/>
      <c r="W668" s="216"/>
      <c r="X668" s="216"/>
      <c r="Y668" s="216"/>
      <c r="Z668" s="216"/>
      <c r="AA668" s="216"/>
      <c r="AB668" s="216"/>
      <c r="AC668" s="216"/>
      <c r="AD668" s="344"/>
      <c r="AE668" s="344"/>
      <c r="AF668" s="344"/>
      <c r="AG668" s="344"/>
    </row>
    <row r="669">
      <c r="A669" s="450">
        <v>67.0</v>
      </c>
      <c r="B669" s="442" t="s">
        <v>814</v>
      </c>
      <c r="C669" s="442"/>
      <c r="D669" s="442"/>
      <c r="E669" s="442"/>
      <c r="F669" s="440"/>
      <c r="G669" s="216"/>
      <c r="H669" s="216"/>
      <c r="I669" s="216"/>
      <c r="J669" s="216"/>
      <c r="K669" s="216"/>
      <c r="L669" s="216"/>
      <c r="M669" s="216"/>
      <c r="N669" s="216"/>
      <c r="O669" s="216"/>
      <c r="P669" s="216"/>
      <c r="Q669" s="216"/>
      <c r="R669" s="216"/>
      <c r="S669" s="216"/>
      <c r="T669" s="216"/>
      <c r="U669" s="216"/>
      <c r="V669" s="216"/>
      <c r="W669" s="216"/>
      <c r="X669" s="216"/>
      <c r="Y669" s="216"/>
      <c r="Z669" s="216"/>
      <c r="AA669" s="216"/>
      <c r="AB669" s="216"/>
      <c r="AC669" s="216"/>
      <c r="AD669" s="344"/>
      <c r="AE669" s="344"/>
      <c r="AF669" s="344"/>
      <c r="AG669" s="344"/>
    </row>
    <row r="670">
      <c r="A670" s="450">
        <v>68.0</v>
      </c>
      <c r="B670" s="442" t="s">
        <v>606</v>
      </c>
      <c r="C670" s="443">
        <v>2022.0</v>
      </c>
      <c r="D670" s="442" t="s">
        <v>1065</v>
      </c>
      <c r="E670" s="442" t="s">
        <v>929</v>
      </c>
      <c r="F670" s="440"/>
      <c r="G670" s="216"/>
      <c r="H670" s="216"/>
      <c r="I670" s="216"/>
      <c r="J670" s="216"/>
      <c r="K670" s="216"/>
      <c r="L670" s="216"/>
      <c r="M670" s="216"/>
      <c r="N670" s="216"/>
      <c r="O670" s="216"/>
      <c r="P670" s="216"/>
      <c r="Q670" s="216"/>
      <c r="R670" s="216"/>
      <c r="S670" s="216"/>
      <c r="T670" s="216"/>
      <c r="U670" s="216"/>
      <c r="V670" s="216"/>
      <c r="W670" s="216"/>
      <c r="X670" s="216"/>
      <c r="Y670" s="216"/>
      <c r="Z670" s="216"/>
      <c r="AA670" s="216"/>
      <c r="AB670" s="216"/>
      <c r="AC670" s="216"/>
      <c r="AD670" s="344"/>
      <c r="AE670" s="344"/>
      <c r="AF670" s="344"/>
      <c r="AG670" s="344"/>
    </row>
    <row r="671">
      <c r="A671" s="445"/>
      <c r="B671" s="442"/>
      <c r="C671" s="443">
        <v>2023.0</v>
      </c>
      <c r="D671" s="444" t="s">
        <v>934</v>
      </c>
      <c r="E671" s="444"/>
      <c r="F671" s="440"/>
      <c r="G671" s="216"/>
      <c r="H671" s="216"/>
      <c r="I671" s="216"/>
      <c r="J671" s="216"/>
      <c r="K671" s="216"/>
      <c r="L671" s="216"/>
      <c r="M671" s="216"/>
      <c r="N671" s="216"/>
      <c r="O671" s="216"/>
      <c r="P671" s="216"/>
      <c r="Q671" s="216"/>
      <c r="R671" s="216"/>
      <c r="S671" s="216"/>
      <c r="T671" s="216"/>
      <c r="U671" s="216"/>
      <c r="V671" s="216"/>
      <c r="W671" s="216"/>
      <c r="X671" s="216"/>
      <c r="Y671" s="216"/>
      <c r="Z671" s="216"/>
      <c r="AA671" s="216"/>
      <c r="AB671" s="216"/>
      <c r="AC671" s="216"/>
      <c r="AD671" s="344"/>
      <c r="AE671" s="344"/>
      <c r="AF671" s="344"/>
      <c r="AG671" s="344"/>
    </row>
    <row r="672">
      <c r="A672" s="445"/>
      <c r="B672" s="442"/>
      <c r="C672" s="448">
        <v>2024.0</v>
      </c>
      <c r="D672" s="444" t="s">
        <v>972</v>
      </c>
      <c r="E672" s="444"/>
      <c r="F672" s="440"/>
      <c r="G672" s="216"/>
      <c r="H672" s="216"/>
      <c r="I672" s="216"/>
      <c r="J672" s="216"/>
      <c r="K672" s="216"/>
      <c r="L672" s="216"/>
      <c r="M672" s="216"/>
      <c r="N672" s="216"/>
      <c r="O672" s="216"/>
      <c r="P672" s="216"/>
      <c r="Q672" s="216"/>
      <c r="R672" s="216"/>
      <c r="S672" s="216"/>
      <c r="T672" s="216"/>
      <c r="U672" s="216"/>
      <c r="V672" s="216"/>
      <c r="W672" s="216"/>
      <c r="X672" s="216"/>
      <c r="Y672" s="216"/>
      <c r="Z672" s="216"/>
      <c r="AA672" s="216"/>
      <c r="AB672" s="216"/>
      <c r="AC672" s="216"/>
      <c r="AD672" s="344"/>
      <c r="AE672" s="344"/>
      <c r="AF672" s="344"/>
      <c r="AG672" s="344"/>
    </row>
    <row r="673">
      <c r="A673" s="450">
        <v>69.0</v>
      </c>
      <c r="B673" s="442" t="s">
        <v>843</v>
      </c>
      <c r="C673" s="443">
        <v>2022.0</v>
      </c>
      <c r="D673" s="442" t="s">
        <v>1017</v>
      </c>
      <c r="E673" s="442" t="s">
        <v>933</v>
      </c>
      <c r="F673" s="440"/>
      <c r="G673" s="216"/>
      <c r="H673" s="216"/>
      <c r="I673" s="216"/>
      <c r="J673" s="216"/>
      <c r="K673" s="216"/>
      <c r="L673" s="216"/>
      <c r="M673" s="216"/>
      <c r="N673" s="216"/>
      <c r="O673" s="216"/>
      <c r="P673" s="216"/>
      <c r="Q673" s="216"/>
      <c r="R673" s="216"/>
      <c r="S673" s="216"/>
      <c r="T673" s="216"/>
      <c r="U673" s="216"/>
      <c r="V673" s="216"/>
      <c r="W673" s="216"/>
      <c r="X673" s="216"/>
      <c r="Y673" s="216"/>
      <c r="Z673" s="216"/>
      <c r="AA673" s="216"/>
      <c r="AB673" s="216"/>
      <c r="AC673" s="216"/>
      <c r="AD673" s="344"/>
      <c r="AE673" s="344"/>
      <c r="AF673" s="344"/>
      <c r="AG673" s="344"/>
    </row>
    <row r="674">
      <c r="A674" s="445"/>
      <c r="B674" s="442"/>
      <c r="C674" s="443">
        <v>2022.0</v>
      </c>
      <c r="D674" s="442" t="s">
        <v>1018</v>
      </c>
      <c r="E674" s="442" t="s">
        <v>929</v>
      </c>
      <c r="F674" s="440"/>
      <c r="G674" s="216"/>
      <c r="H674" s="216"/>
      <c r="I674" s="216"/>
      <c r="J674" s="216"/>
      <c r="K674" s="216"/>
      <c r="L674" s="216"/>
      <c r="M674" s="216"/>
      <c r="N674" s="216"/>
      <c r="O674" s="216"/>
      <c r="P674" s="216"/>
      <c r="Q674" s="216"/>
      <c r="R674" s="216"/>
      <c r="S674" s="216"/>
      <c r="T674" s="216"/>
      <c r="U674" s="216"/>
      <c r="V674" s="216"/>
      <c r="W674" s="216"/>
      <c r="X674" s="216"/>
      <c r="Y674" s="216"/>
      <c r="Z674" s="216"/>
      <c r="AA674" s="216"/>
      <c r="AB674" s="216"/>
      <c r="AC674" s="216"/>
      <c r="AD674" s="344"/>
      <c r="AE674" s="344"/>
      <c r="AF674" s="344"/>
      <c r="AG674" s="344"/>
    </row>
    <row r="675">
      <c r="A675" s="445"/>
      <c r="B675" s="442"/>
      <c r="C675" s="443">
        <v>2023.0</v>
      </c>
      <c r="D675" s="442" t="s">
        <v>1066</v>
      </c>
      <c r="E675" s="442" t="s">
        <v>929</v>
      </c>
      <c r="F675" s="440"/>
      <c r="G675" s="216"/>
      <c r="H675" s="216"/>
      <c r="I675" s="216"/>
      <c r="J675" s="216"/>
      <c r="K675" s="216"/>
      <c r="L675" s="216"/>
      <c r="M675" s="216"/>
      <c r="N675" s="216"/>
      <c r="O675" s="216"/>
      <c r="P675" s="216"/>
      <c r="Q675" s="216"/>
      <c r="R675" s="216"/>
      <c r="S675" s="216"/>
      <c r="T675" s="216"/>
      <c r="U675" s="216"/>
      <c r="V675" s="216"/>
      <c r="W675" s="216"/>
      <c r="X675" s="216"/>
      <c r="Y675" s="216"/>
      <c r="Z675" s="216"/>
      <c r="AA675" s="216"/>
      <c r="AB675" s="216"/>
      <c r="AC675" s="216"/>
      <c r="AD675" s="344"/>
      <c r="AE675" s="344"/>
      <c r="AF675" s="344"/>
      <c r="AG675" s="344"/>
    </row>
    <row r="676">
      <c r="A676" s="445"/>
      <c r="B676" s="442"/>
      <c r="C676" s="443">
        <v>2023.0</v>
      </c>
      <c r="D676" s="442" t="s">
        <v>1063</v>
      </c>
      <c r="E676" s="442" t="s">
        <v>933</v>
      </c>
      <c r="F676" s="440"/>
      <c r="G676" s="216"/>
      <c r="H676" s="216"/>
      <c r="I676" s="216"/>
      <c r="J676" s="216"/>
      <c r="K676" s="216"/>
      <c r="L676" s="216"/>
      <c r="M676" s="216"/>
      <c r="N676" s="216"/>
      <c r="O676" s="216"/>
      <c r="P676" s="216"/>
      <c r="Q676" s="216"/>
      <c r="R676" s="216"/>
      <c r="S676" s="216"/>
      <c r="T676" s="216"/>
      <c r="U676" s="216"/>
      <c r="V676" s="216"/>
      <c r="W676" s="216"/>
      <c r="X676" s="216"/>
      <c r="Y676" s="216"/>
      <c r="Z676" s="216"/>
      <c r="AA676" s="216"/>
      <c r="AB676" s="216"/>
      <c r="AC676" s="216"/>
      <c r="AD676" s="344"/>
      <c r="AE676" s="344"/>
      <c r="AF676" s="344"/>
      <c r="AG676" s="344"/>
    </row>
    <row r="677">
      <c r="A677" s="445"/>
      <c r="B677" s="442"/>
      <c r="C677" s="443">
        <v>2024.0</v>
      </c>
      <c r="D677" s="444" t="s">
        <v>999</v>
      </c>
      <c r="E677" s="444"/>
      <c r="F677" s="440"/>
      <c r="G677" s="216"/>
      <c r="H677" s="216"/>
      <c r="I677" s="216"/>
      <c r="J677" s="216"/>
      <c r="K677" s="216"/>
      <c r="L677" s="216"/>
      <c r="M677" s="216"/>
      <c r="N677" s="216"/>
      <c r="O677" s="216"/>
      <c r="P677" s="216"/>
      <c r="Q677" s="216"/>
      <c r="R677" s="216"/>
      <c r="S677" s="216"/>
      <c r="T677" s="216"/>
      <c r="U677" s="216"/>
      <c r="V677" s="216"/>
      <c r="W677" s="216"/>
      <c r="X677" s="216"/>
      <c r="Y677" s="216"/>
      <c r="Z677" s="216"/>
      <c r="AA677" s="216"/>
      <c r="AB677" s="216"/>
      <c r="AC677" s="216"/>
      <c r="AD677" s="344"/>
      <c r="AE677" s="344"/>
      <c r="AF677" s="344"/>
      <c r="AG677" s="344"/>
    </row>
    <row r="678">
      <c r="A678" s="450">
        <v>70.0</v>
      </c>
      <c r="B678" s="442" t="s">
        <v>607</v>
      </c>
      <c r="C678" s="443">
        <v>2022.0</v>
      </c>
      <c r="D678" s="444" t="s">
        <v>981</v>
      </c>
      <c r="E678" s="444"/>
      <c r="F678" s="440"/>
      <c r="G678" s="216"/>
      <c r="H678" s="216"/>
      <c r="I678" s="216"/>
      <c r="J678" s="216"/>
      <c r="K678" s="216"/>
      <c r="L678" s="216"/>
      <c r="M678" s="216"/>
      <c r="N678" s="216"/>
      <c r="O678" s="216"/>
      <c r="P678" s="216"/>
      <c r="Q678" s="216"/>
      <c r="R678" s="216"/>
      <c r="S678" s="216"/>
      <c r="T678" s="216"/>
      <c r="U678" s="216"/>
      <c r="V678" s="216"/>
      <c r="W678" s="216"/>
      <c r="X678" s="216"/>
      <c r="Y678" s="216"/>
      <c r="Z678" s="216"/>
      <c r="AA678" s="216"/>
      <c r="AB678" s="216"/>
      <c r="AC678" s="216"/>
      <c r="AD678" s="344"/>
      <c r="AE678" s="344"/>
      <c r="AF678" s="344"/>
      <c r="AG678" s="344"/>
    </row>
    <row r="679">
      <c r="A679" s="445"/>
      <c r="B679" s="442"/>
      <c r="C679" s="443">
        <v>2022.0</v>
      </c>
      <c r="D679" s="444" t="s">
        <v>1017</v>
      </c>
      <c r="E679" s="444"/>
      <c r="F679" s="440"/>
      <c r="G679" s="216"/>
      <c r="H679" s="216"/>
      <c r="I679" s="216"/>
      <c r="J679" s="216"/>
      <c r="K679" s="216"/>
      <c r="L679" s="216"/>
      <c r="M679" s="216"/>
      <c r="N679" s="216"/>
      <c r="O679" s="216"/>
      <c r="P679" s="216"/>
      <c r="Q679" s="216"/>
      <c r="R679" s="216"/>
      <c r="S679" s="216"/>
      <c r="T679" s="216"/>
      <c r="U679" s="216"/>
      <c r="V679" s="216"/>
      <c r="W679" s="216"/>
      <c r="X679" s="216"/>
      <c r="Y679" s="216"/>
      <c r="Z679" s="216"/>
      <c r="AA679" s="216"/>
      <c r="AB679" s="216"/>
      <c r="AC679" s="216"/>
      <c r="AD679" s="344"/>
      <c r="AE679" s="344"/>
      <c r="AF679" s="344"/>
      <c r="AG679" s="344"/>
    </row>
    <row r="680">
      <c r="A680" s="445"/>
      <c r="B680" s="442"/>
      <c r="C680" s="443">
        <v>2023.0</v>
      </c>
      <c r="D680" s="444" t="s">
        <v>982</v>
      </c>
      <c r="E680" s="444"/>
      <c r="F680" s="440"/>
      <c r="G680" s="216"/>
      <c r="H680" s="216"/>
      <c r="I680" s="216"/>
      <c r="J680" s="216"/>
      <c r="K680" s="216"/>
      <c r="L680" s="216"/>
      <c r="M680" s="216"/>
      <c r="N680" s="216"/>
      <c r="O680" s="216"/>
      <c r="P680" s="216"/>
      <c r="Q680" s="216"/>
      <c r="R680" s="216"/>
      <c r="S680" s="216"/>
      <c r="T680" s="216"/>
      <c r="U680" s="216"/>
      <c r="V680" s="216"/>
      <c r="W680" s="216"/>
      <c r="X680" s="216"/>
      <c r="Y680" s="216"/>
      <c r="Z680" s="216"/>
      <c r="AA680" s="216"/>
      <c r="AB680" s="216"/>
      <c r="AC680" s="216"/>
      <c r="AD680" s="344"/>
      <c r="AE680" s="344"/>
      <c r="AF680" s="344"/>
      <c r="AG680" s="344"/>
    </row>
    <row r="681">
      <c r="A681" s="445"/>
      <c r="B681" s="442"/>
      <c r="C681" s="443">
        <v>2023.0</v>
      </c>
      <c r="D681" s="444" t="s">
        <v>997</v>
      </c>
      <c r="E681" s="444"/>
      <c r="F681" s="440"/>
      <c r="G681" s="216"/>
      <c r="H681" s="216"/>
      <c r="I681" s="216"/>
      <c r="J681" s="216"/>
      <c r="K681" s="216"/>
      <c r="L681" s="216"/>
      <c r="M681" s="216"/>
      <c r="N681" s="216"/>
      <c r="O681" s="216"/>
      <c r="P681" s="216"/>
      <c r="Q681" s="216"/>
      <c r="R681" s="216"/>
      <c r="S681" s="216"/>
      <c r="T681" s="216"/>
      <c r="U681" s="216"/>
      <c r="V681" s="216"/>
      <c r="W681" s="216"/>
      <c r="X681" s="216"/>
      <c r="Y681" s="216"/>
      <c r="Z681" s="216"/>
      <c r="AA681" s="216"/>
      <c r="AB681" s="216"/>
      <c r="AC681" s="216"/>
      <c r="AD681" s="344"/>
      <c r="AE681" s="344"/>
      <c r="AF681" s="344"/>
      <c r="AG681" s="344"/>
    </row>
    <row r="682">
      <c r="A682" s="445"/>
      <c r="B682" s="442"/>
      <c r="C682" s="443">
        <v>2024.0</v>
      </c>
      <c r="D682" s="446" t="s">
        <v>1026</v>
      </c>
      <c r="E682" s="442"/>
      <c r="F682" s="440"/>
      <c r="G682" s="216"/>
      <c r="H682" s="216"/>
      <c r="I682" s="216"/>
      <c r="J682" s="216"/>
      <c r="K682" s="216"/>
      <c r="L682" s="216"/>
      <c r="M682" s="216"/>
      <c r="N682" s="216"/>
      <c r="O682" s="216"/>
      <c r="P682" s="216"/>
      <c r="Q682" s="216"/>
      <c r="R682" s="216"/>
      <c r="S682" s="216"/>
      <c r="T682" s="216"/>
      <c r="U682" s="216"/>
      <c r="V682" s="216"/>
      <c r="W682" s="216"/>
      <c r="X682" s="216"/>
      <c r="Y682" s="216"/>
      <c r="Z682" s="216"/>
      <c r="AA682" s="216"/>
      <c r="AB682" s="216"/>
      <c r="AC682" s="216"/>
      <c r="AD682" s="344"/>
      <c r="AE682" s="344"/>
      <c r="AF682" s="344"/>
      <c r="AG682" s="344"/>
    </row>
    <row r="683">
      <c r="A683" s="445"/>
      <c r="B683" s="442"/>
      <c r="C683" s="443">
        <v>2024.0</v>
      </c>
      <c r="D683" s="446" t="s">
        <v>996</v>
      </c>
      <c r="E683" s="442"/>
      <c r="F683" s="440"/>
      <c r="G683" s="216"/>
      <c r="H683" s="216"/>
      <c r="I683" s="216"/>
      <c r="J683" s="216"/>
      <c r="K683" s="216"/>
      <c r="L683" s="216"/>
      <c r="M683" s="216"/>
      <c r="N683" s="216"/>
      <c r="O683" s="216"/>
      <c r="P683" s="216"/>
      <c r="Q683" s="216"/>
      <c r="R683" s="216"/>
      <c r="S683" s="216"/>
      <c r="T683" s="216"/>
      <c r="U683" s="216"/>
      <c r="V683" s="216"/>
      <c r="W683" s="216"/>
      <c r="X683" s="216"/>
      <c r="Y683" s="216"/>
      <c r="Z683" s="216"/>
      <c r="AA683" s="216"/>
      <c r="AB683" s="216"/>
      <c r="AC683" s="216"/>
      <c r="AD683" s="344"/>
      <c r="AE683" s="344"/>
      <c r="AF683" s="344"/>
      <c r="AG683" s="344"/>
    </row>
    <row r="684">
      <c r="A684" s="450">
        <v>71.0</v>
      </c>
      <c r="B684" s="442" t="s">
        <v>608</v>
      </c>
      <c r="C684" s="443">
        <v>2022.0</v>
      </c>
      <c r="D684" s="444" t="s">
        <v>1017</v>
      </c>
      <c r="E684" s="444"/>
      <c r="F684" s="440"/>
      <c r="G684" s="216"/>
      <c r="H684" s="216"/>
      <c r="I684" s="216"/>
      <c r="J684" s="216"/>
      <c r="K684" s="216"/>
      <c r="L684" s="216"/>
      <c r="M684" s="216"/>
      <c r="N684" s="216"/>
      <c r="O684" s="216"/>
      <c r="P684" s="216"/>
      <c r="Q684" s="216"/>
      <c r="R684" s="216"/>
      <c r="S684" s="216"/>
      <c r="T684" s="216"/>
      <c r="U684" s="216"/>
      <c r="V684" s="216"/>
      <c r="W684" s="216"/>
      <c r="X684" s="216"/>
      <c r="Y684" s="216"/>
      <c r="Z684" s="216"/>
      <c r="AA684" s="216"/>
      <c r="AB684" s="216"/>
      <c r="AC684" s="216"/>
      <c r="AD684" s="344"/>
      <c r="AE684" s="344"/>
      <c r="AF684" s="344"/>
      <c r="AG684" s="344"/>
    </row>
    <row r="685">
      <c r="A685" s="445"/>
      <c r="B685" s="442"/>
      <c r="C685" s="443">
        <v>2022.0</v>
      </c>
      <c r="D685" s="444" t="s">
        <v>981</v>
      </c>
      <c r="E685" s="444"/>
      <c r="F685" s="440"/>
      <c r="G685" s="216"/>
      <c r="H685" s="216"/>
      <c r="I685" s="216"/>
      <c r="J685" s="216"/>
      <c r="K685" s="216"/>
      <c r="L685" s="216"/>
      <c r="M685" s="216"/>
      <c r="N685" s="216"/>
      <c r="O685" s="216"/>
      <c r="P685" s="216"/>
      <c r="Q685" s="216"/>
      <c r="R685" s="216"/>
      <c r="S685" s="216"/>
      <c r="T685" s="216"/>
      <c r="U685" s="216"/>
      <c r="V685" s="216"/>
      <c r="W685" s="216"/>
      <c r="X685" s="216"/>
      <c r="Y685" s="216"/>
      <c r="Z685" s="216"/>
      <c r="AA685" s="216"/>
      <c r="AB685" s="216"/>
      <c r="AC685" s="216"/>
      <c r="AD685" s="344"/>
      <c r="AE685" s="344"/>
      <c r="AF685" s="344"/>
      <c r="AG685" s="344"/>
    </row>
    <row r="686">
      <c r="A686" s="445"/>
      <c r="B686" s="442"/>
      <c r="C686" s="443">
        <v>2023.0</v>
      </c>
      <c r="D686" s="444" t="s">
        <v>982</v>
      </c>
      <c r="E686" s="444"/>
      <c r="F686" s="440"/>
      <c r="G686" s="216"/>
      <c r="H686" s="216"/>
      <c r="I686" s="216"/>
      <c r="J686" s="216"/>
      <c r="K686" s="216"/>
      <c r="L686" s="216"/>
      <c r="M686" s="216"/>
      <c r="N686" s="216"/>
      <c r="O686" s="216"/>
      <c r="P686" s="216"/>
      <c r="Q686" s="216"/>
      <c r="R686" s="216"/>
      <c r="S686" s="216"/>
      <c r="T686" s="216"/>
      <c r="U686" s="216"/>
      <c r="V686" s="216"/>
      <c r="W686" s="216"/>
      <c r="X686" s="216"/>
      <c r="Y686" s="216"/>
      <c r="Z686" s="216"/>
      <c r="AA686" s="216"/>
      <c r="AB686" s="216"/>
      <c r="AC686" s="216"/>
      <c r="AD686" s="344"/>
      <c r="AE686" s="344"/>
      <c r="AF686" s="344"/>
      <c r="AG686" s="344"/>
    </row>
    <row r="687">
      <c r="A687" s="445"/>
      <c r="B687" s="442"/>
      <c r="C687" s="443">
        <v>2024.0</v>
      </c>
      <c r="D687" s="444" t="s">
        <v>999</v>
      </c>
      <c r="E687" s="444"/>
      <c r="F687" s="440"/>
      <c r="G687" s="216"/>
      <c r="H687" s="216"/>
      <c r="I687" s="216"/>
      <c r="J687" s="216"/>
      <c r="K687" s="216"/>
      <c r="L687" s="216"/>
      <c r="M687" s="216"/>
      <c r="N687" s="216"/>
      <c r="O687" s="216"/>
      <c r="P687" s="216"/>
      <c r="Q687" s="216"/>
      <c r="R687" s="216"/>
      <c r="S687" s="216"/>
      <c r="T687" s="216"/>
      <c r="U687" s="216"/>
      <c r="V687" s="216"/>
      <c r="W687" s="216"/>
      <c r="X687" s="216"/>
      <c r="Y687" s="216"/>
      <c r="Z687" s="216"/>
      <c r="AA687" s="216"/>
      <c r="AB687" s="216"/>
      <c r="AC687" s="216"/>
      <c r="AD687" s="344"/>
      <c r="AE687" s="344"/>
      <c r="AF687" s="344"/>
      <c r="AG687" s="344"/>
    </row>
    <row r="688">
      <c r="A688" s="445"/>
      <c r="B688" s="442"/>
      <c r="C688" s="443">
        <v>2024.0</v>
      </c>
      <c r="D688" s="444" t="s">
        <v>1026</v>
      </c>
      <c r="E688" s="442"/>
      <c r="F688" s="440"/>
      <c r="G688" s="216"/>
      <c r="H688" s="216"/>
      <c r="I688" s="216"/>
      <c r="J688" s="216"/>
      <c r="K688" s="216"/>
      <c r="L688" s="216"/>
      <c r="M688" s="216"/>
      <c r="N688" s="216"/>
      <c r="O688" s="216"/>
      <c r="P688" s="216"/>
      <c r="Q688" s="216"/>
      <c r="R688" s="216"/>
      <c r="S688" s="216"/>
      <c r="T688" s="216"/>
      <c r="U688" s="216"/>
      <c r="V688" s="216"/>
      <c r="W688" s="216"/>
      <c r="X688" s="216"/>
      <c r="Y688" s="216"/>
      <c r="Z688" s="216"/>
      <c r="AA688" s="216"/>
      <c r="AB688" s="216"/>
      <c r="AC688" s="216"/>
      <c r="AD688" s="344"/>
      <c r="AE688" s="344"/>
      <c r="AF688" s="344"/>
      <c r="AG688" s="344"/>
    </row>
    <row r="689">
      <c r="F689" s="17"/>
      <c r="AA689" s="344"/>
      <c r="AB689" s="344"/>
      <c r="AC689" s="344"/>
      <c r="AD689" s="344"/>
      <c r="AE689" s="344"/>
      <c r="AF689" s="344"/>
      <c r="AG689" s="344"/>
    </row>
    <row r="690">
      <c r="F690" s="17"/>
      <c r="AA690" s="344"/>
      <c r="AB690" s="344"/>
      <c r="AC690" s="344"/>
      <c r="AD690" s="344"/>
      <c r="AE690" s="344"/>
      <c r="AF690" s="344"/>
      <c r="AG690" s="344"/>
    </row>
    <row r="691">
      <c r="A691" s="341" t="s">
        <v>1067</v>
      </c>
      <c r="B691" s="344"/>
      <c r="C691" s="344"/>
      <c r="D691" s="344"/>
      <c r="E691" s="344"/>
      <c r="F691" s="348"/>
      <c r="G691" s="344"/>
      <c r="H691" s="344"/>
      <c r="I691" s="344"/>
      <c r="J691" s="344"/>
      <c r="K691" s="344"/>
      <c r="L691" s="344"/>
      <c r="M691" s="344"/>
      <c r="N691" s="344"/>
      <c r="O691" s="344"/>
      <c r="P691" s="344"/>
      <c r="Q691" s="344"/>
      <c r="R691" s="344"/>
      <c r="S691" s="344"/>
      <c r="T691" s="344"/>
      <c r="U691" s="344"/>
      <c r="V691" s="344"/>
      <c r="W691" s="344"/>
      <c r="X691" s="344"/>
      <c r="Y691" s="344"/>
      <c r="Z691" s="344"/>
    </row>
    <row r="692">
      <c r="A692" s="454" t="s">
        <v>1068</v>
      </c>
      <c r="B692" s="455" t="s">
        <v>525</v>
      </c>
      <c r="C692" s="455" t="s">
        <v>728</v>
      </c>
      <c r="D692" s="456" t="s">
        <v>1069</v>
      </c>
      <c r="E692" s="456" t="s">
        <v>1070</v>
      </c>
      <c r="F692" s="457" t="s">
        <v>1071</v>
      </c>
      <c r="G692" s="344"/>
      <c r="H692" s="344"/>
      <c r="I692" s="344"/>
      <c r="J692" s="344"/>
      <c r="K692" s="344"/>
      <c r="L692" s="344"/>
      <c r="M692" s="344"/>
      <c r="N692" s="344"/>
      <c r="O692" s="344"/>
      <c r="P692" s="344"/>
      <c r="Q692" s="344"/>
      <c r="R692" s="344"/>
      <c r="S692" s="344"/>
      <c r="T692" s="344"/>
      <c r="U692" s="344"/>
      <c r="V692" s="344"/>
      <c r="W692" s="344"/>
      <c r="X692" s="344"/>
      <c r="Y692" s="344"/>
      <c r="Z692" s="344"/>
    </row>
    <row r="693">
      <c r="A693" s="458">
        <v>1.0</v>
      </c>
      <c r="B693" s="459" t="s">
        <v>535</v>
      </c>
      <c r="C693" s="460">
        <v>2023.0</v>
      </c>
      <c r="D693" s="461" t="s">
        <v>1072</v>
      </c>
      <c r="E693" s="461" t="s">
        <v>1073</v>
      </c>
      <c r="F693" s="462" t="s">
        <v>1074</v>
      </c>
      <c r="G693" s="344"/>
      <c r="H693" s="344"/>
      <c r="I693" s="344"/>
      <c r="J693" s="344"/>
      <c r="K693" s="344"/>
      <c r="L693" s="344"/>
      <c r="M693" s="344"/>
      <c r="N693" s="344"/>
      <c r="O693" s="344"/>
      <c r="P693" s="344"/>
      <c r="Q693" s="344"/>
      <c r="R693" s="344"/>
      <c r="S693" s="344"/>
      <c r="T693" s="344"/>
      <c r="U693" s="344"/>
      <c r="V693" s="344"/>
      <c r="W693" s="344"/>
      <c r="X693" s="344"/>
      <c r="Y693" s="344"/>
      <c r="Z693" s="344"/>
    </row>
    <row r="694">
      <c r="A694" s="129"/>
      <c r="B694" s="9"/>
      <c r="C694" s="9"/>
      <c r="D694" s="461" t="s">
        <v>1075</v>
      </c>
      <c r="E694" s="461" t="s">
        <v>1076</v>
      </c>
      <c r="F694" s="462" t="s">
        <v>1074</v>
      </c>
      <c r="G694" s="344"/>
      <c r="H694" s="344"/>
      <c r="I694" s="344"/>
      <c r="J694" s="344"/>
      <c r="K694" s="344"/>
      <c r="L694" s="344"/>
      <c r="M694" s="344"/>
      <c r="N694" s="344"/>
      <c r="O694" s="344"/>
      <c r="P694" s="344"/>
      <c r="Q694" s="344"/>
      <c r="R694" s="344"/>
      <c r="S694" s="344"/>
      <c r="T694" s="344"/>
      <c r="U694" s="344"/>
      <c r="V694" s="344"/>
      <c r="W694" s="344"/>
      <c r="X694" s="344"/>
      <c r="Y694" s="344"/>
      <c r="Z694" s="344"/>
    </row>
    <row r="695">
      <c r="A695" s="129"/>
      <c r="B695" s="9"/>
      <c r="C695" s="9"/>
      <c r="D695" s="461" t="s">
        <v>1077</v>
      </c>
      <c r="E695" s="461" t="s">
        <v>1078</v>
      </c>
      <c r="F695" s="462" t="s">
        <v>1074</v>
      </c>
      <c r="G695" s="344"/>
      <c r="H695" s="344"/>
      <c r="I695" s="344"/>
      <c r="J695" s="344"/>
      <c r="K695" s="344"/>
      <c r="L695" s="344"/>
      <c r="M695" s="344"/>
      <c r="N695" s="344"/>
      <c r="O695" s="344"/>
      <c r="P695" s="344"/>
      <c r="Q695" s="344"/>
      <c r="R695" s="344"/>
      <c r="S695" s="344"/>
      <c r="T695" s="344"/>
      <c r="U695" s="344"/>
      <c r="V695" s="344"/>
      <c r="W695" s="344"/>
      <c r="X695" s="344"/>
      <c r="Y695" s="344"/>
      <c r="Z695" s="344"/>
    </row>
    <row r="696">
      <c r="A696" s="129"/>
      <c r="B696" s="9"/>
      <c r="C696" s="9"/>
      <c r="D696" s="461" t="s">
        <v>1079</v>
      </c>
      <c r="E696" s="461" t="s">
        <v>1080</v>
      </c>
      <c r="F696" s="462" t="s">
        <v>1074</v>
      </c>
      <c r="G696" s="344"/>
      <c r="H696" s="344"/>
      <c r="I696" s="344"/>
      <c r="J696" s="344"/>
      <c r="K696" s="344"/>
      <c r="L696" s="344"/>
      <c r="M696" s="344"/>
      <c r="N696" s="344"/>
      <c r="O696" s="344"/>
      <c r="P696" s="344"/>
      <c r="Q696" s="344"/>
      <c r="R696" s="344"/>
      <c r="S696" s="344"/>
      <c r="T696" s="344"/>
      <c r="U696" s="344"/>
      <c r="V696" s="344"/>
      <c r="W696" s="344"/>
      <c r="X696" s="344"/>
      <c r="Y696" s="344"/>
      <c r="Z696" s="344"/>
    </row>
    <row r="697">
      <c r="A697" s="129"/>
      <c r="B697" s="9"/>
      <c r="C697" s="11"/>
      <c r="D697" s="461" t="s">
        <v>1081</v>
      </c>
      <c r="E697" s="461" t="s">
        <v>1082</v>
      </c>
      <c r="F697" s="462" t="s">
        <v>1074</v>
      </c>
      <c r="G697" s="344"/>
      <c r="H697" s="344"/>
      <c r="I697" s="344"/>
      <c r="J697" s="344"/>
      <c r="K697" s="344"/>
      <c r="L697" s="344"/>
      <c r="M697" s="344"/>
      <c r="N697" s="344"/>
      <c r="O697" s="344"/>
      <c r="P697" s="344"/>
      <c r="Q697" s="344"/>
      <c r="R697" s="344"/>
      <c r="S697" s="344"/>
      <c r="T697" s="344"/>
      <c r="U697" s="344"/>
      <c r="V697" s="344"/>
      <c r="W697" s="344"/>
      <c r="X697" s="344"/>
      <c r="Y697" s="344"/>
      <c r="Z697" s="344"/>
    </row>
    <row r="698">
      <c r="A698" s="129"/>
      <c r="B698" s="9"/>
      <c r="C698" s="460">
        <v>2022.0</v>
      </c>
      <c r="D698" s="461" t="s">
        <v>1083</v>
      </c>
      <c r="E698" s="461" t="s">
        <v>1084</v>
      </c>
      <c r="F698" s="463" t="s">
        <v>1085</v>
      </c>
      <c r="G698" s="344"/>
      <c r="H698" s="344"/>
      <c r="I698" s="344"/>
      <c r="J698" s="344"/>
      <c r="K698" s="344"/>
      <c r="L698" s="344"/>
      <c r="M698" s="344"/>
      <c r="N698" s="344"/>
      <c r="O698" s="344"/>
      <c r="P698" s="344"/>
      <c r="Q698" s="344"/>
      <c r="R698" s="344"/>
      <c r="S698" s="344"/>
      <c r="T698" s="344"/>
      <c r="U698" s="344"/>
      <c r="V698" s="344"/>
      <c r="W698" s="344"/>
      <c r="X698" s="344"/>
      <c r="Y698" s="344"/>
      <c r="Z698" s="344"/>
    </row>
    <row r="699">
      <c r="A699" s="56"/>
      <c r="B699" s="11"/>
      <c r="C699" s="11"/>
      <c r="D699" s="461" t="s">
        <v>1086</v>
      </c>
      <c r="E699" s="461" t="s">
        <v>1087</v>
      </c>
      <c r="F699" s="463" t="s">
        <v>1085</v>
      </c>
      <c r="G699" s="344"/>
      <c r="H699" s="344"/>
      <c r="I699" s="344"/>
      <c r="J699" s="344"/>
      <c r="K699" s="344"/>
      <c r="L699" s="344"/>
      <c r="M699" s="344"/>
      <c r="N699" s="344"/>
      <c r="O699" s="344"/>
      <c r="P699" s="344"/>
      <c r="Q699" s="344"/>
      <c r="R699" s="344"/>
      <c r="S699" s="344"/>
      <c r="T699" s="344"/>
      <c r="U699" s="344"/>
      <c r="V699" s="344"/>
      <c r="W699" s="344"/>
      <c r="X699" s="344"/>
      <c r="Y699" s="344"/>
      <c r="Z699" s="344"/>
    </row>
    <row r="700">
      <c r="A700" s="464">
        <v>2.0</v>
      </c>
      <c r="B700" s="461" t="s">
        <v>731</v>
      </c>
      <c r="C700" s="465">
        <v>2023.0</v>
      </c>
      <c r="D700" s="461" t="s">
        <v>1088</v>
      </c>
      <c r="E700" s="461" t="s">
        <v>1089</v>
      </c>
      <c r="F700" s="466" t="s">
        <v>1085</v>
      </c>
      <c r="G700" s="344"/>
      <c r="H700" s="344"/>
      <c r="I700" s="344"/>
      <c r="J700" s="344"/>
      <c r="K700" s="344"/>
      <c r="L700" s="344"/>
      <c r="M700" s="344"/>
      <c r="N700" s="344"/>
      <c r="O700" s="344"/>
      <c r="P700" s="344"/>
      <c r="Q700" s="344"/>
      <c r="R700" s="344"/>
      <c r="S700" s="344"/>
      <c r="T700" s="344"/>
      <c r="U700" s="344"/>
      <c r="V700" s="344"/>
      <c r="W700" s="344"/>
      <c r="X700" s="344"/>
      <c r="Y700" s="344"/>
      <c r="Z700" s="344"/>
    </row>
    <row r="701">
      <c r="A701" s="458">
        <v>3.0</v>
      </c>
      <c r="B701" s="459" t="s">
        <v>540</v>
      </c>
      <c r="C701" s="460">
        <v>2023.0</v>
      </c>
      <c r="D701" s="461" t="s">
        <v>1090</v>
      </c>
      <c r="E701" s="461" t="s">
        <v>1091</v>
      </c>
      <c r="F701" s="462" t="s">
        <v>1074</v>
      </c>
      <c r="G701" s="344"/>
      <c r="H701" s="344"/>
      <c r="I701" s="344"/>
      <c r="J701" s="344"/>
      <c r="K701" s="344"/>
      <c r="L701" s="344"/>
      <c r="M701" s="344"/>
      <c r="N701" s="344"/>
      <c r="O701" s="344"/>
      <c r="P701" s="344"/>
      <c r="Q701" s="344"/>
      <c r="R701" s="344"/>
      <c r="S701" s="344"/>
      <c r="T701" s="344"/>
      <c r="U701" s="344"/>
      <c r="V701" s="344"/>
      <c r="W701" s="344"/>
      <c r="X701" s="344"/>
      <c r="Y701" s="344"/>
      <c r="Z701" s="344"/>
    </row>
    <row r="702">
      <c r="A702" s="129"/>
      <c r="B702" s="9"/>
      <c r="C702" s="9"/>
      <c r="D702" s="461" t="s">
        <v>1092</v>
      </c>
      <c r="E702" s="461" t="s">
        <v>1093</v>
      </c>
      <c r="F702" s="462" t="s">
        <v>1074</v>
      </c>
      <c r="G702" s="344"/>
      <c r="H702" s="344"/>
      <c r="I702" s="344"/>
      <c r="J702" s="344"/>
      <c r="K702" s="344"/>
      <c r="L702" s="344"/>
      <c r="M702" s="344"/>
      <c r="N702" s="344"/>
      <c r="O702" s="344"/>
      <c r="P702" s="344"/>
      <c r="Q702" s="344"/>
      <c r="R702" s="344"/>
      <c r="S702" s="344"/>
      <c r="T702" s="344"/>
      <c r="U702" s="344"/>
      <c r="V702" s="344"/>
      <c r="W702" s="344"/>
      <c r="X702" s="344"/>
      <c r="Y702" s="344"/>
      <c r="Z702" s="344"/>
    </row>
    <row r="703">
      <c r="A703" s="129"/>
      <c r="B703" s="9"/>
      <c r="C703" s="9"/>
      <c r="D703" s="461" t="s">
        <v>1094</v>
      </c>
      <c r="E703" s="461" t="s">
        <v>1095</v>
      </c>
      <c r="F703" s="462" t="s">
        <v>1074</v>
      </c>
      <c r="G703" s="344"/>
      <c r="H703" s="344"/>
      <c r="I703" s="344"/>
      <c r="J703" s="344"/>
      <c r="K703" s="344"/>
      <c r="L703" s="344"/>
      <c r="M703" s="344"/>
      <c r="N703" s="344"/>
      <c r="O703" s="344"/>
      <c r="P703" s="344"/>
      <c r="Q703" s="344"/>
      <c r="R703" s="344"/>
      <c r="S703" s="344"/>
      <c r="T703" s="344"/>
      <c r="U703" s="344"/>
      <c r="V703" s="344"/>
      <c r="W703" s="344"/>
      <c r="X703" s="344"/>
      <c r="Y703" s="344"/>
      <c r="Z703" s="344"/>
    </row>
    <row r="704">
      <c r="A704" s="129"/>
      <c r="B704" s="9"/>
      <c r="C704" s="9"/>
      <c r="D704" s="461" t="s">
        <v>1096</v>
      </c>
      <c r="E704" s="461" t="s">
        <v>1097</v>
      </c>
      <c r="F704" s="462" t="s">
        <v>1074</v>
      </c>
      <c r="G704" s="344"/>
      <c r="H704" s="344"/>
      <c r="I704" s="344"/>
      <c r="J704" s="344"/>
      <c r="K704" s="344"/>
      <c r="L704" s="344"/>
      <c r="M704" s="344"/>
      <c r="N704" s="344"/>
      <c r="O704" s="344"/>
      <c r="P704" s="344"/>
      <c r="Q704" s="344"/>
      <c r="R704" s="344"/>
      <c r="S704" s="344"/>
      <c r="T704" s="344"/>
      <c r="U704" s="344"/>
      <c r="V704" s="344"/>
      <c r="W704" s="344"/>
      <c r="X704" s="344"/>
      <c r="Y704" s="344"/>
      <c r="Z704" s="344"/>
    </row>
    <row r="705">
      <c r="A705" s="129"/>
      <c r="B705" s="9"/>
      <c r="C705" s="9"/>
      <c r="D705" s="461" t="s">
        <v>1098</v>
      </c>
      <c r="E705" s="461" t="s">
        <v>1099</v>
      </c>
      <c r="F705" s="462" t="s">
        <v>1074</v>
      </c>
      <c r="G705" s="344"/>
      <c r="H705" s="344"/>
      <c r="I705" s="344"/>
      <c r="J705" s="344"/>
      <c r="K705" s="344"/>
      <c r="L705" s="344"/>
      <c r="M705" s="344"/>
      <c r="N705" s="344"/>
      <c r="O705" s="344"/>
      <c r="P705" s="344"/>
      <c r="Q705" s="344"/>
      <c r="R705" s="344"/>
      <c r="S705" s="344"/>
      <c r="T705" s="344"/>
      <c r="U705" s="344"/>
      <c r="V705" s="344"/>
      <c r="W705" s="344"/>
      <c r="X705" s="344"/>
      <c r="Y705" s="344"/>
      <c r="Z705" s="344"/>
    </row>
    <row r="706">
      <c r="A706" s="129"/>
      <c r="B706" s="9"/>
      <c r="C706" s="9"/>
      <c r="D706" s="461" t="s">
        <v>1100</v>
      </c>
      <c r="E706" s="461" t="s">
        <v>1101</v>
      </c>
      <c r="F706" s="462" t="s">
        <v>1074</v>
      </c>
      <c r="G706" s="344"/>
      <c r="H706" s="344"/>
      <c r="I706" s="344"/>
      <c r="J706" s="344"/>
      <c r="K706" s="344"/>
      <c r="L706" s="344"/>
      <c r="M706" s="344"/>
      <c r="N706" s="344"/>
      <c r="O706" s="344"/>
      <c r="P706" s="344"/>
      <c r="Q706" s="344"/>
      <c r="R706" s="344"/>
      <c r="S706" s="344"/>
      <c r="T706" s="344"/>
      <c r="U706" s="344"/>
      <c r="V706" s="344"/>
      <c r="W706" s="344"/>
      <c r="X706" s="344"/>
      <c r="Y706" s="344"/>
      <c r="Z706" s="344"/>
    </row>
    <row r="707">
      <c r="A707" s="129"/>
      <c r="B707" s="9"/>
      <c r="C707" s="11"/>
      <c r="D707" s="461" t="s">
        <v>1102</v>
      </c>
      <c r="E707" s="461" t="s">
        <v>1103</v>
      </c>
      <c r="F707" s="462" t="s">
        <v>1074</v>
      </c>
      <c r="G707" s="344"/>
      <c r="H707" s="344"/>
      <c r="I707" s="344"/>
      <c r="J707" s="344"/>
      <c r="K707" s="344"/>
      <c r="L707" s="344"/>
      <c r="M707" s="344"/>
      <c r="N707" s="344"/>
      <c r="O707" s="344"/>
      <c r="P707" s="344"/>
      <c r="Q707" s="344"/>
      <c r="R707" s="344"/>
      <c r="S707" s="344"/>
      <c r="T707" s="344"/>
      <c r="U707" s="344"/>
      <c r="V707" s="344"/>
      <c r="W707" s="344"/>
      <c r="X707" s="344"/>
      <c r="Y707" s="344"/>
      <c r="Z707" s="344"/>
    </row>
    <row r="708">
      <c r="A708" s="129"/>
      <c r="B708" s="9"/>
      <c r="C708" s="460">
        <v>2022.0</v>
      </c>
      <c r="D708" s="461" t="s">
        <v>1104</v>
      </c>
      <c r="E708" s="461" t="s">
        <v>1105</v>
      </c>
      <c r="F708" s="463" t="s">
        <v>1085</v>
      </c>
      <c r="G708" s="344"/>
      <c r="H708" s="344"/>
      <c r="I708" s="344"/>
      <c r="J708" s="344"/>
      <c r="K708" s="344"/>
      <c r="L708" s="344"/>
      <c r="M708" s="344"/>
      <c r="N708" s="344"/>
      <c r="O708" s="344"/>
      <c r="P708" s="344"/>
      <c r="Q708" s="344"/>
      <c r="R708" s="344"/>
      <c r="S708" s="344"/>
      <c r="T708" s="344"/>
      <c r="U708" s="344"/>
      <c r="V708" s="344"/>
      <c r="W708" s="344"/>
      <c r="X708" s="344"/>
      <c r="Y708" s="344"/>
      <c r="Z708" s="344"/>
    </row>
    <row r="709">
      <c r="A709" s="129"/>
      <c r="B709" s="9"/>
      <c r="C709" s="9"/>
      <c r="D709" s="461" t="s">
        <v>1090</v>
      </c>
      <c r="E709" s="461" t="s">
        <v>1106</v>
      </c>
      <c r="F709" s="463" t="s">
        <v>1085</v>
      </c>
      <c r="G709" s="344"/>
      <c r="H709" s="344"/>
      <c r="I709" s="344"/>
      <c r="J709" s="344"/>
      <c r="K709" s="344"/>
      <c r="L709" s="344"/>
      <c r="M709" s="344"/>
      <c r="N709" s="344"/>
      <c r="O709" s="344"/>
      <c r="P709" s="344"/>
      <c r="Q709" s="344"/>
      <c r="R709" s="344"/>
      <c r="S709" s="344"/>
      <c r="T709" s="344"/>
      <c r="U709" s="344"/>
      <c r="V709" s="344"/>
      <c r="W709" s="344"/>
      <c r="X709" s="344"/>
      <c r="Y709" s="344"/>
      <c r="Z709" s="344"/>
    </row>
    <row r="710">
      <c r="A710" s="129"/>
      <c r="B710" s="9"/>
      <c r="C710" s="9"/>
      <c r="D710" s="461" t="s">
        <v>1107</v>
      </c>
      <c r="E710" s="461" t="s">
        <v>1108</v>
      </c>
      <c r="F710" s="463" t="s">
        <v>1085</v>
      </c>
      <c r="G710" s="344"/>
      <c r="H710" s="344"/>
      <c r="I710" s="344"/>
      <c r="J710" s="344"/>
      <c r="K710" s="344"/>
      <c r="L710" s="344"/>
      <c r="M710" s="344"/>
      <c r="N710" s="344"/>
      <c r="O710" s="344"/>
      <c r="P710" s="344"/>
      <c r="Q710" s="344"/>
      <c r="R710" s="344"/>
      <c r="S710" s="344"/>
      <c r="T710" s="344"/>
      <c r="U710" s="344"/>
      <c r="V710" s="344"/>
      <c r="W710" s="344"/>
      <c r="X710" s="344"/>
      <c r="Y710" s="344"/>
      <c r="Z710" s="344"/>
    </row>
    <row r="711">
      <c r="A711" s="56"/>
      <c r="B711" s="11"/>
      <c r="C711" s="11"/>
      <c r="D711" s="461" t="s">
        <v>1109</v>
      </c>
      <c r="E711" s="461" t="s">
        <v>1110</v>
      </c>
      <c r="F711" s="463" t="s">
        <v>1085</v>
      </c>
      <c r="G711" s="344"/>
      <c r="H711" s="344"/>
      <c r="I711" s="344"/>
      <c r="J711" s="344"/>
      <c r="K711" s="344"/>
      <c r="L711" s="344"/>
      <c r="M711" s="344"/>
      <c r="N711" s="344"/>
      <c r="O711" s="344"/>
      <c r="P711" s="344"/>
      <c r="Q711" s="344"/>
      <c r="R711" s="344"/>
      <c r="S711" s="344"/>
      <c r="T711" s="344"/>
      <c r="U711" s="344"/>
      <c r="V711" s="344"/>
      <c r="W711" s="344"/>
      <c r="X711" s="344"/>
      <c r="Y711" s="344"/>
      <c r="Z711" s="344"/>
    </row>
    <row r="712">
      <c r="A712" s="458">
        <v>4.0</v>
      </c>
      <c r="B712" s="459" t="s">
        <v>733</v>
      </c>
      <c r="C712" s="460">
        <v>2023.0</v>
      </c>
      <c r="D712" s="461" t="s">
        <v>1111</v>
      </c>
      <c r="E712" s="461" t="s">
        <v>1112</v>
      </c>
      <c r="F712" s="466" t="s">
        <v>1074</v>
      </c>
      <c r="G712" s="344"/>
      <c r="H712" s="344"/>
      <c r="I712" s="344"/>
      <c r="J712" s="344"/>
      <c r="K712" s="344"/>
      <c r="L712" s="344"/>
      <c r="M712" s="344"/>
      <c r="N712" s="344"/>
      <c r="O712" s="344"/>
      <c r="P712" s="344"/>
      <c r="Q712" s="344"/>
      <c r="R712" s="344"/>
      <c r="S712" s="344"/>
      <c r="T712" s="344"/>
      <c r="U712" s="344"/>
      <c r="V712" s="344"/>
      <c r="W712" s="344"/>
      <c r="X712" s="344"/>
      <c r="Y712" s="344"/>
      <c r="Z712" s="344"/>
    </row>
    <row r="713">
      <c r="A713" s="56"/>
      <c r="B713" s="11"/>
      <c r="C713" s="11"/>
      <c r="D713" s="461" t="s">
        <v>1113</v>
      </c>
      <c r="E713" s="461" t="s">
        <v>1114</v>
      </c>
      <c r="F713" s="466" t="s">
        <v>1074</v>
      </c>
      <c r="G713" s="344"/>
      <c r="H713" s="344"/>
      <c r="I713" s="344"/>
      <c r="J713" s="344"/>
      <c r="K713" s="344"/>
      <c r="L713" s="344"/>
      <c r="M713" s="344"/>
      <c r="N713" s="344"/>
      <c r="O713" s="344"/>
      <c r="P713" s="344"/>
      <c r="Q713" s="344"/>
      <c r="R713" s="344"/>
      <c r="S713" s="344"/>
      <c r="T713" s="344"/>
      <c r="U713" s="344"/>
      <c r="V713" s="344"/>
      <c r="W713" s="344"/>
      <c r="X713" s="344"/>
      <c r="Y713" s="344"/>
      <c r="Z713" s="344"/>
    </row>
    <row r="714">
      <c r="A714" s="458">
        <v>5.0</v>
      </c>
      <c r="B714" s="459" t="s">
        <v>639</v>
      </c>
      <c r="C714" s="460">
        <v>2024.0</v>
      </c>
      <c r="D714" s="461" t="s">
        <v>1115</v>
      </c>
      <c r="E714" s="461" t="s">
        <v>1116</v>
      </c>
      <c r="F714" s="466" t="s">
        <v>1074</v>
      </c>
      <c r="G714" s="344"/>
      <c r="H714" s="344"/>
      <c r="I714" s="344"/>
      <c r="J714" s="344"/>
      <c r="K714" s="344"/>
      <c r="L714" s="344"/>
      <c r="M714" s="344"/>
      <c r="N714" s="344"/>
      <c r="O714" s="344"/>
      <c r="P714" s="344"/>
      <c r="Q714" s="344"/>
      <c r="R714" s="344"/>
      <c r="S714" s="344"/>
      <c r="T714" s="344"/>
      <c r="U714" s="344"/>
      <c r="V714" s="344"/>
      <c r="W714" s="344"/>
      <c r="X714" s="344"/>
      <c r="Y714" s="344"/>
      <c r="Z714" s="344"/>
    </row>
    <row r="715">
      <c r="A715" s="129"/>
      <c r="B715" s="9"/>
      <c r="C715" s="11"/>
      <c r="D715" s="461" t="s">
        <v>1117</v>
      </c>
      <c r="E715" s="461" t="s">
        <v>1118</v>
      </c>
      <c r="F715" s="466" t="s">
        <v>1074</v>
      </c>
      <c r="G715" s="344"/>
      <c r="H715" s="344"/>
      <c r="I715" s="344"/>
      <c r="J715" s="344"/>
      <c r="K715" s="344"/>
      <c r="L715" s="344"/>
      <c r="M715" s="344"/>
      <c r="N715" s="344"/>
      <c r="O715" s="344"/>
      <c r="P715" s="344"/>
      <c r="Q715" s="344"/>
      <c r="R715" s="344"/>
      <c r="S715" s="344"/>
      <c r="T715" s="344"/>
      <c r="U715" s="344"/>
      <c r="V715" s="344"/>
      <c r="W715" s="344"/>
      <c r="X715" s="344"/>
      <c r="Y715" s="344"/>
      <c r="Z715" s="344"/>
    </row>
    <row r="716">
      <c r="A716" s="129"/>
      <c r="B716" s="9"/>
      <c r="C716" s="460">
        <v>2023.0</v>
      </c>
      <c r="D716" s="461" t="s">
        <v>1119</v>
      </c>
      <c r="E716" s="461" t="s">
        <v>1120</v>
      </c>
      <c r="F716" s="462" t="s">
        <v>1074</v>
      </c>
      <c r="G716" s="344"/>
      <c r="H716" s="344"/>
      <c r="I716" s="344"/>
      <c r="J716" s="344"/>
      <c r="K716" s="344"/>
      <c r="L716" s="344"/>
      <c r="M716" s="344"/>
      <c r="N716" s="344"/>
      <c r="O716" s="344"/>
      <c r="P716" s="344"/>
      <c r="Q716" s="344"/>
      <c r="R716" s="344"/>
      <c r="S716" s="344"/>
      <c r="T716" s="344"/>
      <c r="U716" s="344"/>
      <c r="V716" s="344"/>
      <c r="W716" s="344"/>
      <c r="X716" s="344"/>
      <c r="Y716" s="344"/>
      <c r="Z716" s="344"/>
    </row>
    <row r="717">
      <c r="A717" s="129"/>
      <c r="B717" s="9"/>
      <c r="C717" s="9"/>
      <c r="D717" s="461" t="s">
        <v>1121</v>
      </c>
      <c r="E717" s="461" t="s">
        <v>1122</v>
      </c>
      <c r="F717" s="462" t="s">
        <v>1074</v>
      </c>
      <c r="G717" s="344"/>
      <c r="H717" s="344"/>
      <c r="I717" s="344"/>
      <c r="J717" s="344"/>
      <c r="K717" s="344"/>
      <c r="L717" s="344"/>
      <c r="M717" s="344"/>
      <c r="N717" s="344"/>
      <c r="O717" s="344"/>
      <c r="P717" s="344"/>
      <c r="Q717" s="344"/>
      <c r="R717" s="344"/>
      <c r="S717" s="344"/>
      <c r="T717" s="344"/>
      <c r="U717" s="344"/>
      <c r="V717" s="344"/>
      <c r="W717" s="344"/>
      <c r="X717" s="344"/>
      <c r="Y717" s="344"/>
      <c r="Z717" s="344"/>
    </row>
    <row r="718">
      <c r="A718" s="129"/>
      <c r="B718" s="9"/>
      <c r="C718" s="9"/>
      <c r="D718" s="461" t="s">
        <v>1123</v>
      </c>
      <c r="E718" s="461" t="s">
        <v>1124</v>
      </c>
      <c r="F718" s="462" t="s">
        <v>1074</v>
      </c>
      <c r="G718" s="344"/>
      <c r="H718" s="344"/>
      <c r="I718" s="344"/>
      <c r="J718" s="344"/>
      <c r="K718" s="344"/>
      <c r="L718" s="344"/>
      <c r="M718" s="344"/>
      <c r="N718" s="344"/>
      <c r="O718" s="344"/>
      <c r="P718" s="344"/>
      <c r="Q718" s="344"/>
      <c r="R718" s="344"/>
      <c r="S718" s="344"/>
      <c r="T718" s="344"/>
      <c r="U718" s="344"/>
      <c r="V718" s="344"/>
      <c r="W718" s="344"/>
      <c r="X718" s="344"/>
      <c r="Y718" s="344"/>
      <c r="Z718" s="344"/>
    </row>
    <row r="719">
      <c r="A719" s="129"/>
      <c r="B719" s="9"/>
      <c r="C719" s="9"/>
      <c r="D719" s="461" t="s">
        <v>1125</v>
      </c>
      <c r="E719" s="461" t="s">
        <v>1126</v>
      </c>
      <c r="F719" s="462" t="s">
        <v>1074</v>
      </c>
      <c r="G719" s="344"/>
      <c r="H719" s="344"/>
      <c r="I719" s="344"/>
      <c r="J719" s="344"/>
      <c r="K719" s="344"/>
      <c r="L719" s="344"/>
      <c r="M719" s="344"/>
      <c r="N719" s="344"/>
      <c r="O719" s="344"/>
      <c r="P719" s="344"/>
      <c r="Q719" s="344"/>
      <c r="R719" s="344"/>
      <c r="S719" s="344"/>
      <c r="T719" s="344"/>
      <c r="U719" s="344"/>
      <c r="V719" s="344"/>
      <c r="W719" s="344"/>
      <c r="X719" s="344"/>
      <c r="Y719" s="344"/>
      <c r="Z719" s="344"/>
    </row>
    <row r="720">
      <c r="A720" s="129"/>
      <c r="B720" s="9"/>
      <c r="C720" s="9"/>
      <c r="D720" s="461" t="s">
        <v>1127</v>
      </c>
      <c r="E720" s="461" t="s">
        <v>1076</v>
      </c>
      <c r="F720" s="462" t="s">
        <v>1074</v>
      </c>
      <c r="G720" s="344"/>
      <c r="H720" s="344"/>
      <c r="I720" s="344"/>
      <c r="J720" s="344"/>
      <c r="K720" s="344"/>
      <c r="L720" s="344"/>
      <c r="M720" s="344"/>
      <c r="N720" s="344"/>
      <c r="O720" s="344"/>
      <c r="P720" s="344"/>
      <c r="Q720" s="344"/>
      <c r="R720" s="344"/>
      <c r="S720" s="344"/>
      <c r="T720" s="344"/>
      <c r="U720" s="344"/>
      <c r="V720" s="344"/>
      <c r="W720" s="344"/>
      <c r="X720" s="344"/>
      <c r="Y720" s="344"/>
      <c r="Z720" s="344"/>
    </row>
    <row r="721">
      <c r="A721" s="129"/>
      <c r="B721" s="9"/>
      <c r="C721" s="11"/>
      <c r="D721" s="461" t="s">
        <v>1128</v>
      </c>
      <c r="E721" s="461" t="s">
        <v>1129</v>
      </c>
      <c r="F721" s="462" t="s">
        <v>1074</v>
      </c>
      <c r="G721" s="344"/>
      <c r="H721" s="344"/>
      <c r="I721" s="344"/>
      <c r="J721" s="344"/>
      <c r="K721" s="344"/>
      <c r="L721" s="344"/>
      <c r="M721" s="344"/>
      <c r="N721" s="344"/>
      <c r="O721" s="344"/>
      <c r="P721" s="344"/>
      <c r="Q721" s="344"/>
      <c r="R721" s="344"/>
      <c r="S721" s="344"/>
      <c r="T721" s="344"/>
      <c r="U721" s="344"/>
      <c r="V721" s="344"/>
      <c r="W721" s="344"/>
      <c r="X721" s="344"/>
      <c r="Y721" s="344"/>
      <c r="Z721" s="344"/>
    </row>
    <row r="722">
      <c r="A722" s="129"/>
      <c r="B722" s="9"/>
      <c r="C722" s="460">
        <v>2022.0</v>
      </c>
      <c r="D722" s="461" t="s">
        <v>1130</v>
      </c>
      <c r="E722" s="461" t="s">
        <v>1131</v>
      </c>
      <c r="F722" s="463" t="s">
        <v>1085</v>
      </c>
      <c r="G722" s="344"/>
      <c r="H722" s="344"/>
      <c r="I722" s="344"/>
      <c r="J722" s="344"/>
      <c r="K722" s="344"/>
      <c r="L722" s="344"/>
      <c r="M722" s="344"/>
      <c r="N722" s="344"/>
      <c r="O722" s="344"/>
      <c r="P722" s="344"/>
      <c r="Q722" s="344"/>
      <c r="R722" s="344"/>
      <c r="S722" s="344"/>
      <c r="T722" s="344"/>
      <c r="U722" s="344"/>
      <c r="V722" s="344"/>
      <c r="W722" s="344"/>
      <c r="X722" s="344"/>
      <c r="Y722" s="344"/>
      <c r="Z722" s="344"/>
    </row>
    <row r="723">
      <c r="A723" s="129"/>
      <c r="B723" s="9"/>
      <c r="C723" s="9"/>
      <c r="D723" s="461" t="s">
        <v>1132</v>
      </c>
      <c r="E723" s="461" t="s">
        <v>1133</v>
      </c>
      <c r="F723" s="462" t="s">
        <v>1085</v>
      </c>
      <c r="G723" s="344"/>
      <c r="H723" s="344"/>
      <c r="I723" s="344"/>
      <c r="J723" s="344"/>
      <c r="K723" s="344"/>
      <c r="L723" s="344"/>
      <c r="M723" s="344"/>
      <c r="N723" s="344"/>
      <c r="O723" s="344"/>
      <c r="P723" s="344"/>
      <c r="Q723" s="344"/>
      <c r="R723" s="344"/>
      <c r="S723" s="344"/>
      <c r="T723" s="344"/>
      <c r="U723" s="344"/>
      <c r="V723" s="344"/>
      <c r="W723" s="344"/>
      <c r="X723" s="344"/>
      <c r="Y723" s="344"/>
      <c r="Z723" s="344"/>
    </row>
    <row r="724">
      <c r="A724" s="129"/>
      <c r="B724" s="9"/>
      <c r="C724" s="9"/>
      <c r="D724" s="461" t="s">
        <v>1134</v>
      </c>
      <c r="E724" s="461" t="s">
        <v>1135</v>
      </c>
      <c r="F724" s="462" t="s">
        <v>1085</v>
      </c>
      <c r="G724" s="344"/>
      <c r="H724" s="344"/>
      <c r="I724" s="344"/>
      <c r="J724" s="344"/>
      <c r="K724" s="344"/>
      <c r="L724" s="344"/>
      <c r="M724" s="344"/>
      <c r="N724" s="344"/>
      <c r="O724" s="344"/>
      <c r="P724" s="344"/>
      <c r="Q724" s="344"/>
      <c r="R724" s="344"/>
      <c r="S724" s="344"/>
      <c r="T724" s="344"/>
      <c r="U724" s="344"/>
      <c r="V724" s="344"/>
      <c r="W724" s="344"/>
      <c r="X724" s="344"/>
      <c r="Y724" s="344"/>
      <c r="Z724" s="344"/>
    </row>
    <row r="725">
      <c r="A725" s="56"/>
      <c r="B725" s="11"/>
      <c r="C725" s="11"/>
      <c r="D725" s="461" t="s">
        <v>1136</v>
      </c>
      <c r="E725" s="461" t="s">
        <v>1137</v>
      </c>
      <c r="F725" s="462" t="s">
        <v>1085</v>
      </c>
      <c r="G725" s="344"/>
      <c r="H725" s="344"/>
      <c r="I725" s="344"/>
      <c r="J725" s="344"/>
      <c r="K725" s="344"/>
      <c r="L725" s="344"/>
      <c r="M725" s="344"/>
      <c r="N725" s="344"/>
      <c r="O725" s="344"/>
      <c r="P725" s="344"/>
      <c r="Q725" s="344"/>
      <c r="R725" s="344"/>
      <c r="S725" s="344"/>
      <c r="T725" s="344"/>
      <c r="U725" s="344"/>
      <c r="V725" s="344"/>
      <c r="W725" s="344"/>
      <c r="X725" s="344"/>
      <c r="Y725" s="344"/>
      <c r="Z725" s="344"/>
    </row>
    <row r="726">
      <c r="A726" s="458">
        <v>6.0</v>
      </c>
      <c r="B726" s="459" t="s">
        <v>737</v>
      </c>
      <c r="C726" s="460">
        <v>2023.0</v>
      </c>
      <c r="D726" s="461" t="s">
        <v>1138</v>
      </c>
      <c r="E726" s="461" t="s">
        <v>1139</v>
      </c>
      <c r="F726" s="466" t="s">
        <v>1074</v>
      </c>
      <c r="G726" s="344"/>
      <c r="H726" s="344"/>
      <c r="I726" s="344"/>
      <c r="J726" s="344"/>
      <c r="K726" s="344"/>
      <c r="L726" s="344"/>
      <c r="M726" s="344"/>
      <c r="N726" s="344"/>
      <c r="O726" s="344"/>
      <c r="P726" s="344"/>
      <c r="Q726" s="344"/>
      <c r="R726" s="344"/>
      <c r="S726" s="344"/>
      <c r="T726" s="344"/>
      <c r="U726" s="344"/>
      <c r="V726" s="344"/>
      <c r="W726" s="344"/>
      <c r="X726" s="344"/>
      <c r="Y726" s="344"/>
      <c r="Z726" s="344"/>
    </row>
    <row r="727">
      <c r="A727" s="129"/>
      <c r="B727" s="9"/>
      <c r="C727" s="9"/>
      <c r="D727" s="461" t="s">
        <v>1140</v>
      </c>
      <c r="E727" s="461" t="s">
        <v>1141</v>
      </c>
      <c r="F727" s="466" t="s">
        <v>1074</v>
      </c>
      <c r="G727" s="344"/>
      <c r="H727" s="344"/>
      <c r="I727" s="344"/>
      <c r="J727" s="344"/>
      <c r="K727" s="344"/>
      <c r="L727" s="344"/>
      <c r="M727" s="344"/>
      <c r="N727" s="344"/>
      <c r="O727" s="344"/>
      <c r="P727" s="344"/>
      <c r="Q727" s="344"/>
      <c r="R727" s="344"/>
      <c r="S727" s="344"/>
      <c r="T727" s="344"/>
      <c r="U727" s="344"/>
      <c r="V727" s="344"/>
      <c r="W727" s="344"/>
      <c r="X727" s="344"/>
      <c r="Y727" s="344"/>
      <c r="Z727" s="344"/>
    </row>
    <row r="728">
      <c r="A728" s="129"/>
      <c r="B728" s="9"/>
      <c r="C728" s="9"/>
      <c r="D728" s="461" t="s">
        <v>1119</v>
      </c>
      <c r="E728" s="461" t="s">
        <v>1120</v>
      </c>
      <c r="F728" s="466" t="s">
        <v>1074</v>
      </c>
      <c r="G728" s="344"/>
      <c r="H728" s="344"/>
      <c r="I728" s="344"/>
      <c r="J728" s="344"/>
      <c r="K728" s="344"/>
      <c r="L728" s="344"/>
      <c r="M728" s="344"/>
      <c r="N728" s="344"/>
      <c r="O728" s="344"/>
      <c r="P728" s="344"/>
      <c r="Q728" s="344"/>
      <c r="R728" s="344"/>
      <c r="S728" s="344"/>
      <c r="T728" s="344"/>
      <c r="U728" s="344"/>
      <c r="V728" s="344"/>
      <c r="W728" s="344"/>
      <c r="X728" s="344"/>
      <c r="Y728" s="344"/>
      <c r="Z728" s="344"/>
    </row>
    <row r="729">
      <c r="A729" s="129"/>
      <c r="B729" s="9"/>
      <c r="C729" s="9"/>
      <c r="D729" s="461" t="s">
        <v>1142</v>
      </c>
      <c r="E729" s="461" t="s">
        <v>1143</v>
      </c>
      <c r="F729" s="466" t="s">
        <v>1074</v>
      </c>
      <c r="G729" s="344"/>
      <c r="H729" s="344"/>
      <c r="I729" s="344"/>
      <c r="J729" s="344"/>
      <c r="K729" s="344"/>
      <c r="L729" s="344"/>
      <c r="M729" s="344"/>
      <c r="N729" s="344"/>
      <c r="O729" s="344"/>
      <c r="P729" s="344"/>
      <c r="Q729" s="344"/>
      <c r="R729" s="344"/>
      <c r="S729" s="344"/>
      <c r="T729" s="344"/>
      <c r="U729" s="344"/>
      <c r="V729" s="344"/>
      <c r="W729" s="344"/>
      <c r="X729" s="344"/>
      <c r="Y729" s="344"/>
      <c r="Z729" s="344"/>
    </row>
    <row r="730">
      <c r="A730" s="129"/>
      <c r="B730" s="9"/>
      <c r="C730" s="9"/>
      <c r="D730" s="461" t="s">
        <v>1144</v>
      </c>
      <c r="E730" s="461" t="s">
        <v>1145</v>
      </c>
      <c r="F730" s="466" t="s">
        <v>1074</v>
      </c>
      <c r="G730" s="344"/>
      <c r="H730" s="344"/>
      <c r="I730" s="344"/>
      <c r="J730" s="344"/>
      <c r="K730" s="344"/>
      <c r="L730" s="344"/>
      <c r="M730" s="344"/>
      <c r="N730" s="344"/>
      <c r="O730" s="344"/>
      <c r="P730" s="344"/>
      <c r="Q730" s="344"/>
      <c r="R730" s="344"/>
      <c r="S730" s="344"/>
      <c r="T730" s="344"/>
      <c r="U730" s="344"/>
      <c r="V730" s="344"/>
      <c r="W730" s="344"/>
      <c r="X730" s="344"/>
      <c r="Y730" s="344"/>
      <c r="Z730" s="344"/>
    </row>
    <row r="731">
      <c r="A731" s="129"/>
      <c r="B731" s="9"/>
      <c r="C731" s="11"/>
      <c r="D731" s="461" t="s">
        <v>1146</v>
      </c>
      <c r="E731" s="461" t="s">
        <v>1147</v>
      </c>
      <c r="F731" s="466" t="s">
        <v>1074</v>
      </c>
      <c r="G731" s="344"/>
      <c r="H731" s="344"/>
      <c r="I731" s="344"/>
      <c r="J731" s="344"/>
      <c r="K731" s="344"/>
      <c r="L731" s="344"/>
      <c r="M731" s="344"/>
      <c r="N731" s="344"/>
      <c r="O731" s="344"/>
      <c r="P731" s="344"/>
      <c r="Q731" s="344"/>
      <c r="R731" s="344"/>
      <c r="S731" s="344"/>
      <c r="T731" s="344"/>
      <c r="U731" s="344"/>
      <c r="V731" s="344"/>
      <c r="W731" s="344"/>
      <c r="X731" s="344"/>
      <c r="Y731" s="344"/>
      <c r="Z731" s="344"/>
    </row>
    <row r="732">
      <c r="A732" s="129"/>
      <c r="B732" s="9"/>
      <c r="C732" s="460">
        <v>2022.0</v>
      </c>
      <c r="D732" s="461" t="s">
        <v>1148</v>
      </c>
      <c r="E732" s="461" t="s">
        <v>1149</v>
      </c>
      <c r="F732" s="466" t="s">
        <v>1074</v>
      </c>
      <c r="G732" s="344"/>
      <c r="H732" s="344"/>
      <c r="I732" s="344"/>
      <c r="J732" s="344"/>
      <c r="K732" s="344"/>
      <c r="L732" s="344"/>
      <c r="M732" s="344"/>
      <c r="N732" s="344"/>
      <c r="O732" s="344"/>
      <c r="P732" s="344"/>
      <c r="Q732" s="344"/>
      <c r="R732" s="344"/>
      <c r="S732" s="344"/>
      <c r="T732" s="344"/>
      <c r="U732" s="344"/>
      <c r="V732" s="344"/>
      <c r="W732" s="344"/>
      <c r="X732" s="344"/>
      <c r="Y732" s="344"/>
      <c r="Z732" s="344"/>
    </row>
    <row r="733">
      <c r="A733" s="56"/>
      <c r="B733" s="11"/>
      <c r="C733" s="11"/>
      <c r="D733" s="461" t="s">
        <v>1150</v>
      </c>
      <c r="E733" s="461" t="s">
        <v>1151</v>
      </c>
      <c r="F733" s="466" t="s">
        <v>1074</v>
      </c>
      <c r="G733" s="344"/>
      <c r="H733" s="344"/>
      <c r="I733" s="344"/>
      <c r="J733" s="344"/>
      <c r="K733" s="344"/>
      <c r="L733" s="344"/>
      <c r="M733" s="344"/>
      <c r="N733" s="344"/>
      <c r="O733" s="344"/>
      <c r="P733" s="344"/>
      <c r="Q733" s="344"/>
      <c r="R733" s="344"/>
      <c r="S733" s="344"/>
      <c r="T733" s="344"/>
      <c r="U733" s="344"/>
      <c r="V733" s="344"/>
      <c r="W733" s="344"/>
      <c r="X733" s="344"/>
      <c r="Y733" s="344"/>
      <c r="Z733" s="344"/>
    </row>
    <row r="734">
      <c r="A734" s="458">
        <v>7.0</v>
      </c>
      <c r="B734" s="459" t="s">
        <v>738</v>
      </c>
      <c r="C734" s="461"/>
      <c r="D734" s="461" t="s">
        <v>1152</v>
      </c>
      <c r="E734" s="461" t="s">
        <v>1153</v>
      </c>
      <c r="F734" s="466" t="s">
        <v>1074</v>
      </c>
      <c r="G734" s="344"/>
      <c r="H734" s="344"/>
      <c r="I734" s="344"/>
      <c r="J734" s="344"/>
      <c r="K734" s="344"/>
      <c r="L734" s="344"/>
      <c r="M734" s="344"/>
      <c r="N734" s="344"/>
      <c r="O734" s="344"/>
      <c r="P734" s="344"/>
      <c r="Q734" s="344"/>
      <c r="R734" s="344"/>
      <c r="S734" s="344"/>
      <c r="T734" s="344"/>
      <c r="U734" s="344"/>
      <c r="V734" s="344"/>
      <c r="W734" s="344"/>
      <c r="X734" s="344"/>
      <c r="Y734" s="344"/>
      <c r="Z734" s="344"/>
    </row>
    <row r="735">
      <c r="A735" s="129"/>
      <c r="B735" s="9"/>
      <c r="C735" s="460">
        <v>2023.0</v>
      </c>
      <c r="D735" s="461" t="s">
        <v>1154</v>
      </c>
      <c r="E735" s="461" t="s">
        <v>1155</v>
      </c>
      <c r="F735" s="466" t="s">
        <v>1074</v>
      </c>
      <c r="G735" s="344"/>
      <c r="H735" s="344"/>
      <c r="I735" s="344"/>
      <c r="J735" s="344"/>
      <c r="K735" s="344"/>
      <c r="L735" s="344"/>
      <c r="M735" s="344"/>
      <c r="N735" s="344"/>
      <c r="O735" s="344"/>
      <c r="P735" s="344"/>
      <c r="Q735" s="344"/>
      <c r="R735" s="344"/>
      <c r="S735" s="344"/>
      <c r="T735" s="344"/>
      <c r="U735" s="344"/>
      <c r="V735" s="344"/>
      <c r="W735" s="344"/>
      <c r="X735" s="344"/>
      <c r="Y735" s="344"/>
      <c r="Z735" s="344"/>
    </row>
    <row r="736">
      <c r="A736" s="129"/>
      <c r="B736" s="9"/>
      <c r="C736" s="9"/>
      <c r="D736" s="461" t="s">
        <v>1156</v>
      </c>
      <c r="E736" s="461" t="s">
        <v>1157</v>
      </c>
      <c r="F736" s="466" t="s">
        <v>1074</v>
      </c>
      <c r="G736" s="344"/>
      <c r="H736" s="344"/>
      <c r="I736" s="344"/>
      <c r="J736" s="344"/>
      <c r="K736" s="344"/>
      <c r="L736" s="344"/>
      <c r="M736" s="344"/>
      <c r="N736" s="344"/>
      <c r="O736" s="344"/>
      <c r="P736" s="344"/>
      <c r="Q736" s="344"/>
      <c r="R736" s="344"/>
      <c r="S736" s="344"/>
      <c r="T736" s="344"/>
      <c r="U736" s="344"/>
      <c r="V736" s="344"/>
      <c r="W736" s="344"/>
      <c r="X736" s="344"/>
      <c r="Y736" s="344"/>
      <c r="Z736" s="344"/>
    </row>
    <row r="737">
      <c r="A737" s="129"/>
      <c r="B737" s="9"/>
      <c r="C737" s="9"/>
      <c r="D737" s="461" t="s">
        <v>1158</v>
      </c>
      <c r="E737" s="461" t="s">
        <v>1159</v>
      </c>
      <c r="F737" s="466" t="s">
        <v>1074</v>
      </c>
      <c r="G737" s="344"/>
      <c r="H737" s="344"/>
      <c r="I737" s="344"/>
      <c r="J737" s="344"/>
      <c r="K737" s="344"/>
      <c r="L737" s="344"/>
      <c r="M737" s="344"/>
      <c r="N737" s="344"/>
      <c r="O737" s="344"/>
      <c r="P737" s="344"/>
      <c r="Q737" s="344"/>
      <c r="R737" s="344"/>
      <c r="S737" s="344"/>
      <c r="T737" s="344"/>
      <c r="U737" s="344"/>
      <c r="V737" s="344"/>
      <c r="W737" s="344"/>
      <c r="X737" s="344"/>
      <c r="Y737" s="344"/>
      <c r="Z737" s="344"/>
    </row>
    <row r="738">
      <c r="A738" s="129"/>
      <c r="B738" s="9"/>
      <c r="C738" s="9"/>
      <c r="D738" s="461" t="s">
        <v>1160</v>
      </c>
      <c r="E738" s="461" t="s">
        <v>1161</v>
      </c>
      <c r="F738" s="466" t="s">
        <v>1074</v>
      </c>
      <c r="G738" s="344"/>
      <c r="H738" s="344"/>
      <c r="I738" s="344"/>
      <c r="J738" s="344"/>
      <c r="K738" s="344"/>
      <c r="L738" s="344"/>
      <c r="M738" s="344"/>
      <c r="N738" s="344"/>
      <c r="O738" s="344"/>
      <c r="P738" s="344"/>
      <c r="Q738" s="344"/>
      <c r="R738" s="344"/>
      <c r="S738" s="344"/>
      <c r="T738" s="344"/>
      <c r="U738" s="344"/>
      <c r="V738" s="344"/>
      <c r="W738" s="344"/>
      <c r="X738" s="344"/>
      <c r="Y738" s="344"/>
      <c r="Z738" s="344"/>
    </row>
    <row r="739">
      <c r="A739" s="129"/>
      <c r="B739" s="9"/>
      <c r="C739" s="9"/>
      <c r="D739" s="461" t="s">
        <v>1162</v>
      </c>
      <c r="E739" s="461" t="s">
        <v>1163</v>
      </c>
      <c r="F739" s="466" t="s">
        <v>1074</v>
      </c>
      <c r="G739" s="344"/>
      <c r="H739" s="344"/>
      <c r="I739" s="344"/>
      <c r="J739" s="344"/>
      <c r="K739" s="344"/>
      <c r="L739" s="344"/>
      <c r="M739" s="344"/>
      <c r="N739" s="344"/>
      <c r="O739" s="344"/>
      <c r="P739" s="344"/>
      <c r="Q739" s="344"/>
      <c r="R739" s="344"/>
      <c r="S739" s="344"/>
      <c r="T739" s="344"/>
      <c r="U739" s="344"/>
      <c r="V739" s="344"/>
      <c r="W739" s="344"/>
      <c r="X739" s="344"/>
      <c r="Y739" s="344"/>
      <c r="Z739" s="344"/>
    </row>
    <row r="740">
      <c r="A740" s="129"/>
      <c r="B740" s="9"/>
      <c r="C740" s="11"/>
      <c r="D740" s="461" t="s">
        <v>1164</v>
      </c>
      <c r="E740" s="461" t="s">
        <v>1165</v>
      </c>
      <c r="F740" s="466" t="s">
        <v>1074</v>
      </c>
      <c r="G740" s="344"/>
      <c r="H740" s="344"/>
      <c r="I740" s="344"/>
      <c r="J740" s="344"/>
      <c r="K740" s="344"/>
      <c r="L740" s="344"/>
      <c r="M740" s="344"/>
      <c r="N740" s="344"/>
      <c r="O740" s="344"/>
      <c r="P740" s="344"/>
      <c r="Q740" s="344"/>
      <c r="R740" s="344"/>
      <c r="S740" s="344"/>
      <c r="T740" s="344"/>
      <c r="U740" s="344"/>
      <c r="V740" s="344"/>
      <c r="W740" s="344"/>
      <c r="X740" s="344"/>
      <c r="Y740" s="344"/>
      <c r="Z740" s="344"/>
    </row>
    <row r="741">
      <c r="A741" s="56"/>
      <c r="B741" s="11"/>
      <c r="C741" s="465">
        <v>2022.0</v>
      </c>
      <c r="D741" s="461" t="s">
        <v>1166</v>
      </c>
      <c r="E741" s="461" t="s">
        <v>1167</v>
      </c>
      <c r="F741" s="466" t="s">
        <v>1074</v>
      </c>
      <c r="G741" s="344"/>
      <c r="H741" s="344"/>
      <c r="I741" s="344"/>
      <c r="J741" s="344"/>
      <c r="K741" s="344"/>
      <c r="L741" s="344"/>
      <c r="M741" s="344"/>
      <c r="N741" s="344"/>
      <c r="O741" s="344"/>
      <c r="P741" s="344"/>
      <c r="Q741" s="344"/>
      <c r="R741" s="344"/>
      <c r="S741" s="344"/>
      <c r="T741" s="344"/>
      <c r="U741" s="344"/>
      <c r="V741" s="344"/>
      <c r="W741" s="344"/>
      <c r="X741" s="344"/>
      <c r="Y741" s="344"/>
      <c r="Z741" s="344"/>
    </row>
    <row r="742">
      <c r="A742" s="458">
        <v>8.0</v>
      </c>
      <c r="B742" s="459" t="s">
        <v>739</v>
      </c>
      <c r="C742" s="460">
        <v>2024.0</v>
      </c>
      <c r="D742" s="461" t="s">
        <v>1168</v>
      </c>
      <c r="E742" s="461" t="s">
        <v>1169</v>
      </c>
      <c r="F742" s="466" t="s">
        <v>1074</v>
      </c>
      <c r="G742" s="344"/>
      <c r="H742" s="344"/>
      <c r="I742" s="344"/>
      <c r="J742" s="344"/>
      <c r="K742" s="344"/>
      <c r="L742" s="344"/>
      <c r="M742" s="344"/>
      <c r="N742" s="344"/>
      <c r="O742" s="344"/>
      <c r="P742" s="344"/>
      <c r="Q742" s="344"/>
      <c r="R742" s="344"/>
      <c r="S742" s="344"/>
      <c r="T742" s="344"/>
      <c r="U742" s="344"/>
      <c r="V742" s="344"/>
      <c r="W742" s="344"/>
      <c r="X742" s="344"/>
      <c r="Y742" s="344"/>
      <c r="Z742" s="344"/>
    </row>
    <row r="743">
      <c r="A743" s="129"/>
      <c r="B743" s="9"/>
      <c r="C743" s="11"/>
      <c r="D743" s="461" t="s">
        <v>1170</v>
      </c>
      <c r="E743" s="461" t="s">
        <v>1171</v>
      </c>
      <c r="F743" s="466" t="s">
        <v>1074</v>
      </c>
      <c r="G743" s="344"/>
      <c r="H743" s="344"/>
      <c r="I743" s="344"/>
      <c r="J743" s="344"/>
      <c r="K743" s="344"/>
      <c r="L743" s="344"/>
      <c r="M743" s="344"/>
      <c r="N743" s="344"/>
      <c r="O743" s="344"/>
      <c r="P743" s="344"/>
      <c r="Q743" s="344"/>
      <c r="R743" s="344"/>
      <c r="S743" s="344"/>
      <c r="T743" s="344"/>
      <c r="U743" s="344"/>
      <c r="V743" s="344"/>
      <c r="W743" s="344"/>
      <c r="X743" s="344"/>
      <c r="Y743" s="344"/>
      <c r="Z743" s="344"/>
    </row>
    <row r="744">
      <c r="A744" s="56"/>
      <c r="B744" s="11"/>
      <c r="C744" s="465">
        <v>2023.0</v>
      </c>
      <c r="D744" s="461" t="s">
        <v>1172</v>
      </c>
      <c r="E744" s="461"/>
      <c r="F744" s="466" t="s">
        <v>1074</v>
      </c>
      <c r="G744" s="344"/>
      <c r="H744" s="344"/>
      <c r="I744" s="344"/>
      <c r="J744" s="344"/>
      <c r="K744" s="344"/>
      <c r="L744" s="344"/>
      <c r="M744" s="344"/>
      <c r="N744" s="344"/>
      <c r="O744" s="344"/>
      <c r="P744" s="344"/>
      <c r="Q744" s="344"/>
      <c r="R744" s="344"/>
      <c r="S744" s="344"/>
      <c r="T744" s="344"/>
      <c r="U744" s="344"/>
      <c r="V744" s="344"/>
      <c r="W744" s="344"/>
      <c r="X744" s="344"/>
      <c r="Y744" s="344"/>
      <c r="Z744" s="344"/>
    </row>
    <row r="745">
      <c r="A745" s="458">
        <v>9.0</v>
      </c>
      <c r="B745" s="459" t="s">
        <v>647</v>
      </c>
      <c r="C745" s="465">
        <v>2023.0</v>
      </c>
      <c r="D745" s="461" t="s">
        <v>1173</v>
      </c>
      <c r="E745" s="461" t="s">
        <v>1174</v>
      </c>
      <c r="F745" s="466" t="s">
        <v>1074</v>
      </c>
      <c r="G745" s="344"/>
      <c r="H745" s="344"/>
      <c r="I745" s="344"/>
      <c r="J745" s="344"/>
      <c r="K745" s="344"/>
      <c r="L745" s="344"/>
      <c r="M745" s="344"/>
      <c r="N745" s="344"/>
      <c r="O745" s="344"/>
      <c r="P745" s="344"/>
      <c r="Q745" s="344"/>
      <c r="R745" s="344"/>
      <c r="S745" s="344"/>
      <c r="T745" s="344"/>
      <c r="U745" s="344"/>
      <c r="V745" s="344"/>
      <c r="W745" s="344"/>
      <c r="X745" s="344"/>
      <c r="Y745" s="344"/>
      <c r="Z745" s="344"/>
    </row>
    <row r="746">
      <c r="A746" s="56"/>
      <c r="B746" s="11"/>
      <c r="C746" s="465">
        <v>2022.0</v>
      </c>
      <c r="D746" s="461" t="s">
        <v>1175</v>
      </c>
      <c r="E746" s="461" t="s">
        <v>1176</v>
      </c>
      <c r="F746" s="466" t="s">
        <v>1074</v>
      </c>
      <c r="G746" s="344"/>
      <c r="H746" s="344"/>
      <c r="I746" s="344"/>
      <c r="J746" s="344"/>
      <c r="K746" s="344"/>
      <c r="L746" s="344"/>
      <c r="M746" s="344"/>
      <c r="N746" s="344"/>
      <c r="O746" s="344"/>
      <c r="P746" s="344"/>
      <c r="Q746" s="344"/>
      <c r="R746" s="344"/>
      <c r="S746" s="344"/>
      <c r="T746" s="344"/>
      <c r="U746" s="344"/>
      <c r="V746" s="344"/>
      <c r="W746" s="344"/>
      <c r="X746" s="344"/>
      <c r="Y746" s="344"/>
      <c r="Z746" s="344"/>
    </row>
    <row r="747">
      <c r="A747" s="458">
        <v>10.0</v>
      </c>
      <c r="B747" s="467" t="s">
        <v>740</v>
      </c>
      <c r="C747" s="460">
        <v>2023.0</v>
      </c>
      <c r="D747" s="468" t="s">
        <v>1177</v>
      </c>
      <c r="E747" s="469" t="s">
        <v>1178</v>
      </c>
      <c r="F747" s="466" t="s">
        <v>1074</v>
      </c>
      <c r="G747" s="344"/>
      <c r="H747" s="344"/>
      <c r="I747" s="344"/>
      <c r="J747" s="344"/>
      <c r="K747" s="344"/>
      <c r="L747" s="344"/>
      <c r="M747" s="344"/>
      <c r="N747" s="344"/>
      <c r="O747" s="344"/>
      <c r="P747" s="344"/>
      <c r="Q747" s="344"/>
      <c r="R747" s="344"/>
      <c r="S747" s="344"/>
      <c r="T747" s="344"/>
      <c r="U747" s="344"/>
      <c r="V747" s="344"/>
      <c r="W747" s="344"/>
      <c r="X747" s="344"/>
      <c r="Y747" s="344"/>
      <c r="Z747" s="344"/>
    </row>
    <row r="748">
      <c r="A748" s="56"/>
      <c r="B748" s="11"/>
      <c r="C748" s="11"/>
      <c r="D748" s="470" t="s">
        <v>1179</v>
      </c>
      <c r="E748" s="471" t="s">
        <v>1180</v>
      </c>
      <c r="F748" s="466" t="s">
        <v>1074</v>
      </c>
      <c r="G748" s="344"/>
      <c r="H748" s="344"/>
      <c r="I748" s="344"/>
      <c r="J748" s="344"/>
      <c r="K748" s="344"/>
      <c r="L748" s="344"/>
      <c r="M748" s="344"/>
      <c r="N748" s="344"/>
      <c r="O748" s="344"/>
      <c r="P748" s="344"/>
      <c r="Q748" s="344"/>
      <c r="R748" s="344"/>
      <c r="S748" s="344"/>
      <c r="T748" s="344"/>
      <c r="U748" s="344"/>
      <c r="V748" s="344"/>
      <c r="W748" s="344"/>
      <c r="X748" s="344"/>
      <c r="Y748" s="344"/>
      <c r="Z748" s="344"/>
    </row>
    <row r="749">
      <c r="A749" s="458">
        <v>11.0</v>
      </c>
      <c r="B749" s="459" t="s">
        <v>548</v>
      </c>
      <c r="C749" s="460">
        <v>2023.0</v>
      </c>
      <c r="D749" s="472" t="s">
        <v>1154</v>
      </c>
      <c r="E749" s="461" t="s">
        <v>1155</v>
      </c>
      <c r="F749" s="466" t="s">
        <v>1074</v>
      </c>
      <c r="G749" s="344"/>
      <c r="H749" s="344"/>
      <c r="I749" s="344"/>
      <c r="J749" s="344"/>
      <c r="K749" s="344"/>
      <c r="L749" s="344"/>
      <c r="M749" s="344"/>
      <c r="N749" s="344"/>
      <c r="O749" s="344"/>
      <c r="P749" s="344"/>
      <c r="Q749" s="344"/>
      <c r="R749" s="344"/>
      <c r="S749" s="344"/>
      <c r="T749" s="344"/>
      <c r="U749" s="344"/>
      <c r="V749" s="344"/>
      <c r="W749" s="344"/>
      <c r="X749" s="344"/>
      <c r="Y749" s="344"/>
      <c r="Z749" s="344"/>
    </row>
    <row r="750">
      <c r="A750" s="129"/>
      <c r="B750" s="9"/>
      <c r="C750" s="9"/>
      <c r="D750" s="472" t="s">
        <v>1181</v>
      </c>
      <c r="E750" s="461" t="s">
        <v>1182</v>
      </c>
      <c r="F750" s="466" t="s">
        <v>1074</v>
      </c>
      <c r="G750" s="344"/>
      <c r="H750" s="344"/>
      <c r="I750" s="344"/>
      <c r="J750" s="344"/>
      <c r="K750" s="344"/>
      <c r="L750" s="344"/>
      <c r="M750" s="344"/>
      <c r="N750" s="344"/>
      <c r="O750" s="344"/>
      <c r="P750" s="344"/>
      <c r="Q750" s="344"/>
      <c r="R750" s="344"/>
      <c r="S750" s="344"/>
      <c r="T750" s="344"/>
      <c r="U750" s="344"/>
      <c r="V750" s="344"/>
      <c r="W750" s="344"/>
      <c r="X750" s="344"/>
      <c r="Y750" s="344"/>
      <c r="Z750" s="344"/>
    </row>
    <row r="751">
      <c r="A751" s="129"/>
      <c r="B751" s="9"/>
      <c r="C751" s="11"/>
      <c r="D751" s="461" t="s">
        <v>1183</v>
      </c>
      <c r="E751" s="461" t="s">
        <v>1184</v>
      </c>
      <c r="F751" s="466" t="s">
        <v>1074</v>
      </c>
      <c r="G751" s="344"/>
      <c r="H751" s="344"/>
      <c r="I751" s="344"/>
      <c r="J751" s="344"/>
      <c r="K751" s="344"/>
      <c r="L751" s="344"/>
      <c r="M751" s="344"/>
      <c r="N751" s="344"/>
      <c r="O751" s="344"/>
      <c r="P751" s="344"/>
      <c r="Q751" s="344"/>
      <c r="R751" s="344"/>
      <c r="S751" s="344"/>
      <c r="T751" s="344"/>
      <c r="U751" s="344"/>
      <c r="V751" s="344"/>
      <c r="W751" s="344"/>
      <c r="X751" s="344"/>
      <c r="Y751" s="344"/>
      <c r="Z751" s="344"/>
    </row>
    <row r="752">
      <c r="A752" s="129"/>
      <c r="B752" s="9"/>
      <c r="C752" s="460">
        <v>2022.0</v>
      </c>
      <c r="D752" s="461" t="s">
        <v>1185</v>
      </c>
      <c r="E752" s="461" t="s">
        <v>1186</v>
      </c>
      <c r="F752" s="466" t="s">
        <v>1074</v>
      </c>
      <c r="G752" s="344"/>
      <c r="H752" s="344"/>
      <c r="I752" s="344"/>
      <c r="J752" s="344"/>
      <c r="K752" s="344"/>
      <c r="L752" s="344"/>
      <c r="M752" s="344"/>
      <c r="N752" s="344"/>
      <c r="O752" s="344"/>
      <c r="P752" s="344"/>
      <c r="Q752" s="344"/>
      <c r="R752" s="344"/>
      <c r="S752" s="344"/>
      <c r="T752" s="344"/>
      <c r="U752" s="344"/>
      <c r="V752" s="344"/>
      <c r="W752" s="344"/>
      <c r="X752" s="344"/>
      <c r="Y752" s="344"/>
      <c r="Z752" s="344"/>
    </row>
    <row r="753">
      <c r="A753" s="129"/>
      <c r="B753" s="9"/>
      <c r="C753" s="9"/>
      <c r="D753" s="461" t="s">
        <v>1187</v>
      </c>
      <c r="E753" s="461" t="s">
        <v>1188</v>
      </c>
      <c r="F753" s="466" t="s">
        <v>1074</v>
      </c>
      <c r="G753" s="344"/>
      <c r="H753" s="344"/>
      <c r="I753" s="344"/>
      <c r="J753" s="344"/>
      <c r="K753" s="344"/>
      <c r="L753" s="344"/>
      <c r="M753" s="344"/>
      <c r="N753" s="344"/>
      <c r="O753" s="344"/>
      <c r="P753" s="344"/>
      <c r="Q753" s="344"/>
      <c r="R753" s="344"/>
      <c r="S753" s="344"/>
      <c r="T753" s="344"/>
      <c r="U753" s="344"/>
      <c r="V753" s="344"/>
      <c r="W753" s="344"/>
      <c r="X753" s="344"/>
      <c r="Y753" s="344"/>
      <c r="Z753" s="344"/>
    </row>
    <row r="754">
      <c r="A754" s="129"/>
      <c r="B754" s="9"/>
      <c r="C754" s="9"/>
      <c r="D754" s="461" t="s">
        <v>1189</v>
      </c>
      <c r="E754" s="461" t="s">
        <v>1190</v>
      </c>
      <c r="F754" s="466" t="s">
        <v>1074</v>
      </c>
      <c r="G754" s="344"/>
      <c r="H754" s="344"/>
      <c r="I754" s="344"/>
      <c r="J754" s="344"/>
      <c r="K754" s="344"/>
      <c r="L754" s="344"/>
      <c r="M754" s="344"/>
      <c r="N754" s="344"/>
      <c r="O754" s="344"/>
      <c r="P754" s="344"/>
      <c r="Q754" s="344"/>
      <c r="R754" s="344"/>
      <c r="S754" s="344"/>
      <c r="T754" s="344"/>
      <c r="U754" s="344"/>
      <c r="V754" s="344"/>
      <c r="W754" s="344"/>
      <c r="X754" s="344"/>
      <c r="Y754" s="344"/>
      <c r="Z754" s="344"/>
    </row>
    <row r="755">
      <c r="A755" s="129"/>
      <c r="B755" s="9"/>
      <c r="C755" s="9"/>
      <c r="D755" s="461" t="s">
        <v>1191</v>
      </c>
      <c r="E755" s="461" t="s">
        <v>1192</v>
      </c>
      <c r="F755" s="466" t="s">
        <v>1074</v>
      </c>
      <c r="G755" s="344"/>
      <c r="H755" s="344"/>
      <c r="I755" s="344"/>
      <c r="J755" s="344"/>
      <c r="K755" s="344"/>
      <c r="L755" s="344"/>
      <c r="M755" s="344"/>
      <c r="N755" s="344"/>
      <c r="O755" s="344"/>
      <c r="P755" s="344"/>
      <c r="Q755" s="344"/>
      <c r="R755" s="344"/>
      <c r="S755" s="344"/>
      <c r="T755" s="344"/>
      <c r="U755" s="344"/>
      <c r="V755" s="344"/>
      <c r="W755" s="344"/>
      <c r="X755" s="344"/>
      <c r="Y755" s="344"/>
      <c r="Z755" s="344"/>
    </row>
    <row r="756">
      <c r="A756" s="56"/>
      <c r="B756" s="9"/>
      <c r="C756" s="11"/>
      <c r="D756" s="461" t="s">
        <v>1193</v>
      </c>
      <c r="E756" s="461" t="s">
        <v>1194</v>
      </c>
      <c r="F756" s="466" t="s">
        <v>1074</v>
      </c>
      <c r="G756" s="344"/>
      <c r="H756" s="344"/>
      <c r="I756" s="344"/>
      <c r="J756" s="344"/>
      <c r="K756" s="344"/>
      <c r="L756" s="344"/>
      <c r="M756" s="344"/>
      <c r="N756" s="344"/>
      <c r="O756" s="344"/>
      <c r="P756" s="344"/>
      <c r="Q756" s="344"/>
      <c r="R756" s="344"/>
      <c r="S756" s="344"/>
      <c r="T756" s="344"/>
      <c r="U756" s="344"/>
      <c r="V756" s="344"/>
      <c r="W756" s="344"/>
      <c r="X756" s="344"/>
      <c r="Y756" s="344"/>
      <c r="Z756" s="344"/>
    </row>
    <row r="757">
      <c r="A757" s="458">
        <v>12.0</v>
      </c>
      <c r="B757" s="459" t="s">
        <v>549</v>
      </c>
      <c r="C757" s="460">
        <v>2024.0</v>
      </c>
      <c r="D757" s="472" t="s">
        <v>1195</v>
      </c>
      <c r="E757" s="461" t="s">
        <v>1196</v>
      </c>
      <c r="F757" s="466" t="s">
        <v>1074</v>
      </c>
      <c r="G757" s="344"/>
      <c r="H757" s="344"/>
      <c r="I757" s="344"/>
      <c r="J757" s="344"/>
      <c r="K757" s="344"/>
      <c r="L757" s="344"/>
      <c r="M757" s="344"/>
      <c r="N757" s="344"/>
      <c r="O757" s="344"/>
      <c r="P757" s="344"/>
      <c r="Q757" s="344"/>
      <c r="R757" s="344"/>
      <c r="S757" s="344"/>
      <c r="T757" s="344"/>
      <c r="U757" s="344"/>
      <c r="V757" s="344"/>
      <c r="W757" s="344"/>
      <c r="X757" s="344"/>
      <c r="Y757" s="344"/>
      <c r="Z757" s="344"/>
    </row>
    <row r="758">
      <c r="A758" s="129"/>
      <c r="B758" s="9"/>
      <c r="C758" s="11"/>
      <c r="D758" s="472" t="s">
        <v>1197</v>
      </c>
      <c r="E758" s="461" t="s">
        <v>1198</v>
      </c>
      <c r="F758" s="466" t="s">
        <v>1074</v>
      </c>
      <c r="G758" s="344"/>
      <c r="H758" s="344"/>
      <c r="I758" s="344"/>
      <c r="J758" s="344"/>
      <c r="K758" s="344"/>
      <c r="L758" s="344"/>
      <c r="M758" s="344"/>
      <c r="N758" s="344"/>
      <c r="O758" s="344"/>
      <c r="P758" s="344"/>
      <c r="Q758" s="344"/>
      <c r="R758" s="344"/>
      <c r="S758" s="344"/>
      <c r="T758" s="344"/>
      <c r="U758" s="344"/>
      <c r="V758" s="344"/>
      <c r="W758" s="344"/>
      <c r="X758" s="344"/>
      <c r="Y758" s="344"/>
      <c r="Z758" s="344"/>
    </row>
    <row r="759">
      <c r="A759" s="129"/>
      <c r="B759" s="9"/>
      <c r="C759" s="465">
        <v>2023.0</v>
      </c>
      <c r="D759" s="472" t="s">
        <v>1144</v>
      </c>
      <c r="E759" s="461" t="s">
        <v>1145</v>
      </c>
      <c r="F759" s="466" t="s">
        <v>1074</v>
      </c>
      <c r="G759" s="344"/>
      <c r="H759" s="344"/>
      <c r="I759" s="344"/>
      <c r="J759" s="344"/>
      <c r="K759" s="344"/>
      <c r="L759" s="344"/>
      <c r="M759" s="344"/>
      <c r="N759" s="344"/>
      <c r="O759" s="344"/>
      <c r="P759" s="344"/>
      <c r="Q759" s="344"/>
      <c r="R759" s="344"/>
      <c r="S759" s="344"/>
      <c r="T759" s="344"/>
      <c r="U759" s="344"/>
      <c r="V759" s="344"/>
      <c r="W759" s="344"/>
      <c r="X759" s="344"/>
      <c r="Y759" s="344"/>
      <c r="Z759" s="344"/>
    </row>
    <row r="760">
      <c r="A760" s="129"/>
      <c r="B760" s="9"/>
      <c r="C760" s="460">
        <v>2022.0</v>
      </c>
      <c r="D760" s="472" t="s">
        <v>1199</v>
      </c>
      <c r="E760" s="461" t="s">
        <v>1200</v>
      </c>
      <c r="F760" s="466" t="s">
        <v>1074</v>
      </c>
      <c r="G760" s="344"/>
      <c r="H760" s="344"/>
      <c r="I760" s="344"/>
      <c r="J760" s="344"/>
      <c r="K760" s="344"/>
      <c r="L760" s="344"/>
      <c r="M760" s="344"/>
      <c r="N760" s="344"/>
      <c r="O760" s="344"/>
      <c r="P760" s="344"/>
      <c r="Q760" s="344"/>
      <c r="R760" s="344"/>
      <c r="S760" s="344"/>
      <c r="T760" s="344"/>
      <c r="U760" s="344"/>
      <c r="V760" s="344"/>
      <c r="W760" s="344"/>
      <c r="X760" s="344"/>
      <c r="Y760" s="344"/>
      <c r="Z760" s="344"/>
    </row>
    <row r="761">
      <c r="A761" s="56"/>
      <c r="B761" s="11"/>
      <c r="C761" s="11"/>
      <c r="D761" s="472" t="s">
        <v>1201</v>
      </c>
      <c r="E761" s="461" t="s">
        <v>1202</v>
      </c>
      <c r="F761" s="466" t="s">
        <v>1074</v>
      </c>
      <c r="G761" s="344"/>
      <c r="H761" s="344"/>
      <c r="I761" s="344"/>
      <c r="J761" s="344"/>
      <c r="K761" s="344"/>
      <c r="L761" s="344"/>
      <c r="M761" s="344"/>
      <c r="N761" s="344"/>
      <c r="O761" s="344"/>
      <c r="P761" s="344"/>
      <c r="Q761" s="344"/>
      <c r="R761" s="344"/>
      <c r="S761" s="344"/>
      <c r="T761" s="344"/>
      <c r="U761" s="344"/>
      <c r="V761" s="344"/>
      <c r="W761" s="344"/>
      <c r="X761" s="344"/>
      <c r="Y761" s="344"/>
      <c r="Z761" s="344"/>
    </row>
    <row r="762">
      <c r="A762" s="458">
        <v>13.0</v>
      </c>
      <c r="B762" s="459" t="s">
        <v>743</v>
      </c>
      <c r="C762" s="465">
        <v>2024.0</v>
      </c>
      <c r="D762" s="472" t="s">
        <v>1203</v>
      </c>
      <c r="E762" s="461" t="s">
        <v>1204</v>
      </c>
      <c r="F762" s="466" t="s">
        <v>1074</v>
      </c>
      <c r="G762" s="344"/>
      <c r="H762" s="344"/>
      <c r="I762" s="344"/>
      <c r="J762" s="344"/>
      <c r="K762" s="344"/>
      <c r="L762" s="344"/>
      <c r="M762" s="344"/>
      <c r="N762" s="344"/>
      <c r="O762" s="344"/>
      <c r="P762" s="344"/>
      <c r="Q762" s="344"/>
      <c r="R762" s="344"/>
      <c r="S762" s="344"/>
      <c r="T762" s="344"/>
      <c r="U762" s="344"/>
      <c r="V762" s="344"/>
      <c r="W762" s="344"/>
      <c r="X762" s="344"/>
      <c r="Y762" s="344"/>
      <c r="Z762" s="344"/>
    </row>
    <row r="763">
      <c r="A763" s="129"/>
      <c r="B763" s="9"/>
      <c r="C763" s="460">
        <v>2023.0</v>
      </c>
      <c r="D763" s="461" t="s">
        <v>1205</v>
      </c>
      <c r="E763" s="461" t="s">
        <v>1206</v>
      </c>
      <c r="F763" s="462" t="s">
        <v>1074</v>
      </c>
      <c r="G763" s="344"/>
      <c r="H763" s="344"/>
      <c r="I763" s="344"/>
      <c r="J763" s="344"/>
      <c r="K763" s="344"/>
      <c r="L763" s="344"/>
      <c r="M763" s="344"/>
      <c r="N763" s="344"/>
      <c r="O763" s="344"/>
      <c r="P763" s="344"/>
      <c r="Q763" s="344"/>
      <c r="R763" s="344"/>
      <c r="S763" s="344"/>
      <c r="T763" s="344"/>
      <c r="U763" s="344"/>
      <c r="V763" s="344"/>
      <c r="W763" s="344"/>
      <c r="X763" s="344"/>
      <c r="Y763" s="344"/>
      <c r="Z763" s="344"/>
    </row>
    <row r="764">
      <c r="A764" s="129"/>
      <c r="B764" s="9"/>
      <c r="C764" s="9"/>
      <c r="D764" s="461" t="s">
        <v>1142</v>
      </c>
      <c r="E764" s="461" t="s">
        <v>1207</v>
      </c>
      <c r="F764" s="462" t="s">
        <v>1074</v>
      </c>
      <c r="G764" s="344"/>
      <c r="H764" s="344"/>
      <c r="I764" s="344"/>
      <c r="J764" s="344"/>
      <c r="K764" s="344"/>
      <c r="L764" s="344"/>
      <c r="M764" s="344"/>
      <c r="N764" s="344"/>
      <c r="O764" s="344"/>
      <c r="P764" s="344"/>
      <c r="Q764" s="344"/>
      <c r="R764" s="344"/>
      <c r="S764" s="344"/>
      <c r="T764" s="344"/>
      <c r="U764" s="344"/>
      <c r="V764" s="344"/>
      <c r="W764" s="344"/>
      <c r="X764" s="344"/>
      <c r="Y764" s="344"/>
      <c r="Z764" s="344"/>
    </row>
    <row r="765">
      <c r="A765" s="129"/>
      <c r="B765" s="9"/>
      <c r="C765" s="9"/>
      <c r="D765" s="461" t="s">
        <v>1140</v>
      </c>
      <c r="E765" s="461" t="s">
        <v>1141</v>
      </c>
      <c r="F765" s="462" t="s">
        <v>1074</v>
      </c>
      <c r="G765" s="344"/>
      <c r="H765" s="344"/>
      <c r="I765" s="344"/>
      <c r="J765" s="344"/>
      <c r="K765" s="344"/>
      <c r="L765" s="344"/>
      <c r="M765" s="344"/>
      <c r="N765" s="344"/>
      <c r="O765" s="344"/>
      <c r="P765" s="344"/>
      <c r="Q765" s="344"/>
      <c r="R765" s="344"/>
      <c r="S765" s="344"/>
      <c r="T765" s="344"/>
      <c r="U765" s="344"/>
      <c r="V765" s="344"/>
      <c r="W765" s="344"/>
      <c r="X765" s="344"/>
      <c r="Y765" s="344"/>
      <c r="Z765" s="344"/>
    </row>
    <row r="766">
      <c r="A766" s="129"/>
      <c r="B766" s="9"/>
      <c r="C766" s="9"/>
      <c r="D766" s="461" t="s">
        <v>1208</v>
      </c>
      <c r="E766" s="461" t="s">
        <v>1209</v>
      </c>
      <c r="F766" s="462" t="s">
        <v>1074</v>
      </c>
      <c r="G766" s="344"/>
      <c r="H766" s="344"/>
      <c r="I766" s="344"/>
      <c r="J766" s="344"/>
      <c r="K766" s="344"/>
      <c r="L766" s="344"/>
      <c r="M766" s="344"/>
      <c r="N766" s="344"/>
      <c r="O766" s="344"/>
      <c r="P766" s="344"/>
      <c r="Q766" s="344"/>
      <c r="R766" s="344"/>
      <c r="S766" s="344"/>
      <c r="T766" s="344"/>
      <c r="U766" s="344"/>
      <c r="V766" s="344"/>
      <c r="W766" s="344"/>
      <c r="X766" s="344"/>
      <c r="Y766" s="344"/>
      <c r="Z766" s="344"/>
    </row>
    <row r="767">
      <c r="A767" s="129"/>
      <c r="B767" s="9"/>
      <c r="C767" s="9"/>
      <c r="D767" s="461" t="s">
        <v>1210</v>
      </c>
      <c r="E767" s="461" t="s">
        <v>1211</v>
      </c>
      <c r="F767" s="462" t="s">
        <v>1074</v>
      </c>
      <c r="G767" s="344"/>
      <c r="H767" s="344"/>
      <c r="I767" s="344"/>
      <c r="J767" s="344"/>
      <c r="K767" s="344"/>
      <c r="L767" s="344"/>
      <c r="M767" s="344"/>
      <c r="N767" s="344"/>
      <c r="O767" s="344"/>
      <c r="P767" s="344"/>
      <c r="Q767" s="344"/>
      <c r="R767" s="344"/>
      <c r="S767" s="344"/>
      <c r="T767" s="344"/>
      <c r="U767" s="344"/>
      <c r="V767" s="344"/>
      <c r="W767" s="344"/>
      <c r="X767" s="344"/>
      <c r="Y767" s="344"/>
      <c r="Z767" s="344"/>
    </row>
    <row r="768">
      <c r="A768" s="129"/>
      <c r="B768" s="9"/>
      <c r="C768" s="11"/>
      <c r="D768" s="461" t="s">
        <v>1212</v>
      </c>
      <c r="E768" s="461" t="s">
        <v>1213</v>
      </c>
      <c r="F768" s="462" t="s">
        <v>1074</v>
      </c>
      <c r="G768" s="344"/>
      <c r="H768" s="344"/>
      <c r="I768" s="344"/>
      <c r="J768" s="344"/>
      <c r="K768" s="344"/>
      <c r="L768" s="344"/>
      <c r="M768" s="344"/>
      <c r="N768" s="344"/>
      <c r="O768" s="344"/>
      <c r="P768" s="344"/>
      <c r="Q768" s="344"/>
      <c r="R768" s="344"/>
      <c r="S768" s="344"/>
      <c r="T768" s="344"/>
      <c r="U768" s="344"/>
      <c r="V768" s="344"/>
      <c r="W768" s="344"/>
      <c r="X768" s="344"/>
      <c r="Y768" s="344"/>
      <c r="Z768" s="344"/>
    </row>
    <row r="769">
      <c r="A769" s="129"/>
      <c r="B769" s="9"/>
      <c r="C769" s="460">
        <v>2022.0</v>
      </c>
      <c r="D769" s="461" t="s">
        <v>1214</v>
      </c>
      <c r="E769" s="461" t="s">
        <v>1215</v>
      </c>
      <c r="F769" s="463" t="s">
        <v>1085</v>
      </c>
      <c r="G769" s="344"/>
      <c r="H769" s="344"/>
      <c r="I769" s="344"/>
      <c r="J769" s="344"/>
      <c r="K769" s="344"/>
      <c r="L769" s="344"/>
      <c r="M769" s="344"/>
      <c r="N769" s="344"/>
      <c r="O769" s="344"/>
      <c r="P769" s="344"/>
      <c r="Q769" s="344"/>
      <c r="R769" s="344"/>
      <c r="S769" s="344"/>
      <c r="T769" s="344"/>
      <c r="U769" s="344"/>
      <c r="V769" s="344"/>
      <c r="W769" s="344"/>
      <c r="X769" s="344"/>
      <c r="Y769" s="344"/>
      <c r="Z769" s="344"/>
    </row>
    <row r="770">
      <c r="A770" s="129"/>
      <c r="B770" s="9"/>
      <c r="C770" s="9"/>
      <c r="D770" s="461" t="s">
        <v>1187</v>
      </c>
      <c r="E770" s="461" t="s">
        <v>1216</v>
      </c>
      <c r="F770" s="463" t="s">
        <v>1085</v>
      </c>
      <c r="G770" s="344"/>
      <c r="H770" s="344"/>
      <c r="I770" s="344"/>
      <c r="J770" s="344"/>
      <c r="K770" s="344"/>
      <c r="L770" s="344"/>
      <c r="M770" s="344"/>
      <c r="N770" s="344"/>
      <c r="O770" s="344"/>
      <c r="P770" s="344"/>
      <c r="Q770" s="344"/>
      <c r="R770" s="344"/>
      <c r="S770" s="344"/>
      <c r="T770" s="344"/>
      <c r="U770" s="344"/>
      <c r="V770" s="344"/>
      <c r="W770" s="344"/>
      <c r="X770" s="344"/>
      <c r="Y770" s="344"/>
      <c r="Z770" s="344"/>
    </row>
    <row r="771">
      <c r="A771" s="56"/>
      <c r="B771" s="11"/>
      <c r="C771" s="11"/>
      <c r="D771" s="461" t="s">
        <v>1148</v>
      </c>
      <c r="E771" s="461" t="s">
        <v>1149</v>
      </c>
      <c r="F771" s="463" t="s">
        <v>1085</v>
      </c>
      <c r="G771" s="344"/>
      <c r="H771" s="344"/>
      <c r="I771" s="344"/>
      <c r="J771" s="344"/>
      <c r="K771" s="344"/>
      <c r="L771" s="344"/>
      <c r="M771" s="344"/>
      <c r="N771" s="344"/>
      <c r="O771" s="344"/>
      <c r="P771" s="344"/>
      <c r="Q771" s="344"/>
      <c r="R771" s="344"/>
      <c r="S771" s="344"/>
      <c r="T771" s="344"/>
      <c r="U771" s="344"/>
      <c r="V771" s="344"/>
      <c r="W771" s="344"/>
      <c r="X771" s="344"/>
      <c r="Y771" s="344"/>
      <c r="Z771" s="344"/>
    </row>
    <row r="772">
      <c r="A772" s="458">
        <v>14.0</v>
      </c>
      <c r="B772" s="459" t="s">
        <v>745</v>
      </c>
      <c r="C772" s="460">
        <v>2024.0</v>
      </c>
      <c r="D772" s="461" t="s">
        <v>1217</v>
      </c>
      <c r="E772" s="461" t="s">
        <v>1218</v>
      </c>
      <c r="F772" s="466" t="s">
        <v>1074</v>
      </c>
      <c r="G772" s="344"/>
      <c r="H772" s="344"/>
      <c r="I772" s="344"/>
      <c r="J772" s="344"/>
      <c r="K772" s="344"/>
      <c r="L772" s="344"/>
      <c r="M772" s="344"/>
      <c r="N772" s="344"/>
      <c r="O772" s="344"/>
      <c r="P772" s="344"/>
      <c r="Q772" s="344"/>
      <c r="R772" s="344"/>
      <c r="S772" s="344"/>
      <c r="T772" s="344"/>
      <c r="U772" s="344"/>
      <c r="V772" s="344"/>
      <c r="W772" s="344"/>
      <c r="X772" s="344"/>
      <c r="Y772" s="344"/>
      <c r="Z772" s="344"/>
    </row>
    <row r="773">
      <c r="A773" s="129"/>
      <c r="B773" s="9"/>
      <c r="C773" s="11"/>
      <c r="D773" s="461" t="s">
        <v>1219</v>
      </c>
      <c r="E773" s="461" t="s">
        <v>1220</v>
      </c>
      <c r="F773" s="466" t="s">
        <v>1074</v>
      </c>
      <c r="G773" s="344"/>
      <c r="H773" s="344"/>
      <c r="I773" s="344"/>
      <c r="J773" s="344"/>
      <c r="K773" s="344"/>
      <c r="L773" s="344"/>
      <c r="M773" s="344"/>
      <c r="N773" s="344"/>
      <c r="O773" s="344"/>
      <c r="P773" s="344"/>
      <c r="Q773" s="344"/>
      <c r="R773" s="344"/>
      <c r="S773" s="344"/>
      <c r="T773" s="344"/>
      <c r="U773" s="344"/>
      <c r="V773" s="344"/>
      <c r="W773" s="344"/>
      <c r="X773" s="344"/>
      <c r="Y773" s="344"/>
      <c r="Z773" s="344"/>
    </row>
    <row r="774">
      <c r="A774" s="129"/>
      <c r="B774" s="9"/>
      <c r="C774" s="460">
        <v>2023.0</v>
      </c>
      <c r="D774" s="461" t="s">
        <v>1183</v>
      </c>
      <c r="E774" s="461" t="s">
        <v>1091</v>
      </c>
      <c r="F774" s="462" t="s">
        <v>1074</v>
      </c>
      <c r="G774" s="344"/>
      <c r="H774" s="344"/>
      <c r="I774" s="344"/>
      <c r="J774" s="344"/>
      <c r="K774" s="344"/>
      <c r="L774" s="344"/>
      <c r="M774" s="344"/>
      <c r="N774" s="344"/>
      <c r="O774" s="344"/>
      <c r="P774" s="344"/>
      <c r="Q774" s="344"/>
      <c r="R774" s="344"/>
      <c r="S774" s="344"/>
      <c r="T774" s="344"/>
      <c r="U774" s="344"/>
      <c r="V774" s="344"/>
      <c r="W774" s="344"/>
      <c r="X774" s="344"/>
      <c r="Y774" s="344"/>
      <c r="Z774" s="344"/>
    </row>
    <row r="775">
      <c r="A775" s="129"/>
      <c r="B775" s="9"/>
      <c r="C775" s="9"/>
      <c r="D775" s="461" t="s">
        <v>1221</v>
      </c>
      <c r="E775" s="461" t="s">
        <v>1076</v>
      </c>
      <c r="F775" s="462" t="s">
        <v>1074</v>
      </c>
      <c r="G775" s="344"/>
      <c r="H775" s="344"/>
      <c r="I775" s="344"/>
      <c r="J775" s="344"/>
      <c r="K775" s="344"/>
      <c r="L775" s="344"/>
      <c r="M775" s="344"/>
      <c r="N775" s="344"/>
      <c r="O775" s="344"/>
      <c r="P775" s="344"/>
      <c r="Q775" s="344"/>
      <c r="R775" s="344"/>
      <c r="S775" s="344"/>
      <c r="T775" s="344"/>
      <c r="U775" s="344"/>
      <c r="V775" s="344"/>
      <c r="W775" s="344"/>
      <c r="X775" s="344"/>
      <c r="Y775" s="344"/>
      <c r="Z775" s="344"/>
    </row>
    <row r="776">
      <c r="A776" s="129"/>
      <c r="B776" s="9"/>
      <c r="C776" s="9"/>
      <c r="D776" s="461" t="s">
        <v>1222</v>
      </c>
      <c r="E776" s="461" t="s">
        <v>1097</v>
      </c>
      <c r="F776" s="462" t="s">
        <v>1074</v>
      </c>
      <c r="G776" s="344"/>
      <c r="H776" s="344"/>
      <c r="I776" s="344"/>
      <c r="J776" s="344"/>
      <c r="K776" s="344"/>
      <c r="L776" s="344"/>
      <c r="M776" s="344"/>
      <c r="N776" s="344"/>
      <c r="O776" s="344"/>
      <c r="P776" s="344"/>
      <c r="Q776" s="344"/>
      <c r="R776" s="344"/>
      <c r="S776" s="344"/>
      <c r="T776" s="344"/>
      <c r="U776" s="344"/>
      <c r="V776" s="344"/>
      <c r="W776" s="344"/>
      <c r="X776" s="344"/>
      <c r="Y776" s="344"/>
      <c r="Z776" s="344"/>
    </row>
    <row r="777">
      <c r="A777" s="129"/>
      <c r="B777" s="9"/>
      <c r="C777" s="9"/>
      <c r="D777" s="461" t="s">
        <v>1181</v>
      </c>
      <c r="E777" s="461" t="s">
        <v>1223</v>
      </c>
      <c r="F777" s="462" t="s">
        <v>1074</v>
      </c>
      <c r="G777" s="344"/>
      <c r="H777" s="344"/>
      <c r="I777" s="344"/>
      <c r="J777" s="344"/>
      <c r="K777" s="344"/>
      <c r="L777" s="344"/>
      <c r="M777" s="344"/>
      <c r="N777" s="344"/>
      <c r="O777" s="344"/>
      <c r="P777" s="344"/>
      <c r="Q777" s="344"/>
      <c r="R777" s="344"/>
      <c r="S777" s="344"/>
      <c r="T777" s="344"/>
      <c r="U777" s="344"/>
      <c r="V777" s="344"/>
      <c r="W777" s="344"/>
      <c r="X777" s="344"/>
      <c r="Y777" s="344"/>
      <c r="Z777" s="344"/>
    </row>
    <row r="778">
      <c r="A778" s="129"/>
      <c r="B778" s="9"/>
      <c r="C778" s="11"/>
      <c r="D778" s="461" t="s">
        <v>1224</v>
      </c>
      <c r="E778" s="461" t="s">
        <v>1095</v>
      </c>
      <c r="F778" s="462" t="s">
        <v>1074</v>
      </c>
      <c r="G778" s="344"/>
      <c r="H778" s="344"/>
      <c r="I778" s="344"/>
      <c r="J778" s="344"/>
      <c r="K778" s="344"/>
      <c r="L778" s="344"/>
      <c r="M778" s="344"/>
      <c r="N778" s="344"/>
      <c r="O778" s="344"/>
      <c r="P778" s="344"/>
      <c r="Q778" s="344"/>
      <c r="R778" s="344"/>
      <c r="S778" s="344"/>
      <c r="T778" s="344"/>
      <c r="U778" s="344"/>
      <c r="V778" s="344"/>
      <c r="W778" s="344"/>
      <c r="X778" s="344"/>
      <c r="Y778" s="344"/>
      <c r="Z778" s="344"/>
    </row>
    <row r="779">
      <c r="A779" s="129"/>
      <c r="B779" s="9"/>
      <c r="C779" s="460">
        <v>2022.0</v>
      </c>
      <c r="D779" s="461" t="s">
        <v>1225</v>
      </c>
      <c r="E779" s="461" t="s">
        <v>1226</v>
      </c>
      <c r="F779" s="463" t="s">
        <v>1085</v>
      </c>
      <c r="G779" s="344"/>
      <c r="H779" s="344"/>
      <c r="I779" s="344"/>
      <c r="J779" s="344"/>
      <c r="K779" s="344"/>
      <c r="L779" s="344"/>
      <c r="M779" s="344"/>
      <c r="N779" s="344"/>
      <c r="O779" s="344"/>
      <c r="P779" s="344"/>
      <c r="Q779" s="344"/>
      <c r="R779" s="344"/>
      <c r="S779" s="344"/>
      <c r="T779" s="344"/>
      <c r="U779" s="344"/>
      <c r="V779" s="344"/>
      <c r="W779" s="344"/>
      <c r="X779" s="344"/>
      <c r="Y779" s="344"/>
      <c r="Z779" s="344"/>
    </row>
    <row r="780">
      <c r="A780" s="129"/>
      <c r="B780" s="9"/>
      <c r="C780" s="9"/>
      <c r="D780" s="461" t="s">
        <v>1185</v>
      </c>
      <c r="E780" s="461" t="s">
        <v>1227</v>
      </c>
      <c r="F780" s="463" t="s">
        <v>1085</v>
      </c>
      <c r="G780" s="344"/>
      <c r="H780" s="344"/>
      <c r="I780" s="344"/>
      <c r="J780" s="344"/>
      <c r="K780" s="344"/>
      <c r="L780" s="344"/>
      <c r="M780" s="344"/>
      <c r="N780" s="344"/>
      <c r="O780" s="344"/>
      <c r="P780" s="344"/>
      <c r="Q780" s="344"/>
      <c r="R780" s="344"/>
      <c r="S780" s="344"/>
      <c r="T780" s="344"/>
      <c r="U780" s="344"/>
      <c r="V780" s="344"/>
      <c r="W780" s="344"/>
      <c r="X780" s="344"/>
      <c r="Y780" s="344"/>
      <c r="Z780" s="344"/>
    </row>
    <row r="781">
      <c r="A781" s="129"/>
      <c r="B781" s="9"/>
      <c r="C781" s="9"/>
      <c r="D781" s="461" t="s">
        <v>1187</v>
      </c>
      <c r="E781" s="461" t="s">
        <v>1216</v>
      </c>
      <c r="F781" s="463" t="s">
        <v>1085</v>
      </c>
      <c r="G781" s="344"/>
      <c r="H781" s="344"/>
      <c r="I781" s="344"/>
      <c r="J781" s="344"/>
      <c r="K781" s="344"/>
      <c r="L781" s="344"/>
      <c r="M781" s="344"/>
      <c r="N781" s="344"/>
      <c r="O781" s="344"/>
      <c r="P781" s="344"/>
      <c r="Q781" s="344"/>
      <c r="R781" s="344"/>
      <c r="S781" s="344"/>
      <c r="T781" s="344"/>
      <c r="U781" s="344"/>
      <c r="V781" s="344"/>
      <c r="W781" s="344"/>
      <c r="X781" s="344"/>
      <c r="Y781" s="344"/>
      <c r="Z781" s="344"/>
    </row>
    <row r="782">
      <c r="A782" s="56"/>
      <c r="B782" s="11"/>
      <c r="C782" s="11"/>
      <c r="D782" s="461" t="s">
        <v>1228</v>
      </c>
      <c r="E782" s="461" t="s">
        <v>1087</v>
      </c>
      <c r="F782" s="463" t="s">
        <v>1085</v>
      </c>
      <c r="G782" s="344"/>
      <c r="H782" s="344"/>
      <c r="I782" s="344"/>
      <c r="J782" s="344"/>
      <c r="K782" s="344"/>
      <c r="L782" s="344"/>
      <c r="M782" s="344"/>
      <c r="N782" s="344"/>
      <c r="O782" s="344"/>
      <c r="P782" s="344"/>
      <c r="Q782" s="344"/>
      <c r="R782" s="344"/>
      <c r="S782" s="344"/>
      <c r="T782" s="344"/>
      <c r="U782" s="344"/>
      <c r="V782" s="344"/>
      <c r="W782" s="344"/>
      <c r="X782" s="344"/>
      <c r="Y782" s="344"/>
      <c r="Z782" s="344"/>
    </row>
    <row r="783">
      <c r="A783" s="458">
        <v>15.0</v>
      </c>
      <c r="B783" s="459" t="s">
        <v>746</v>
      </c>
      <c r="C783" s="460">
        <v>2023.0</v>
      </c>
      <c r="D783" s="461" t="s">
        <v>1229</v>
      </c>
      <c r="E783" s="461" t="s">
        <v>1230</v>
      </c>
      <c r="F783" s="462" t="s">
        <v>1074</v>
      </c>
      <c r="G783" s="344"/>
      <c r="H783" s="344"/>
      <c r="I783" s="344"/>
      <c r="J783" s="344"/>
      <c r="K783" s="344"/>
      <c r="L783" s="344"/>
      <c r="M783" s="344"/>
      <c r="N783" s="344"/>
      <c r="O783" s="344"/>
      <c r="P783" s="344"/>
      <c r="Q783" s="344"/>
      <c r="R783" s="344"/>
      <c r="S783" s="344"/>
      <c r="T783" s="344"/>
      <c r="U783" s="344"/>
      <c r="V783" s="344"/>
      <c r="W783" s="344"/>
      <c r="X783" s="344"/>
      <c r="Y783" s="344"/>
      <c r="Z783" s="344"/>
    </row>
    <row r="784">
      <c r="A784" s="129"/>
      <c r="B784" s="9"/>
      <c r="C784" s="9"/>
      <c r="D784" s="461" t="s">
        <v>1231</v>
      </c>
      <c r="E784" s="461" t="s">
        <v>1232</v>
      </c>
      <c r="F784" s="462" t="s">
        <v>1074</v>
      </c>
      <c r="G784" s="344"/>
      <c r="H784" s="344"/>
      <c r="I784" s="344"/>
      <c r="J784" s="344"/>
      <c r="K784" s="344"/>
      <c r="L784" s="344"/>
      <c r="M784" s="344"/>
      <c r="N784" s="344"/>
      <c r="O784" s="344"/>
      <c r="P784" s="344"/>
      <c r="Q784" s="344"/>
      <c r="R784" s="344"/>
      <c r="S784" s="344"/>
      <c r="T784" s="344"/>
      <c r="U784" s="344"/>
      <c r="V784" s="344"/>
      <c r="W784" s="344"/>
      <c r="X784" s="344"/>
      <c r="Y784" s="344"/>
      <c r="Z784" s="344"/>
    </row>
    <row r="785">
      <c r="A785" s="129"/>
      <c r="B785" s="9"/>
      <c r="C785" s="9"/>
      <c r="D785" s="461" t="s">
        <v>1233</v>
      </c>
      <c r="E785" s="461" t="s">
        <v>1211</v>
      </c>
      <c r="F785" s="462" t="s">
        <v>1074</v>
      </c>
      <c r="G785" s="344"/>
      <c r="H785" s="344"/>
      <c r="I785" s="344"/>
      <c r="J785" s="344"/>
      <c r="K785" s="344"/>
      <c r="L785" s="344"/>
      <c r="M785" s="344"/>
      <c r="N785" s="344"/>
      <c r="O785" s="344"/>
      <c r="P785" s="344"/>
      <c r="Q785" s="344"/>
      <c r="R785" s="344"/>
      <c r="S785" s="344"/>
      <c r="T785" s="344"/>
      <c r="U785" s="344"/>
      <c r="V785" s="344"/>
      <c r="W785" s="344"/>
      <c r="X785" s="344"/>
      <c r="Y785" s="344"/>
      <c r="Z785" s="344"/>
    </row>
    <row r="786">
      <c r="A786" s="129"/>
      <c r="B786" s="9"/>
      <c r="C786" s="9"/>
      <c r="D786" s="461" t="s">
        <v>1234</v>
      </c>
      <c r="E786" s="461" t="s">
        <v>1235</v>
      </c>
      <c r="F786" s="462" t="s">
        <v>1074</v>
      </c>
      <c r="G786" s="344"/>
      <c r="H786" s="344"/>
      <c r="I786" s="344"/>
      <c r="J786" s="344"/>
      <c r="K786" s="344"/>
      <c r="L786" s="344"/>
      <c r="M786" s="344"/>
      <c r="N786" s="344"/>
      <c r="O786" s="344"/>
      <c r="P786" s="344"/>
      <c r="Q786" s="344"/>
      <c r="R786" s="344"/>
      <c r="S786" s="344"/>
      <c r="T786" s="344"/>
      <c r="U786" s="344"/>
      <c r="V786" s="344"/>
      <c r="W786" s="344"/>
      <c r="X786" s="344"/>
      <c r="Y786" s="344"/>
      <c r="Z786" s="344"/>
    </row>
    <row r="787">
      <c r="A787" s="129"/>
      <c r="B787" s="9"/>
      <c r="C787" s="9"/>
      <c r="D787" s="461" t="s">
        <v>1236</v>
      </c>
      <c r="E787" s="461" t="s">
        <v>1237</v>
      </c>
      <c r="F787" s="462" t="s">
        <v>1074</v>
      </c>
      <c r="G787" s="344"/>
      <c r="H787" s="344"/>
      <c r="I787" s="344"/>
      <c r="J787" s="344"/>
      <c r="K787" s="344"/>
      <c r="L787" s="344"/>
      <c r="M787" s="344"/>
      <c r="N787" s="344"/>
      <c r="O787" s="344"/>
      <c r="P787" s="344"/>
      <c r="Q787" s="344"/>
      <c r="R787" s="344"/>
      <c r="S787" s="344"/>
      <c r="T787" s="344"/>
      <c r="U787" s="344"/>
      <c r="V787" s="344"/>
      <c r="W787" s="344"/>
      <c r="X787" s="344"/>
      <c r="Y787" s="344"/>
      <c r="Z787" s="344"/>
    </row>
    <row r="788">
      <c r="A788" s="129"/>
      <c r="B788" s="9"/>
      <c r="C788" s="11"/>
      <c r="D788" s="461" t="s">
        <v>1238</v>
      </c>
      <c r="E788" s="461" t="s">
        <v>1235</v>
      </c>
      <c r="F788" s="462" t="s">
        <v>1074</v>
      </c>
      <c r="G788" s="344"/>
      <c r="H788" s="344"/>
      <c r="I788" s="344"/>
      <c r="J788" s="344"/>
      <c r="K788" s="344"/>
      <c r="L788" s="344"/>
      <c r="M788" s="344"/>
      <c r="N788" s="344"/>
      <c r="O788" s="344"/>
      <c r="P788" s="344"/>
      <c r="Q788" s="344"/>
      <c r="R788" s="344"/>
      <c r="S788" s="344"/>
      <c r="T788" s="344"/>
      <c r="U788" s="344"/>
      <c r="V788" s="344"/>
      <c r="W788" s="344"/>
      <c r="X788" s="344"/>
      <c r="Y788" s="344"/>
      <c r="Z788" s="344"/>
    </row>
    <row r="789">
      <c r="A789" s="129"/>
      <c r="B789" s="9"/>
      <c r="C789" s="460">
        <v>2022.0</v>
      </c>
      <c r="D789" s="461" t="s">
        <v>1239</v>
      </c>
      <c r="E789" s="461" t="s">
        <v>1240</v>
      </c>
      <c r="F789" s="463" t="s">
        <v>1085</v>
      </c>
      <c r="G789" s="344"/>
      <c r="H789" s="344"/>
      <c r="I789" s="344"/>
      <c r="J789" s="344"/>
      <c r="K789" s="344"/>
      <c r="L789" s="344"/>
      <c r="M789" s="344"/>
      <c r="N789" s="344"/>
      <c r="O789" s="344"/>
      <c r="P789" s="344"/>
      <c r="Q789" s="344"/>
      <c r="R789" s="344"/>
      <c r="S789" s="344"/>
      <c r="T789" s="344"/>
      <c r="U789" s="344"/>
      <c r="V789" s="344"/>
      <c r="W789" s="344"/>
      <c r="X789" s="344"/>
      <c r="Y789" s="344"/>
      <c r="Z789" s="344"/>
    </row>
    <row r="790">
      <c r="A790" s="129"/>
      <c r="B790" s="9"/>
      <c r="C790" s="9"/>
      <c r="D790" s="461" t="s">
        <v>1130</v>
      </c>
      <c r="E790" s="461" t="s">
        <v>1131</v>
      </c>
      <c r="F790" s="463" t="s">
        <v>1085</v>
      </c>
      <c r="G790" s="344"/>
      <c r="H790" s="344"/>
      <c r="I790" s="344"/>
      <c r="J790" s="344"/>
      <c r="K790" s="344"/>
      <c r="L790" s="344"/>
      <c r="M790" s="344"/>
      <c r="N790" s="344"/>
      <c r="O790" s="344"/>
      <c r="P790" s="344"/>
      <c r="Q790" s="344"/>
      <c r="R790" s="344"/>
      <c r="S790" s="344"/>
      <c r="T790" s="344"/>
      <c r="U790" s="344"/>
      <c r="V790" s="344"/>
      <c r="W790" s="344"/>
      <c r="X790" s="344"/>
      <c r="Y790" s="344"/>
      <c r="Z790" s="344"/>
    </row>
    <row r="791">
      <c r="A791" s="129"/>
      <c r="B791" s="9"/>
      <c r="C791" s="9"/>
      <c r="D791" s="461" t="s">
        <v>1241</v>
      </c>
      <c r="E791" s="461" t="s">
        <v>1242</v>
      </c>
      <c r="F791" s="463" t="s">
        <v>1085</v>
      </c>
      <c r="G791" s="344"/>
      <c r="H791" s="344"/>
      <c r="I791" s="344"/>
      <c r="J791" s="344"/>
      <c r="K791" s="344"/>
      <c r="L791" s="344"/>
      <c r="M791" s="344"/>
      <c r="N791" s="344"/>
      <c r="O791" s="344"/>
      <c r="P791" s="344"/>
      <c r="Q791" s="344"/>
      <c r="R791" s="344"/>
      <c r="S791" s="344"/>
      <c r="T791" s="344"/>
      <c r="U791" s="344"/>
      <c r="V791" s="344"/>
      <c r="W791" s="344"/>
      <c r="X791" s="344"/>
      <c r="Y791" s="344"/>
      <c r="Z791" s="344"/>
    </row>
    <row r="792">
      <c r="A792" s="129"/>
      <c r="B792" s="9"/>
      <c r="C792" s="9"/>
      <c r="D792" s="461" t="s">
        <v>1243</v>
      </c>
      <c r="E792" s="461" t="s">
        <v>1244</v>
      </c>
      <c r="F792" s="463" t="s">
        <v>1085</v>
      </c>
      <c r="G792" s="344"/>
      <c r="H792" s="344"/>
      <c r="I792" s="344"/>
      <c r="J792" s="344"/>
      <c r="K792" s="344"/>
      <c r="L792" s="344"/>
      <c r="M792" s="344"/>
      <c r="N792" s="344"/>
      <c r="O792" s="344"/>
      <c r="P792" s="344"/>
      <c r="Q792" s="344"/>
      <c r="R792" s="344"/>
      <c r="S792" s="344"/>
      <c r="T792" s="344"/>
      <c r="U792" s="344"/>
      <c r="V792" s="344"/>
      <c r="W792" s="344"/>
      <c r="X792" s="344"/>
      <c r="Y792" s="344"/>
      <c r="Z792" s="344"/>
    </row>
    <row r="793">
      <c r="A793" s="56"/>
      <c r="B793" s="11"/>
      <c r="C793" s="11"/>
      <c r="D793" s="461" t="s">
        <v>1245</v>
      </c>
      <c r="E793" s="461" t="s">
        <v>1227</v>
      </c>
      <c r="F793" s="463" t="s">
        <v>1085</v>
      </c>
      <c r="G793" s="344"/>
      <c r="H793" s="344"/>
      <c r="I793" s="344"/>
      <c r="J793" s="344"/>
      <c r="K793" s="344"/>
      <c r="L793" s="344"/>
      <c r="M793" s="344"/>
      <c r="N793" s="344"/>
      <c r="O793" s="344"/>
      <c r="P793" s="344"/>
      <c r="Q793" s="344"/>
      <c r="R793" s="344"/>
      <c r="S793" s="344"/>
      <c r="T793" s="344"/>
      <c r="U793" s="344"/>
      <c r="V793" s="344"/>
      <c r="W793" s="344"/>
      <c r="X793" s="344"/>
      <c r="Y793" s="344"/>
      <c r="Z793" s="344"/>
    </row>
    <row r="794">
      <c r="A794" s="458">
        <v>16.0</v>
      </c>
      <c r="B794" s="459" t="s">
        <v>552</v>
      </c>
      <c r="C794" s="460">
        <v>2024.0</v>
      </c>
      <c r="D794" s="461" t="s">
        <v>1246</v>
      </c>
      <c r="E794" s="461" t="s">
        <v>1247</v>
      </c>
      <c r="F794" s="466" t="s">
        <v>1074</v>
      </c>
      <c r="G794" s="344"/>
      <c r="H794" s="344"/>
      <c r="I794" s="344"/>
      <c r="J794" s="344"/>
      <c r="K794" s="344"/>
      <c r="L794" s="344"/>
      <c r="M794" s="344"/>
      <c r="N794" s="344"/>
      <c r="O794" s="344"/>
      <c r="P794" s="344"/>
      <c r="Q794" s="344"/>
      <c r="R794" s="344"/>
      <c r="S794" s="344"/>
      <c r="T794" s="344"/>
      <c r="U794" s="344"/>
      <c r="V794" s="344"/>
      <c r="W794" s="344"/>
      <c r="X794" s="344"/>
      <c r="Y794" s="344"/>
      <c r="Z794" s="344"/>
    </row>
    <row r="795">
      <c r="A795" s="129"/>
      <c r="B795" s="9"/>
      <c r="C795" s="11"/>
      <c r="D795" s="461" t="s">
        <v>1248</v>
      </c>
      <c r="E795" s="461" t="s">
        <v>1249</v>
      </c>
      <c r="F795" s="466" t="s">
        <v>1074</v>
      </c>
      <c r="G795" s="344"/>
      <c r="H795" s="344"/>
      <c r="I795" s="344"/>
      <c r="J795" s="344"/>
      <c r="K795" s="344"/>
      <c r="L795" s="344"/>
      <c r="M795" s="344"/>
      <c r="N795" s="344"/>
      <c r="O795" s="344"/>
      <c r="P795" s="344"/>
      <c r="Q795" s="344"/>
      <c r="R795" s="344"/>
      <c r="S795" s="344"/>
      <c r="T795" s="344"/>
      <c r="U795" s="344"/>
      <c r="V795" s="344"/>
      <c r="W795" s="344"/>
      <c r="X795" s="344"/>
      <c r="Y795" s="344"/>
      <c r="Z795" s="344"/>
    </row>
    <row r="796">
      <c r="A796" s="129"/>
      <c r="B796" s="9"/>
      <c r="C796" s="460">
        <v>2023.0</v>
      </c>
      <c r="D796" s="461" t="s">
        <v>1250</v>
      </c>
      <c r="E796" s="461" t="s">
        <v>1251</v>
      </c>
      <c r="F796" s="466" t="s">
        <v>1074</v>
      </c>
      <c r="G796" s="344"/>
      <c r="H796" s="344"/>
      <c r="I796" s="344"/>
      <c r="J796" s="344"/>
      <c r="K796" s="344"/>
      <c r="L796" s="344"/>
      <c r="M796" s="344"/>
      <c r="N796" s="344"/>
      <c r="O796" s="344"/>
      <c r="P796" s="344"/>
      <c r="Q796" s="344"/>
      <c r="R796" s="344"/>
      <c r="S796" s="344"/>
      <c r="T796" s="344"/>
      <c r="U796" s="344"/>
      <c r="V796" s="344"/>
      <c r="W796" s="344"/>
      <c r="X796" s="344"/>
      <c r="Y796" s="344"/>
      <c r="Z796" s="344"/>
    </row>
    <row r="797">
      <c r="A797" s="129"/>
      <c r="B797" s="9"/>
      <c r="C797" s="9"/>
      <c r="D797" s="461" t="s">
        <v>1252</v>
      </c>
      <c r="E797" s="461" t="s">
        <v>1253</v>
      </c>
      <c r="F797" s="466" t="s">
        <v>1074</v>
      </c>
      <c r="G797" s="344"/>
      <c r="H797" s="344"/>
      <c r="I797" s="344"/>
      <c r="J797" s="344"/>
      <c r="K797" s="344"/>
      <c r="L797" s="344"/>
      <c r="M797" s="344"/>
      <c r="N797" s="344"/>
      <c r="O797" s="344"/>
      <c r="P797" s="344"/>
      <c r="Q797" s="344"/>
      <c r="R797" s="344"/>
      <c r="S797" s="344"/>
      <c r="T797" s="344"/>
      <c r="U797" s="344"/>
      <c r="V797" s="344"/>
      <c r="W797" s="344"/>
      <c r="X797" s="344"/>
      <c r="Y797" s="344"/>
      <c r="Z797" s="344"/>
    </row>
    <row r="798">
      <c r="A798" s="129"/>
      <c r="B798" s="9"/>
      <c r="C798" s="9"/>
      <c r="D798" s="461" t="s">
        <v>1119</v>
      </c>
      <c r="E798" s="461" t="s">
        <v>1254</v>
      </c>
      <c r="F798" s="466" t="s">
        <v>1074</v>
      </c>
      <c r="G798" s="344"/>
      <c r="H798" s="344"/>
      <c r="I798" s="344"/>
      <c r="J798" s="344"/>
      <c r="K798" s="344"/>
      <c r="L798" s="344"/>
      <c r="M798" s="344"/>
      <c r="N798" s="344"/>
      <c r="O798" s="344"/>
      <c r="P798" s="344"/>
      <c r="Q798" s="344"/>
      <c r="R798" s="344"/>
      <c r="S798" s="344"/>
      <c r="T798" s="344"/>
      <c r="U798" s="344"/>
      <c r="V798" s="344"/>
      <c r="W798" s="344"/>
      <c r="X798" s="344"/>
      <c r="Y798" s="344"/>
      <c r="Z798" s="344"/>
    </row>
    <row r="799">
      <c r="A799" s="129"/>
      <c r="B799" s="9"/>
      <c r="C799" s="9"/>
      <c r="D799" s="461" t="s">
        <v>1128</v>
      </c>
      <c r="E799" s="461" t="s">
        <v>1255</v>
      </c>
      <c r="F799" s="466" t="s">
        <v>1074</v>
      </c>
      <c r="G799" s="344"/>
      <c r="H799" s="344"/>
      <c r="I799" s="344"/>
      <c r="J799" s="344"/>
      <c r="K799" s="344"/>
      <c r="L799" s="344"/>
      <c r="M799" s="344"/>
      <c r="N799" s="344"/>
      <c r="O799" s="344"/>
      <c r="P799" s="344"/>
      <c r="Q799" s="344"/>
      <c r="R799" s="344"/>
      <c r="S799" s="344"/>
      <c r="T799" s="344"/>
      <c r="U799" s="344"/>
      <c r="V799" s="344"/>
      <c r="W799" s="344"/>
      <c r="X799" s="344"/>
      <c r="Y799" s="344"/>
      <c r="Z799" s="344"/>
    </row>
    <row r="800">
      <c r="A800" s="129"/>
      <c r="B800" s="9"/>
      <c r="C800" s="11"/>
      <c r="D800" s="461" t="s">
        <v>1256</v>
      </c>
      <c r="E800" s="461" t="s">
        <v>1147</v>
      </c>
      <c r="F800" s="466" t="s">
        <v>1074</v>
      </c>
      <c r="G800" s="344"/>
      <c r="H800" s="344"/>
      <c r="I800" s="344"/>
      <c r="J800" s="344"/>
      <c r="K800" s="344"/>
      <c r="L800" s="344"/>
      <c r="M800" s="344"/>
      <c r="N800" s="344"/>
      <c r="O800" s="344"/>
      <c r="P800" s="344"/>
      <c r="Q800" s="344"/>
      <c r="R800" s="344"/>
      <c r="S800" s="344"/>
      <c r="T800" s="344"/>
      <c r="U800" s="344"/>
      <c r="V800" s="344"/>
      <c r="W800" s="344"/>
      <c r="X800" s="344"/>
      <c r="Y800" s="344"/>
      <c r="Z800" s="344"/>
    </row>
    <row r="801">
      <c r="A801" s="129"/>
      <c r="B801" s="9"/>
      <c r="C801" s="460">
        <v>2022.0</v>
      </c>
      <c r="D801" s="461" t="s">
        <v>1257</v>
      </c>
      <c r="E801" s="461" t="s">
        <v>1258</v>
      </c>
      <c r="F801" s="466" t="s">
        <v>1074</v>
      </c>
      <c r="G801" s="344"/>
      <c r="H801" s="344"/>
      <c r="I801" s="344"/>
      <c r="J801" s="344"/>
      <c r="K801" s="344"/>
      <c r="L801" s="344"/>
      <c r="M801" s="344"/>
      <c r="N801" s="344"/>
      <c r="O801" s="344"/>
      <c r="P801" s="344"/>
      <c r="Q801" s="344"/>
      <c r="R801" s="344"/>
      <c r="S801" s="344"/>
      <c r="T801" s="344"/>
      <c r="U801" s="344"/>
      <c r="V801" s="344"/>
      <c r="W801" s="344"/>
      <c r="X801" s="344"/>
      <c r="Y801" s="344"/>
      <c r="Z801" s="344"/>
    </row>
    <row r="802">
      <c r="A802" s="129"/>
      <c r="B802" s="9"/>
      <c r="C802" s="9"/>
      <c r="D802" s="461" t="s">
        <v>1259</v>
      </c>
      <c r="E802" s="461" t="s">
        <v>1260</v>
      </c>
      <c r="F802" s="466" t="s">
        <v>1074</v>
      </c>
      <c r="G802" s="344"/>
      <c r="H802" s="344"/>
      <c r="I802" s="344"/>
      <c r="J802" s="344"/>
      <c r="K802" s="344"/>
      <c r="L802" s="344"/>
      <c r="M802" s="344"/>
      <c r="N802" s="344"/>
      <c r="O802" s="344"/>
      <c r="P802" s="344"/>
      <c r="Q802" s="344"/>
      <c r="R802" s="344"/>
      <c r="S802" s="344"/>
      <c r="T802" s="344"/>
      <c r="U802" s="344"/>
      <c r="V802" s="344"/>
      <c r="W802" s="344"/>
      <c r="X802" s="344"/>
      <c r="Y802" s="344"/>
      <c r="Z802" s="344"/>
    </row>
    <row r="803">
      <c r="A803" s="129"/>
      <c r="B803" s="9"/>
      <c r="C803" s="9"/>
      <c r="D803" s="461" t="s">
        <v>1261</v>
      </c>
      <c r="E803" s="461" t="s">
        <v>1262</v>
      </c>
      <c r="F803" s="466" t="s">
        <v>1074</v>
      </c>
      <c r="G803" s="344"/>
      <c r="H803" s="344"/>
      <c r="I803" s="344"/>
      <c r="J803" s="344"/>
      <c r="K803" s="344"/>
      <c r="L803" s="344"/>
      <c r="M803" s="344"/>
      <c r="N803" s="344"/>
      <c r="O803" s="344"/>
      <c r="P803" s="344"/>
      <c r="Q803" s="344"/>
      <c r="R803" s="344"/>
      <c r="S803" s="344"/>
      <c r="T803" s="344"/>
      <c r="U803" s="344"/>
      <c r="V803" s="344"/>
      <c r="W803" s="344"/>
      <c r="X803" s="344"/>
      <c r="Y803" s="344"/>
      <c r="Z803" s="344"/>
    </row>
    <row r="804">
      <c r="A804" s="56"/>
      <c r="B804" s="11"/>
      <c r="C804" s="11"/>
      <c r="D804" s="461" t="s">
        <v>1263</v>
      </c>
      <c r="E804" s="461" t="s">
        <v>1264</v>
      </c>
      <c r="F804" s="466" t="s">
        <v>1074</v>
      </c>
      <c r="G804" s="344"/>
      <c r="H804" s="344"/>
      <c r="I804" s="344"/>
      <c r="J804" s="344"/>
      <c r="K804" s="344"/>
      <c r="L804" s="344"/>
      <c r="M804" s="344"/>
      <c r="N804" s="344"/>
      <c r="O804" s="344"/>
      <c r="P804" s="344"/>
      <c r="Q804" s="344"/>
      <c r="R804" s="344"/>
      <c r="S804" s="344"/>
      <c r="T804" s="344"/>
      <c r="U804" s="344"/>
      <c r="V804" s="344"/>
      <c r="W804" s="344"/>
      <c r="X804" s="344"/>
      <c r="Y804" s="344"/>
      <c r="Z804" s="344"/>
    </row>
    <row r="805">
      <c r="A805" s="464">
        <v>17.0</v>
      </c>
      <c r="B805" s="471" t="s">
        <v>750</v>
      </c>
      <c r="C805" s="465" t="s">
        <v>290</v>
      </c>
      <c r="D805" s="461"/>
      <c r="E805" s="461"/>
      <c r="F805" s="465"/>
      <c r="G805" s="344"/>
      <c r="H805" s="344"/>
      <c r="I805" s="344"/>
      <c r="J805" s="344"/>
      <c r="K805" s="344"/>
      <c r="L805" s="344"/>
      <c r="M805" s="344"/>
      <c r="N805" s="344"/>
      <c r="O805" s="344"/>
      <c r="P805" s="344"/>
      <c r="Q805" s="344"/>
      <c r="R805" s="344"/>
      <c r="S805" s="344"/>
      <c r="T805" s="344"/>
      <c r="U805" s="344"/>
      <c r="V805" s="344"/>
      <c r="W805" s="344"/>
      <c r="X805" s="344"/>
      <c r="Y805" s="344"/>
      <c r="Z805" s="344"/>
    </row>
    <row r="806">
      <c r="A806" s="458">
        <v>18.0</v>
      </c>
      <c r="B806" s="459" t="s">
        <v>553</v>
      </c>
      <c r="C806" s="465">
        <v>2023.0</v>
      </c>
      <c r="D806" s="472" t="s">
        <v>1265</v>
      </c>
      <c r="E806" s="461" t="s">
        <v>1266</v>
      </c>
      <c r="F806" s="466" t="s">
        <v>1074</v>
      </c>
      <c r="G806" s="344"/>
      <c r="H806" s="344"/>
      <c r="I806" s="344"/>
      <c r="J806" s="344"/>
      <c r="K806" s="344"/>
      <c r="L806" s="344"/>
      <c r="M806" s="344"/>
      <c r="N806" s="344"/>
      <c r="O806" s="344"/>
      <c r="P806" s="344"/>
      <c r="Q806" s="344"/>
      <c r="R806" s="344"/>
      <c r="S806" s="344"/>
      <c r="T806" s="344"/>
      <c r="U806" s="344"/>
      <c r="V806" s="344"/>
      <c r="W806" s="344"/>
      <c r="X806" s="344"/>
      <c r="Y806" s="344"/>
      <c r="Z806" s="344"/>
    </row>
    <row r="807">
      <c r="A807" s="129"/>
      <c r="B807" s="9"/>
      <c r="C807" s="460">
        <v>2022.0</v>
      </c>
      <c r="D807" s="472" t="s">
        <v>1267</v>
      </c>
      <c r="E807" s="461" t="s">
        <v>1268</v>
      </c>
      <c r="F807" s="466" t="s">
        <v>1074</v>
      </c>
      <c r="G807" s="344"/>
      <c r="H807" s="344"/>
      <c r="I807" s="344"/>
      <c r="J807" s="344"/>
      <c r="K807" s="344"/>
      <c r="L807" s="344"/>
      <c r="M807" s="344"/>
      <c r="N807" s="344"/>
      <c r="O807" s="344"/>
      <c r="P807" s="344"/>
      <c r="Q807" s="344"/>
      <c r="R807" s="344"/>
      <c r="S807" s="344"/>
      <c r="T807" s="344"/>
      <c r="U807" s="344"/>
      <c r="V807" s="344"/>
      <c r="W807" s="344"/>
      <c r="X807" s="344"/>
      <c r="Y807" s="344"/>
      <c r="Z807" s="344"/>
    </row>
    <row r="808">
      <c r="A808" s="56"/>
      <c r="B808" s="11"/>
      <c r="C808" s="11"/>
      <c r="D808" s="472" t="s">
        <v>1269</v>
      </c>
      <c r="E808" s="461" t="s">
        <v>1270</v>
      </c>
      <c r="F808" s="466" t="s">
        <v>1074</v>
      </c>
      <c r="G808" s="344"/>
      <c r="H808" s="344"/>
      <c r="I808" s="344"/>
      <c r="J808" s="344"/>
      <c r="K808" s="344"/>
      <c r="L808" s="344"/>
      <c r="M808" s="344"/>
      <c r="N808" s="344"/>
      <c r="O808" s="344"/>
      <c r="P808" s="344"/>
      <c r="Q808" s="344"/>
      <c r="R808" s="344"/>
      <c r="S808" s="344"/>
      <c r="T808" s="344"/>
      <c r="U808" s="344"/>
      <c r="V808" s="344"/>
      <c r="W808" s="344"/>
      <c r="X808" s="344"/>
      <c r="Y808" s="344"/>
      <c r="Z808" s="344"/>
    </row>
    <row r="809">
      <c r="A809" s="458">
        <v>19.0</v>
      </c>
      <c r="B809" s="459" t="s">
        <v>751</v>
      </c>
      <c r="C809" s="465">
        <v>2023.0</v>
      </c>
      <c r="D809" s="461" t="s">
        <v>1228</v>
      </c>
      <c r="E809" s="461" t="s">
        <v>1087</v>
      </c>
      <c r="F809" s="463" t="s">
        <v>1085</v>
      </c>
      <c r="G809" s="344"/>
      <c r="H809" s="344"/>
      <c r="I809" s="344"/>
      <c r="J809" s="344"/>
      <c r="K809" s="344"/>
      <c r="L809" s="344"/>
      <c r="M809" s="344"/>
      <c r="N809" s="344"/>
      <c r="O809" s="344"/>
      <c r="P809" s="344"/>
      <c r="Q809" s="344"/>
      <c r="R809" s="344"/>
      <c r="S809" s="344"/>
      <c r="T809" s="344"/>
      <c r="U809" s="344"/>
      <c r="V809" s="344"/>
      <c r="W809" s="344"/>
      <c r="X809" s="344"/>
      <c r="Y809" s="344"/>
      <c r="Z809" s="344"/>
    </row>
    <row r="810">
      <c r="A810" s="129"/>
      <c r="B810" s="9"/>
      <c r="C810" s="460">
        <v>2022.0</v>
      </c>
      <c r="D810" s="461" t="s">
        <v>1271</v>
      </c>
      <c r="E810" s="461" t="s">
        <v>1272</v>
      </c>
      <c r="F810" s="462" t="s">
        <v>1085</v>
      </c>
      <c r="G810" s="344"/>
      <c r="H810" s="344"/>
      <c r="I810" s="344"/>
      <c r="J810" s="344"/>
      <c r="K810" s="344"/>
      <c r="L810" s="344"/>
      <c r="M810" s="344"/>
      <c r="N810" s="344"/>
      <c r="O810" s="344"/>
      <c r="P810" s="344"/>
      <c r="Q810" s="344"/>
      <c r="R810" s="344"/>
      <c r="S810" s="344"/>
      <c r="T810" s="344"/>
      <c r="U810" s="344"/>
      <c r="V810" s="344"/>
      <c r="W810" s="344"/>
      <c r="X810" s="344"/>
      <c r="Y810" s="344"/>
      <c r="Z810" s="344"/>
    </row>
    <row r="811">
      <c r="A811" s="129"/>
      <c r="B811" s="9"/>
      <c r="C811" s="9"/>
      <c r="D811" s="461" t="s">
        <v>1273</v>
      </c>
      <c r="E811" s="461" t="s">
        <v>1274</v>
      </c>
      <c r="F811" s="462" t="s">
        <v>1085</v>
      </c>
      <c r="G811" s="344"/>
      <c r="H811" s="344"/>
      <c r="I811" s="344"/>
      <c r="J811" s="344"/>
      <c r="K811" s="344"/>
      <c r="L811" s="344"/>
      <c r="M811" s="344"/>
      <c r="N811" s="344"/>
      <c r="O811" s="344"/>
      <c r="P811" s="344"/>
      <c r="Q811" s="344"/>
      <c r="R811" s="344"/>
      <c r="S811" s="344"/>
      <c r="T811" s="344"/>
      <c r="U811" s="344"/>
      <c r="V811" s="344"/>
      <c r="W811" s="344"/>
      <c r="X811" s="344"/>
      <c r="Y811" s="344"/>
      <c r="Z811" s="344"/>
    </row>
    <row r="812">
      <c r="A812" s="56"/>
      <c r="B812" s="11"/>
      <c r="C812" s="11"/>
      <c r="D812" s="461" t="s">
        <v>1275</v>
      </c>
      <c r="E812" s="461" t="s">
        <v>1276</v>
      </c>
      <c r="F812" s="462" t="s">
        <v>1085</v>
      </c>
      <c r="G812" s="344"/>
      <c r="H812" s="344"/>
      <c r="I812" s="344"/>
      <c r="J812" s="344"/>
      <c r="K812" s="344"/>
      <c r="L812" s="344"/>
      <c r="M812" s="344"/>
      <c r="N812" s="344"/>
      <c r="O812" s="344"/>
      <c r="P812" s="344"/>
      <c r="Q812" s="344"/>
      <c r="R812" s="344"/>
      <c r="S812" s="344"/>
      <c r="T812" s="344"/>
      <c r="U812" s="344"/>
      <c r="V812" s="344"/>
      <c r="W812" s="344"/>
      <c r="X812" s="344"/>
      <c r="Y812" s="344"/>
      <c r="Z812" s="344"/>
    </row>
    <row r="813">
      <c r="A813" s="458">
        <v>20.0</v>
      </c>
      <c r="B813" s="459" t="s">
        <v>752</v>
      </c>
      <c r="C813" s="460">
        <v>2023.0</v>
      </c>
      <c r="D813" s="472" t="s">
        <v>1277</v>
      </c>
      <c r="E813" s="461" t="s">
        <v>1278</v>
      </c>
      <c r="F813" s="466" t="s">
        <v>1074</v>
      </c>
      <c r="G813" s="344"/>
      <c r="H813" s="344"/>
      <c r="I813" s="344"/>
      <c r="J813" s="344"/>
      <c r="K813" s="344"/>
      <c r="L813" s="344"/>
      <c r="M813" s="344"/>
      <c r="N813" s="344"/>
      <c r="O813" s="344"/>
      <c r="P813" s="344"/>
      <c r="Q813" s="344"/>
      <c r="R813" s="344"/>
      <c r="S813" s="344"/>
      <c r="T813" s="344"/>
      <c r="U813" s="344"/>
      <c r="V813" s="344"/>
      <c r="W813" s="344"/>
      <c r="X813" s="344"/>
      <c r="Y813" s="344"/>
      <c r="Z813" s="344"/>
    </row>
    <row r="814">
      <c r="A814" s="129"/>
      <c r="B814" s="9"/>
      <c r="C814" s="9"/>
      <c r="D814" s="472" t="s">
        <v>1279</v>
      </c>
      <c r="E814" s="461" t="s">
        <v>1280</v>
      </c>
      <c r="F814" s="466" t="s">
        <v>1074</v>
      </c>
      <c r="G814" s="344"/>
      <c r="H814" s="344"/>
      <c r="I814" s="344"/>
      <c r="J814" s="344"/>
      <c r="K814" s="344"/>
      <c r="L814" s="344"/>
      <c r="M814" s="344"/>
      <c r="N814" s="344"/>
      <c r="O814" s="344"/>
      <c r="P814" s="344"/>
      <c r="Q814" s="344"/>
      <c r="R814" s="344"/>
      <c r="S814" s="344"/>
      <c r="T814" s="344"/>
      <c r="U814" s="344"/>
      <c r="V814" s="344"/>
      <c r="W814" s="344"/>
      <c r="X814" s="344"/>
      <c r="Y814" s="344"/>
      <c r="Z814" s="344"/>
    </row>
    <row r="815">
      <c r="A815" s="129"/>
      <c r="B815" s="9"/>
      <c r="C815" s="9"/>
      <c r="D815" s="472" t="s">
        <v>1281</v>
      </c>
      <c r="E815" s="461" t="s">
        <v>1282</v>
      </c>
      <c r="F815" s="466" t="s">
        <v>1074</v>
      </c>
      <c r="G815" s="344"/>
      <c r="H815" s="344"/>
      <c r="I815" s="344"/>
      <c r="J815" s="344"/>
      <c r="K815" s="344"/>
      <c r="L815" s="344"/>
      <c r="M815" s="344"/>
      <c r="N815" s="344"/>
      <c r="O815" s="344"/>
      <c r="P815" s="344"/>
      <c r="Q815" s="344"/>
      <c r="R815" s="344"/>
      <c r="S815" s="344"/>
      <c r="T815" s="344"/>
      <c r="U815" s="344"/>
      <c r="V815" s="344"/>
      <c r="W815" s="344"/>
      <c r="X815" s="344"/>
      <c r="Y815" s="344"/>
      <c r="Z815" s="344"/>
    </row>
    <row r="816">
      <c r="A816" s="129"/>
      <c r="B816" s="9"/>
      <c r="C816" s="11"/>
      <c r="D816" s="472" t="s">
        <v>1283</v>
      </c>
      <c r="E816" s="461" t="s">
        <v>1284</v>
      </c>
      <c r="F816" s="466" t="s">
        <v>1074</v>
      </c>
      <c r="G816" s="344"/>
      <c r="H816" s="344"/>
      <c r="I816" s="344"/>
      <c r="J816" s="344"/>
      <c r="K816" s="344"/>
      <c r="L816" s="344"/>
      <c r="M816" s="344"/>
      <c r="N816" s="344"/>
      <c r="O816" s="344"/>
      <c r="P816" s="344"/>
      <c r="Q816" s="344"/>
      <c r="R816" s="344"/>
      <c r="S816" s="344"/>
      <c r="T816" s="344"/>
      <c r="U816" s="344"/>
      <c r="V816" s="344"/>
      <c r="W816" s="344"/>
      <c r="X816" s="344"/>
      <c r="Y816" s="344"/>
      <c r="Z816" s="344"/>
    </row>
    <row r="817">
      <c r="A817" s="129"/>
      <c r="B817" s="9"/>
      <c r="C817" s="460">
        <v>2022.0</v>
      </c>
      <c r="D817" s="472" t="s">
        <v>1263</v>
      </c>
      <c r="E817" s="461" t="s">
        <v>1264</v>
      </c>
      <c r="F817" s="466" t="s">
        <v>1074</v>
      </c>
      <c r="G817" s="344"/>
      <c r="H817" s="344"/>
      <c r="I817" s="344"/>
      <c r="J817" s="344"/>
      <c r="K817" s="344"/>
      <c r="L817" s="344"/>
      <c r="M817" s="344"/>
      <c r="N817" s="344"/>
      <c r="O817" s="344"/>
      <c r="P817" s="344"/>
      <c r="Q817" s="344"/>
      <c r="R817" s="344"/>
      <c r="S817" s="344"/>
      <c r="T817" s="344"/>
      <c r="U817" s="344"/>
      <c r="V817" s="344"/>
      <c r="W817" s="344"/>
      <c r="X817" s="344"/>
      <c r="Y817" s="344"/>
      <c r="Z817" s="344"/>
    </row>
    <row r="818">
      <c r="A818" s="56"/>
      <c r="B818" s="11"/>
      <c r="C818" s="11"/>
      <c r="D818" s="472" t="s">
        <v>1285</v>
      </c>
      <c r="E818" s="461" t="s">
        <v>1286</v>
      </c>
      <c r="F818" s="466" t="s">
        <v>1074</v>
      </c>
      <c r="G818" s="344"/>
      <c r="H818" s="344"/>
      <c r="I818" s="344"/>
      <c r="J818" s="344"/>
      <c r="K818" s="344"/>
      <c r="L818" s="344"/>
      <c r="M818" s="344"/>
      <c r="N818" s="344"/>
      <c r="O818" s="344"/>
      <c r="P818" s="344"/>
      <c r="Q818" s="344"/>
      <c r="R818" s="344"/>
      <c r="S818" s="344"/>
      <c r="T818" s="344"/>
      <c r="U818" s="344"/>
      <c r="V818" s="344"/>
      <c r="W818" s="344"/>
      <c r="X818" s="344"/>
      <c r="Y818" s="344"/>
      <c r="Z818" s="344"/>
    </row>
    <row r="819">
      <c r="A819" s="464">
        <v>21.0</v>
      </c>
      <c r="B819" s="461" t="s">
        <v>555</v>
      </c>
      <c r="C819" s="465">
        <v>2023.0</v>
      </c>
      <c r="D819" s="472" t="s">
        <v>1287</v>
      </c>
      <c r="E819" s="461" t="s">
        <v>1288</v>
      </c>
      <c r="F819" s="466" t="s">
        <v>1074</v>
      </c>
      <c r="G819" s="344"/>
      <c r="H819" s="344"/>
      <c r="I819" s="344"/>
      <c r="J819" s="344"/>
      <c r="K819" s="344"/>
      <c r="L819" s="344"/>
      <c r="M819" s="344"/>
      <c r="N819" s="344"/>
      <c r="O819" s="344"/>
      <c r="P819" s="344"/>
      <c r="Q819" s="344"/>
      <c r="R819" s="344"/>
      <c r="S819" s="344"/>
      <c r="T819" s="344"/>
      <c r="U819" s="344"/>
      <c r="V819" s="344"/>
      <c r="W819" s="344"/>
      <c r="X819" s="344"/>
      <c r="Y819" s="344"/>
      <c r="Z819" s="344"/>
    </row>
    <row r="820">
      <c r="A820" s="458">
        <v>22.0</v>
      </c>
      <c r="B820" s="459" t="s">
        <v>557</v>
      </c>
      <c r="C820" s="460">
        <v>2024.0</v>
      </c>
      <c r="D820" s="472" t="s">
        <v>1289</v>
      </c>
      <c r="E820" s="461" t="s">
        <v>1290</v>
      </c>
      <c r="F820" s="466" t="s">
        <v>1074</v>
      </c>
      <c r="G820" s="344"/>
      <c r="H820" s="344"/>
      <c r="I820" s="344"/>
      <c r="J820" s="344"/>
      <c r="K820" s="344"/>
      <c r="L820" s="344"/>
      <c r="M820" s="344"/>
      <c r="N820" s="344"/>
      <c r="O820" s="344"/>
      <c r="P820" s="344"/>
      <c r="Q820" s="344"/>
      <c r="R820" s="344"/>
      <c r="S820" s="344"/>
      <c r="T820" s="344"/>
      <c r="U820" s="344"/>
      <c r="V820" s="344"/>
      <c r="W820" s="344"/>
      <c r="X820" s="344"/>
      <c r="Y820" s="344"/>
      <c r="Z820" s="344"/>
    </row>
    <row r="821">
      <c r="A821" s="129"/>
      <c r="B821" s="9"/>
      <c r="C821" s="9"/>
      <c r="D821" s="472" t="s">
        <v>1291</v>
      </c>
      <c r="E821" s="461" t="s">
        <v>1292</v>
      </c>
      <c r="F821" s="466" t="s">
        <v>1074</v>
      </c>
      <c r="G821" s="344"/>
      <c r="H821" s="344"/>
      <c r="I821" s="344"/>
      <c r="J821" s="344"/>
      <c r="K821" s="344"/>
      <c r="L821" s="344"/>
      <c r="M821" s="344"/>
      <c r="N821" s="344"/>
      <c r="O821" s="344"/>
      <c r="P821" s="344"/>
      <c r="Q821" s="344"/>
      <c r="R821" s="344"/>
      <c r="S821" s="344"/>
      <c r="T821" s="344"/>
      <c r="U821" s="344"/>
      <c r="V821" s="344"/>
      <c r="W821" s="344"/>
      <c r="X821" s="344"/>
      <c r="Y821" s="344"/>
      <c r="Z821" s="344"/>
    </row>
    <row r="822">
      <c r="A822" s="129"/>
      <c r="B822" s="9"/>
      <c r="C822" s="9"/>
      <c r="D822" s="472" t="s">
        <v>1293</v>
      </c>
      <c r="E822" s="461" t="s">
        <v>1294</v>
      </c>
      <c r="F822" s="466" t="s">
        <v>1074</v>
      </c>
      <c r="G822" s="344"/>
      <c r="H822" s="344"/>
      <c r="I822" s="344"/>
      <c r="J822" s="344"/>
      <c r="K822" s="344"/>
      <c r="L822" s="344"/>
      <c r="M822" s="344"/>
      <c r="N822" s="344"/>
      <c r="O822" s="344"/>
      <c r="P822" s="344"/>
      <c r="Q822" s="344"/>
      <c r="R822" s="344"/>
      <c r="S822" s="344"/>
      <c r="T822" s="344"/>
      <c r="U822" s="344"/>
      <c r="V822" s="344"/>
      <c r="W822" s="344"/>
      <c r="X822" s="344"/>
      <c r="Y822" s="344"/>
      <c r="Z822" s="344"/>
    </row>
    <row r="823">
      <c r="A823" s="129"/>
      <c r="B823" s="9"/>
      <c r="C823" s="11"/>
      <c r="D823" s="472" t="s">
        <v>1295</v>
      </c>
      <c r="E823" s="461" t="s">
        <v>1296</v>
      </c>
      <c r="F823" s="466" t="s">
        <v>1074</v>
      </c>
      <c r="G823" s="344"/>
      <c r="H823" s="344"/>
      <c r="I823" s="344"/>
      <c r="J823" s="344"/>
      <c r="K823" s="344"/>
      <c r="L823" s="344"/>
      <c r="M823" s="344"/>
      <c r="N823" s="344"/>
      <c r="O823" s="344"/>
      <c r="P823" s="344"/>
      <c r="Q823" s="344"/>
      <c r="R823" s="344"/>
      <c r="S823" s="344"/>
      <c r="T823" s="344"/>
      <c r="U823" s="344"/>
      <c r="V823" s="344"/>
      <c r="W823" s="344"/>
      <c r="X823" s="344"/>
      <c r="Y823" s="344"/>
      <c r="Z823" s="344"/>
    </row>
    <row r="824">
      <c r="A824" s="129"/>
      <c r="B824" s="9"/>
      <c r="C824" s="460">
        <v>2023.0</v>
      </c>
      <c r="D824" s="472" t="s">
        <v>1297</v>
      </c>
      <c r="E824" s="461" t="s">
        <v>1139</v>
      </c>
      <c r="F824" s="466" t="s">
        <v>1074</v>
      </c>
      <c r="G824" s="344"/>
      <c r="H824" s="344"/>
      <c r="I824" s="344"/>
      <c r="J824" s="344"/>
      <c r="K824" s="344"/>
      <c r="L824" s="344"/>
      <c r="M824" s="344"/>
      <c r="N824" s="344"/>
      <c r="O824" s="344"/>
      <c r="P824" s="344"/>
      <c r="Q824" s="344"/>
      <c r="R824" s="344"/>
      <c r="S824" s="344"/>
      <c r="T824" s="344"/>
      <c r="U824" s="344"/>
      <c r="V824" s="344"/>
      <c r="W824" s="344"/>
      <c r="X824" s="344"/>
      <c r="Y824" s="344"/>
      <c r="Z824" s="344"/>
    </row>
    <row r="825">
      <c r="A825" s="129"/>
      <c r="B825" s="9"/>
      <c r="C825" s="9"/>
      <c r="D825" s="472" t="s">
        <v>1298</v>
      </c>
      <c r="E825" s="461" t="s">
        <v>1299</v>
      </c>
      <c r="F825" s="466" t="s">
        <v>1074</v>
      </c>
      <c r="G825" s="344"/>
      <c r="H825" s="344"/>
      <c r="I825" s="344"/>
      <c r="J825" s="344"/>
      <c r="K825" s="344"/>
      <c r="L825" s="344"/>
      <c r="M825" s="344"/>
      <c r="N825" s="344"/>
      <c r="O825" s="344"/>
      <c r="P825" s="344"/>
      <c r="Q825" s="344"/>
      <c r="R825" s="344"/>
      <c r="S825" s="344"/>
      <c r="T825" s="344"/>
      <c r="U825" s="344"/>
      <c r="V825" s="344"/>
      <c r="W825" s="344"/>
      <c r="X825" s="344"/>
      <c r="Y825" s="344"/>
      <c r="Z825" s="344"/>
    </row>
    <row r="826">
      <c r="A826" s="129"/>
      <c r="B826" s="9"/>
      <c r="C826" s="9"/>
      <c r="D826" s="472" t="s">
        <v>1300</v>
      </c>
      <c r="E826" s="461" t="s">
        <v>1301</v>
      </c>
      <c r="F826" s="466" t="s">
        <v>1074</v>
      </c>
      <c r="G826" s="344"/>
      <c r="H826" s="344"/>
      <c r="I826" s="344"/>
      <c r="J826" s="344"/>
      <c r="K826" s="344"/>
      <c r="L826" s="344"/>
      <c r="M826" s="344"/>
      <c r="N826" s="344"/>
      <c r="O826" s="344"/>
      <c r="P826" s="344"/>
      <c r="Q826" s="344"/>
      <c r="R826" s="344"/>
      <c r="S826" s="344"/>
      <c r="T826" s="344"/>
      <c r="U826" s="344"/>
      <c r="V826" s="344"/>
      <c r="W826" s="344"/>
      <c r="X826" s="344"/>
      <c r="Y826" s="344"/>
      <c r="Z826" s="344"/>
    </row>
    <row r="827">
      <c r="A827" s="129"/>
      <c r="B827" s="9"/>
      <c r="C827" s="9"/>
      <c r="D827" s="472" t="s">
        <v>1302</v>
      </c>
      <c r="E827" s="461" t="s">
        <v>1184</v>
      </c>
      <c r="F827" s="466" t="s">
        <v>1074</v>
      </c>
      <c r="G827" s="344"/>
      <c r="H827" s="344"/>
      <c r="I827" s="344"/>
      <c r="J827" s="344"/>
      <c r="K827" s="344"/>
      <c r="L827" s="344"/>
      <c r="M827" s="344"/>
      <c r="N827" s="344"/>
      <c r="O827" s="344"/>
      <c r="P827" s="344"/>
      <c r="Q827" s="344"/>
      <c r="R827" s="344"/>
      <c r="S827" s="344"/>
      <c r="T827" s="344"/>
      <c r="U827" s="344"/>
      <c r="V827" s="344"/>
      <c r="W827" s="344"/>
      <c r="X827" s="344"/>
      <c r="Y827" s="344"/>
      <c r="Z827" s="344"/>
    </row>
    <row r="828">
      <c r="A828" s="56"/>
      <c r="B828" s="11"/>
      <c r="C828" s="11"/>
      <c r="D828" s="472" t="s">
        <v>1303</v>
      </c>
      <c r="E828" s="461" t="s">
        <v>1304</v>
      </c>
      <c r="F828" s="466" t="s">
        <v>1074</v>
      </c>
      <c r="G828" s="344"/>
      <c r="H828" s="344"/>
      <c r="I828" s="344"/>
      <c r="J828" s="344"/>
      <c r="K828" s="344"/>
      <c r="L828" s="344"/>
      <c r="M828" s="344"/>
      <c r="N828" s="344"/>
      <c r="O828" s="344"/>
      <c r="P828" s="344"/>
      <c r="Q828" s="344"/>
      <c r="R828" s="344"/>
      <c r="S828" s="344"/>
      <c r="T828" s="344"/>
      <c r="U828" s="344"/>
      <c r="V828" s="344"/>
      <c r="W828" s="344"/>
      <c r="X828" s="344"/>
      <c r="Y828" s="344"/>
      <c r="Z828" s="344"/>
    </row>
    <row r="829">
      <c r="A829" s="458">
        <v>23.0</v>
      </c>
      <c r="B829" s="459" t="s">
        <v>753</v>
      </c>
      <c r="C829" s="460">
        <v>2024.0</v>
      </c>
      <c r="D829" s="472" t="s">
        <v>1305</v>
      </c>
      <c r="E829" s="461" t="s">
        <v>1306</v>
      </c>
      <c r="F829" s="466" t="s">
        <v>1074</v>
      </c>
      <c r="G829" s="344"/>
      <c r="H829" s="344"/>
      <c r="I829" s="344"/>
      <c r="J829" s="344"/>
      <c r="K829" s="344"/>
      <c r="L829" s="344"/>
      <c r="M829" s="344"/>
      <c r="N829" s="344"/>
      <c r="O829" s="344"/>
      <c r="P829" s="344"/>
      <c r="Q829" s="344"/>
      <c r="R829" s="344"/>
      <c r="S829" s="344"/>
      <c r="T829" s="344"/>
      <c r="U829" s="344"/>
      <c r="V829" s="344"/>
      <c r="W829" s="344"/>
      <c r="X829" s="344"/>
      <c r="Y829" s="344"/>
      <c r="Z829" s="344"/>
    </row>
    <row r="830">
      <c r="A830" s="129"/>
      <c r="B830" s="9"/>
      <c r="C830" s="9"/>
      <c r="D830" s="472" t="s">
        <v>1307</v>
      </c>
      <c r="E830" s="461" t="s">
        <v>1308</v>
      </c>
      <c r="F830" s="466" t="s">
        <v>1074</v>
      </c>
      <c r="G830" s="344"/>
      <c r="H830" s="344"/>
      <c r="I830" s="344"/>
      <c r="J830" s="344"/>
      <c r="K830" s="344"/>
      <c r="L830" s="344"/>
      <c r="M830" s="344"/>
      <c r="N830" s="344"/>
      <c r="O830" s="344"/>
      <c r="P830" s="344"/>
      <c r="Q830" s="344"/>
      <c r="R830" s="344"/>
      <c r="S830" s="344"/>
      <c r="T830" s="344"/>
      <c r="U830" s="344"/>
      <c r="V830" s="344"/>
      <c r="W830" s="344"/>
      <c r="X830" s="344"/>
      <c r="Y830" s="344"/>
      <c r="Z830" s="344"/>
    </row>
    <row r="831">
      <c r="A831" s="129"/>
      <c r="B831" s="9"/>
      <c r="C831" s="9"/>
      <c r="D831" s="472" t="s">
        <v>1309</v>
      </c>
      <c r="E831" s="461" t="s">
        <v>1310</v>
      </c>
      <c r="F831" s="466" t="s">
        <v>1074</v>
      </c>
      <c r="G831" s="344"/>
      <c r="H831" s="344"/>
      <c r="I831" s="344"/>
      <c r="J831" s="344"/>
      <c r="K831" s="344"/>
      <c r="L831" s="344"/>
      <c r="M831" s="344"/>
      <c r="N831" s="344"/>
      <c r="O831" s="344"/>
      <c r="P831" s="344"/>
      <c r="Q831" s="344"/>
      <c r="R831" s="344"/>
      <c r="S831" s="344"/>
      <c r="T831" s="344"/>
      <c r="U831" s="344"/>
      <c r="V831" s="344"/>
      <c r="W831" s="344"/>
      <c r="X831" s="344"/>
      <c r="Y831" s="344"/>
      <c r="Z831" s="344"/>
    </row>
    <row r="832">
      <c r="A832" s="129"/>
      <c r="B832" s="9"/>
      <c r="C832" s="11"/>
      <c r="D832" s="472" t="s">
        <v>1311</v>
      </c>
      <c r="E832" s="461" t="s">
        <v>1312</v>
      </c>
      <c r="F832" s="465" t="s">
        <v>1074</v>
      </c>
      <c r="G832" s="344"/>
      <c r="H832" s="344"/>
      <c r="I832" s="344"/>
      <c r="J832" s="344"/>
      <c r="K832" s="344"/>
      <c r="L832" s="344"/>
      <c r="M832" s="344"/>
      <c r="N832" s="344"/>
      <c r="O832" s="344"/>
      <c r="P832" s="344"/>
      <c r="Q832" s="344"/>
      <c r="R832" s="344"/>
      <c r="S832" s="344"/>
      <c r="T832" s="344"/>
      <c r="U832" s="344"/>
      <c r="V832" s="344"/>
      <c r="W832" s="344"/>
      <c r="X832" s="344"/>
      <c r="Y832" s="344"/>
      <c r="Z832" s="344"/>
    </row>
    <row r="833">
      <c r="A833" s="129"/>
      <c r="B833" s="9"/>
      <c r="C833" s="465">
        <v>2023.0</v>
      </c>
      <c r="D833" s="472" t="s">
        <v>1313</v>
      </c>
      <c r="E833" s="461" t="s">
        <v>1314</v>
      </c>
      <c r="F833" s="466" t="s">
        <v>1074</v>
      </c>
      <c r="G833" s="344"/>
      <c r="H833" s="344"/>
      <c r="I833" s="344"/>
      <c r="J833" s="344"/>
      <c r="K833" s="344"/>
      <c r="L833" s="344"/>
      <c r="M833" s="344"/>
      <c r="N833" s="344"/>
      <c r="O833" s="344"/>
      <c r="P833" s="344"/>
      <c r="Q833" s="344"/>
      <c r="R833" s="344"/>
      <c r="S833" s="344"/>
      <c r="T833" s="344"/>
      <c r="U833" s="344"/>
      <c r="V833" s="344"/>
      <c r="W833" s="344"/>
      <c r="X833" s="344"/>
      <c r="Y833" s="344"/>
      <c r="Z833" s="344"/>
    </row>
    <row r="834">
      <c r="A834" s="129"/>
      <c r="B834" s="9"/>
      <c r="C834" s="460">
        <v>2022.0</v>
      </c>
      <c r="D834" s="472" t="s">
        <v>1315</v>
      </c>
      <c r="E834" s="461" t="s">
        <v>1316</v>
      </c>
      <c r="F834" s="466" t="s">
        <v>1074</v>
      </c>
      <c r="G834" s="344"/>
      <c r="H834" s="344"/>
      <c r="I834" s="344"/>
      <c r="J834" s="344"/>
      <c r="K834" s="344"/>
      <c r="L834" s="344"/>
      <c r="M834" s="344"/>
      <c r="N834" s="344"/>
      <c r="O834" s="344"/>
      <c r="P834" s="344"/>
      <c r="Q834" s="344"/>
      <c r="R834" s="344"/>
      <c r="S834" s="344"/>
      <c r="T834" s="344"/>
      <c r="U834" s="344"/>
      <c r="V834" s="344"/>
      <c r="W834" s="344"/>
      <c r="X834" s="344"/>
      <c r="Y834" s="344"/>
      <c r="Z834" s="344"/>
    </row>
    <row r="835">
      <c r="A835" s="129"/>
      <c r="B835" s="9"/>
      <c r="C835" s="9"/>
      <c r="D835" s="472" t="s">
        <v>1317</v>
      </c>
      <c r="E835" s="461" t="s">
        <v>1318</v>
      </c>
      <c r="F835" s="466" t="s">
        <v>1074</v>
      </c>
      <c r="G835" s="344"/>
      <c r="H835" s="344"/>
      <c r="I835" s="344"/>
      <c r="J835" s="344"/>
      <c r="K835" s="344"/>
      <c r="L835" s="344"/>
      <c r="M835" s="344"/>
      <c r="N835" s="344"/>
      <c r="O835" s="344"/>
      <c r="P835" s="344"/>
      <c r="Q835" s="344"/>
      <c r="R835" s="344"/>
      <c r="S835" s="344"/>
      <c r="T835" s="344"/>
      <c r="U835" s="344"/>
      <c r="V835" s="344"/>
      <c r="W835" s="344"/>
      <c r="X835" s="344"/>
      <c r="Y835" s="344"/>
      <c r="Z835" s="344"/>
    </row>
    <row r="836">
      <c r="A836" s="129"/>
      <c r="B836" s="9"/>
      <c r="C836" s="9"/>
      <c r="D836" s="472" t="s">
        <v>1201</v>
      </c>
      <c r="E836" s="461" t="s">
        <v>1202</v>
      </c>
      <c r="F836" s="466" t="s">
        <v>1074</v>
      </c>
      <c r="G836" s="344"/>
      <c r="H836" s="344"/>
      <c r="I836" s="344"/>
      <c r="J836" s="344"/>
      <c r="K836" s="344"/>
      <c r="L836" s="344"/>
      <c r="M836" s="344"/>
      <c r="N836" s="344"/>
      <c r="O836" s="344"/>
      <c r="P836" s="344"/>
      <c r="Q836" s="344"/>
      <c r="R836" s="344"/>
      <c r="S836" s="344"/>
      <c r="T836" s="344"/>
      <c r="U836" s="344"/>
      <c r="V836" s="344"/>
      <c r="W836" s="344"/>
      <c r="X836" s="344"/>
      <c r="Y836" s="344"/>
      <c r="Z836" s="344"/>
    </row>
    <row r="837">
      <c r="A837" s="129"/>
      <c r="B837" s="9"/>
      <c r="C837" s="9"/>
      <c r="D837" s="472" t="s">
        <v>1319</v>
      </c>
      <c r="E837" s="461" t="s">
        <v>1320</v>
      </c>
      <c r="F837" s="466" t="s">
        <v>1074</v>
      </c>
      <c r="G837" s="344"/>
      <c r="H837" s="344"/>
      <c r="I837" s="344"/>
      <c r="J837" s="344"/>
      <c r="K837" s="344"/>
      <c r="L837" s="344"/>
      <c r="M837" s="344"/>
      <c r="N837" s="344"/>
      <c r="O837" s="344"/>
      <c r="P837" s="344"/>
      <c r="Q837" s="344"/>
      <c r="R837" s="344"/>
      <c r="S837" s="344"/>
      <c r="T837" s="344"/>
      <c r="U837" s="344"/>
      <c r="V837" s="344"/>
      <c r="W837" s="344"/>
      <c r="X837" s="344"/>
      <c r="Y837" s="344"/>
      <c r="Z837" s="344"/>
    </row>
    <row r="838">
      <c r="A838" s="56"/>
      <c r="B838" s="11"/>
      <c r="C838" s="11"/>
      <c r="D838" s="472" t="s">
        <v>1321</v>
      </c>
      <c r="E838" s="461" t="s">
        <v>1322</v>
      </c>
      <c r="F838" s="466" t="s">
        <v>1074</v>
      </c>
      <c r="G838" s="344"/>
      <c r="H838" s="344"/>
      <c r="I838" s="344"/>
      <c r="J838" s="344"/>
      <c r="K838" s="344"/>
      <c r="L838" s="344"/>
      <c r="M838" s="344"/>
      <c r="N838" s="344"/>
      <c r="O838" s="344"/>
      <c r="P838" s="344"/>
      <c r="Q838" s="344"/>
      <c r="R838" s="344"/>
      <c r="S838" s="344"/>
      <c r="T838" s="344"/>
      <c r="U838" s="344"/>
      <c r="V838" s="344"/>
      <c r="W838" s="344"/>
      <c r="X838" s="344"/>
      <c r="Y838" s="344"/>
      <c r="Z838" s="344"/>
    </row>
    <row r="839">
      <c r="A839" s="458">
        <v>24.0</v>
      </c>
      <c r="B839" s="459" t="s">
        <v>756</v>
      </c>
      <c r="C839" s="465">
        <v>2024.0</v>
      </c>
      <c r="D839" s="472" t="s">
        <v>1323</v>
      </c>
      <c r="E839" s="461" t="s">
        <v>1324</v>
      </c>
      <c r="F839" s="466" t="s">
        <v>1074</v>
      </c>
      <c r="G839" s="344"/>
      <c r="H839" s="344"/>
      <c r="I839" s="344"/>
      <c r="J839" s="344"/>
      <c r="K839" s="344"/>
      <c r="L839" s="344"/>
      <c r="M839" s="344"/>
      <c r="N839" s="344"/>
      <c r="O839" s="344"/>
      <c r="P839" s="344"/>
      <c r="Q839" s="344"/>
      <c r="R839" s="344"/>
      <c r="S839" s="344"/>
      <c r="T839" s="344"/>
      <c r="U839" s="344"/>
      <c r="V839" s="344"/>
      <c r="W839" s="344"/>
      <c r="X839" s="344"/>
      <c r="Y839" s="344"/>
      <c r="Z839" s="344"/>
    </row>
    <row r="840">
      <c r="A840" s="129"/>
      <c r="B840" s="9"/>
      <c r="C840" s="465">
        <v>2023.0</v>
      </c>
      <c r="D840" s="472" t="s">
        <v>1325</v>
      </c>
      <c r="E840" s="461" t="s">
        <v>1326</v>
      </c>
      <c r="F840" s="466" t="s">
        <v>1074</v>
      </c>
      <c r="G840" s="344"/>
      <c r="H840" s="344"/>
      <c r="I840" s="344"/>
      <c r="J840" s="344"/>
      <c r="K840" s="344"/>
      <c r="L840" s="344"/>
      <c r="M840" s="344"/>
      <c r="N840" s="344"/>
      <c r="O840" s="344"/>
      <c r="P840" s="344"/>
      <c r="Q840" s="344"/>
      <c r="R840" s="344"/>
      <c r="S840" s="344"/>
      <c r="T840" s="344"/>
      <c r="U840" s="344"/>
      <c r="V840" s="344"/>
      <c r="W840" s="344"/>
      <c r="X840" s="344"/>
      <c r="Y840" s="344"/>
      <c r="Z840" s="344"/>
    </row>
    <row r="841">
      <c r="A841" s="129"/>
      <c r="B841" s="9"/>
      <c r="C841" s="460">
        <v>2022.0</v>
      </c>
      <c r="D841" s="472" t="s">
        <v>1173</v>
      </c>
      <c r="E841" s="461" t="s">
        <v>1327</v>
      </c>
      <c r="F841" s="466" t="s">
        <v>1074</v>
      </c>
      <c r="G841" s="344"/>
      <c r="H841" s="344"/>
      <c r="I841" s="344"/>
      <c r="J841" s="344"/>
      <c r="K841" s="344"/>
      <c r="L841" s="344"/>
      <c r="M841" s="344"/>
      <c r="N841" s="344"/>
      <c r="O841" s="344"/>
      <c r="P841" s="344"/>
      <c r="Q841" s="344"/>
      <c r="R841" s="344"/>
      <c r="S841" s="344"/>
      <c r="T841" s="344"/>
      <c r="U841" s="344"/>
      <c r="V841" s="344"/>
      <c r="W841" s="344"/>
      <c r="X841" s="344"/>
      <c r="Y841" s="344"/>
      <c r="Z841" s="344"/>
    </row>
    <row r="842">
      <c r="A842" s="56"/>
      <c r="B842" s="11"/>
      <c r="C842" s="11"/>
      <c r="D842" s="472" t="s">
        <v>1328</v>
      </c>
      <c r="E842" s="461" t="s">
        <v>1329</v>
      </c>
      <c r="F842" s="466" t="s">
        <v>1074</v>
      </c>
      <c r="G842" s="344"/>
      <c r="H842" s="344"/>
      <c r="I842" s="344"/>
      <c r="J842" s="344"/>
      <c r="K842" s="344"/>
      <c r="L842" s="344"/>
      <c r="M842" s="344"/>
      <c r="N842" s="344"/>
      <c r="O842" s="344"/>
      <c r="P842" s="344"/>
      <c r="Q842" s="344"/>
      <c r="R842" s="344"/>
      <c r="S842" s="344"/>
      <c r="T842" s="344"/>
      <c r="U842" s="344"/>
      <c r="V842" s="344"/>
      <c r="W842" s="344"/>
      <c r="X842" s="344"/>
      <c r="Y842" s="344"/>
      <c r="Z842" s="344"/>
    </row>
    <row r="843">
      <c r="A843" s="464">
        <v>25.0</v>
      </c>
      <c r="B843" s="461" t="s">
        <v>757</v>
      </c>
      <c r="C843" s="465">
        <v>2022.0</v>
      </c>
      <c r="D843" s="461" t="s">
        <v>1330</v>
      </c>
      <c r="E843" s="461" t="s">
        <v>1331</v>
      </c>
      <c r="F843" s="466" t="s">
        <v>1074</v>
      </c>
      <c r="G843" s="344"/>
      <c r="H843" s="344"/>
      <c r="I843" s="344"/>
      <c r="J843" s="344"/>
      <c r="K843" s="344"/>
      <c r="L843" s="344"/>
      <c r="M843" s="344"/>
      <c r="N843" s="344"/>
      <c r="O843" s="344"/>
      <c r="P843" s="344"/>
      <c r="Q843" s="344"/>
      <c r="R843" s="344"/>
      <c r="S843" s="344"/>
      <c r="T843" s="344"/>
      <c r="U843" s="344"/>
      <c r="V843" s="344"/>
      <c r="W843" s="344"/>
      <c r="X843" s="344"/>
      <c r="Y843" s="344"/>
      <c r="Z843" s="344"/>
    </row>
    <row r="844">
      <c r="A844" s="458">
        <v>26.0</v>
      </c>
      <c r="B844" s="459" t="s">
        <v>760</v>
      </c>
      <c r="C844" s="465">
        <v>2024.0</v>
      </c>
      <c r="D844" s="472" t="s">
        <v>1332</v>
      </c>
      <c r="E844" s="461" t="s">
        <v>1333</v>
      </c>
      <c r="F844" s="466" t="s">
        <v>1074</v>
      </c>
      <c r="G844" s="344"/>
      <c r="H844" s="344"/>
      <c r="I844" s="344"/>
      <c r="J844" s="344"/>
      <c r="K844" s="344"/>
      <c r="L844" s="344"/>
      <c r="M844" s="344"/>
      <c r="N844" s="344"/>
      <c r="O844" s="344"/>
      <c r="P844" s="344"/>
      <c r="Q844" s="344"/>
      <c r="R844" s="344"/>
      <c r="S844" s="344"/>
      <c r="T844" s="344"/>
      <c r="U844" s="344"/>
      <c r="V844" s="344"/>
      <c r="W844" s="344"/>
      <c r="X844" s="344"/>
      <c r="Y844" s="344"/>
      <c r="Z844" s="344"/>
    </row>
    <row r="845">
      <c r="A845" s="129"/>
      <c r="B845" s="9"/>
      <c r="C845" s="460">
        <v>2023.0</v>
      </c>
      <c r="D845" s="461" t="s">
        <v>1125</v>
      </c>
      <c r="E845" s="461" t="s">
        <v>1126</v>
      </c>
      <c r="F845" s="466" t="s">
        <v>1074</v>
      </c>
      <c r="G845" s="344"/>
      <c r="H845" s="344"/>
      <c r="I845" s="344"/>
      <c r="J845" s="344"/>
      <c r="K845" s="344"/>
      <c r="L845" s="344"/>
      <c r="M845" s="344"/>
      <c r="N845" s="344"/>
      <c r="O845" s="344"/>
      <c r="P845" s="344"/>
      <c r="Q845" s="344"/>
      <c r="R845" s="344"/>
      <c r="S845" s="344"/>
      <c r="T845" s="344"/>
      <c r="U845" s="344"/>
      <c r="V845" s="344"/>
      <c r="W845" s="344"/>
      <c r="X845" s="344"/>
      <c r="Y845" s="344"/>
      <c r="Z845" s="344"/>
    </row>
    <row r="846">
      <c r="A846" s="129"/>
      <c r="B846" s="9"/>
      <c r="C846" s="9"/>
      <c r="D846" s="472" t="s">
        <v>1334</v>
      </c>
      <c r="E846" s="461" t="s">
        <v>1335</v>
      </c>
      <c r="F846" s="465"/>
      <c r="G846" s="344"/>
      <c r="H846" s="344"/>
      <c r="I846" s="344"/>
      <c r="J846" s="344"/>
      <c r="K846" s="344"/>
      <c r="L846" s="344"/>
      <c r="M846" s="344"/>
      <c r="N846" s="344"/>
      <c r="O846" s="344"/>
      <c r="P846" s="344"/>
      <c r="Q846" s="344"/>
      <c r="R846" s="344"/>
      <c r="S846" s="344"/>
      <c r="T846" s="344"/>
      <c r="U846" s="344"/>
      <c r="V846" s="344"/>
      <c r="W846" s="344"/>
      <c r="X846" s="344"/>
      <c r="Y846" s="344"/>
      <c r="Z846" s="344"/>
    </row>
    <row r="847">
      <c r="A847" s="129"/>
      <c r="B847" s="9"/>
      <c r="C847" s="9"/>
      <c r="D847" s="472" t="s">
        <v>1336</v>
      </c>
      <c r="E847" s="461" t="s">
        <v>1337</v>
      </c>
      <c r="F847" s="466" t="s">
        <v>1074</v>
      </c>
      <c r="G847" s="344"/>
      <c r="H847" s="344"/>
      <c r="I847" s="344"/>
      <c r="J847" s="344"/>
      <c r="K847" s="344"/>
      <c r="L847" s="344"/>
      <c r="M847" s="344"/>
      <c r="N847" s="344"/>
      <c r="O847" s="344"/>
      <c r="P847" s="344"/>
      <c r="Q847" s="344"/>
      <c r="R847" s="344"/>
      <c r="S847" s="344"/>
      <c r="T847" s="344"/>
      <c r="U847" s="344"/>
      <c r="V847" s="344"/>
      <c r="W847" s="344"/>
      <c r="X847" s="344"/>
      <c r="Y847" s="344"/>
      <c r="Z847" s="344"/>
    </row>
    <row r="848">
      <c r="A848" s="129"/>
      <c r="B848" s="9"/>
      <c r="C848" s="11"/>
      <c r="D848" s="461" t="s">
        <v>1338</v>
      </c>
      <c r="E848" s="461" t="s">
        <v>1339</v>
      </c>
      <c r="F848" s="462" t="s">
        <v>1074</v>
      </c>
      <c r="G848" s="344"/>
      <c r="H848" s="344"/>
      <c r="I848" s="344"/>
      <c r="J848" s="344"/>
      <c r="K848" s="344"/>
      <c r="L848" s="344"/>
      <c r="M848" s="344"/>
      <c r="N848" s="344"/>
      <c r="O848" s="344"/>
      <c r="P848" s="344"/>
      <c r="Q848" s="344"/>
      <c r="R848" s="344"/>
      <c r="S848" s="344"/>
      <c r="T848" s="344"/>
      <c r="U848" s="344"/>
      <c r="V848" s="344"/>
      <c r="W848" s="344"/>
      <c r="X848" s="344"/>
      <c r="Y848" s="344"/>
      <c r="Z848" s="344"/>
    </row>
    <row r="849">
      <c r="A849" s="129"/>
      <c r="B849" s="9"/>
      <c r="C849" s="460">
        <v>2022.0</v>
      </c>
      <c r="D849" s="461" t="s">
        <v>1340</v>
      </c>
      <c r="E849" s="461" t="s">
        <v>1341</v>
      </c>
      <c r="F849" s="463" t="s">
        <v>1085</v>
      </c>
      <c r="G849" s="344"/>
      <c r="H849" s="344"/>
      <c r="I849" s="344"/>
      <c r="J849" s="344"/>
      <c r="K849" s="344"/>
      <c r="L849" s="344"/>
      <c r="M849" s="344"/>
      <c r="N849" s="344"/>
      <c r="O849" s="344"/>
      <c r="P849" s="344"/>
      <c r="Q849" s="344"/>
      <c r="R849" s="344"/>
      <c r="S849" s="344"/>
      <c r="T849" s="344"/>
      <c r="U849" s="344"/>
      <c r="V849" s="344"/>
      <c r="W849" s="344"/>
      <c r="X849" s="344"/>
      <c r="Y849" s="344"/>
      <c r="Z849" s="344"/>
    </row>
    <row r="850">
      <c r="A850" s="129"/>
      <c r="B850" s="9"/>
      <c r="C850" s="9"/>
      <c r="D850" s="461" t="s">
        <v>1342</v>
      </c>
      <c r="E850" s="461" t="s">
        <v>1343</v>
      </c>
      <c r="F850" s="463" t="s">
        <v>1085</v>
      </c>
      <c r="G850" s="344"/>
      <c r="H850" s="344"/>
      <c r="I850" s="344"/>
      <c r="J850" s="344"/>
      <c r="K850" s="344"/>
      <c r="L850" s="344"/>
      <c r="M850" s="344"/>
      <c r="N850" s="344"/>
      <c r="O850" s="344"/>
      <c r="P850" s="344"/>
      <c r="Q850" s="344"/>
      <c r="R850" s="344"/>
      <c r="S850" s="344"/>
      <c r="T850" s="344"/>
      <c r="U850" s="344"/>
      <c r="V850" s="344"/>
      <c r="W850" s="344"/>
      <c r="X850" s="344"/>
      <c r="Y850" s="344"/>
      <c r="Z850" s="344"/>
    </row>
    <row r="851">
      <c r="A851" s="56"/>
      <c r="B851" s="11"/>
      <c r="C851" s="11"/>
      <c r="D851" s="461" t="s">
        <v>1344</v>
      </c>
      <c r="E851" s="461" t="s">
        <v>1345</v>
      </c>
      <c r="F851" s="463" t="s">
        <v>1085</v>
      </c>
      <c r="G851" s="344"/>
      <c r="H851" s="344"/>
      <c r="I851" s="344"/>
      <c r="J851" s="344"/>
      <c r="K851" s="344"/>
      <c r="L851" s="344"/>
      <c r="M851" s="344"/>
      <c r="N851" s="344"/>
      <c r="O851" s="344"/>
      <c r="P851" s="344"/>
      <c r="Q851" s="344"/>
      <c r="R851" s="344"/>
      <c r="S851" s="344"/>
      <c r="T851" s="344"/>
      <c r="U851" s="344"/>
      <c r="V851" s="344"/>
      <c r="W851" s="344"/>
      <c r="X851" s="344"/>
      <c r="Y851" s="344"/>
      <c r="Z851" s="344"/>
    </row>
    <row r="852">
      <c r="A852" s="458">
        <v>27.0</v>
      </c>
      <c r="B852" s="459" t="s">
        <v>762</v>
      </c>
      <c r="C852" s="465">
        <v>2023.0</v>
      </c>
      <c r="D852" s="461" t="s">
        <v>1158</v>
      </c>
      <c r="E852" s="461" t="s">
        <v>1346</v>
      </c>
      <c r="F852" s="466" t="s">
        <v>1074</v>
      </c>
      <c r="G852" s="344"/>
      <c r="H852" s="344"/>
      <c r="I852" s="344"/>
      <c r="J852" s="344"/>
      <c r="K852" s="344"/>
      <c r="L852" s="344"/>
      <c r="M852" s="344"/>
      <c r="N852" s="344"/>
      <c r="O852" s="344"/>
      <c r="P852" s="344"/>
      <c r="Q852" s="344"/>
      <c r="R852" s="344"/>
      <c r="S852" s="344"/>
      <c r="T852" s="344"/>
      <c r="U852" s="344"/>
      <c r="V852" s="344"/>
      <c r="W852" s="344"/>
      <c r="X852" s="344"/>
      <c r="Y852" s="344"/>
      <c r="Z852" s="344"/>
    </row>
    <row r="853">
      <c r="A853" s="56"/>
      <c r="B853" s="11"/>
      <c r="C853" s="465">
        <v>2022.0</v>
      </c>
      <c r="D853" s="461" t="s">
        <v>1166</v>
      </c>
      <c r="E853" s="461" t="s">
        <v>1347</v>
      </c>
      <c r="F853" s="463" t="s">
        <v>1085</v>
      </c>
      <c r="G853" s="344"/>
      <c r="H853" s="344"/>
      <c r="I853" s="344"/>
      <c r="J853" s="344"/>
      <c r="K853" s="344"/>
      <c r="L853" s="344"/>
      <c r="M853" s="344"/>
      <c r="N853" s="344"/>
      <c r="O853" s="344"/>
      <c r="P853" s="344"/>
      <c r="Q853" s="344"/>
      <c r="R853" s="344"/>
      <c r="S853" s="344"/>
      <c r="T853" s="344"/>
      <c r="U853" s="344"/>
      <c r="V853" s="344"/>
      <c r="W853" s="344"/>
      <c r="X853" s="344"/>
      <c r="Y853" s="344"/>
      <c r="Z853" s="344"/>
    </row>
    <row r="854">
      <c r="A854" s="458">
        <v>28.0</v>
      </c>
      <c r="B854" s="459" t="s">
        <v>763</v>
      </c>
      <c r="C854" s="465">
        <v>2024.0</v>
      </c>
      <c r="D854" s="461" t="s">
        <v>1291</v>
      </c>
      <c r="E854" s="461" t="s">
        <v>1292</v>
      </c>
      <c r="F854" s="466" t="s">
        <v>1074</v>
      </c>
      <c r="G854" s="344"/>
      <c r="H854" s="344"/>
      <c r="I854" s="344"/>
      <c r="J854" s="344"/>
      <c r="K854" s="344"/>
      <c r="L854" s="344"/>
      <c r="M854" s="344"/>
      <c r="N854" s="344"/>
      <c r="O854" s="344"/>
      <c r="P854" s="344"/>
      <c r="Q854" s="344"/>
      <c r="R854" s="344"/>
      <c r="S854" s="344"/>
      <c r="T854" s="344"/>
      <c r="U854" s="344"/>
      <c r="V854" s="344"/>
      <c r="W854" s="344"/>
      <c r="X854" s="344"/>
      <c r="Y854" s="344"/>
      <c r="Z854" s="344"/>
    </row>
    <row r="855">
      <c r="A855" s="129"/>
      <c r="B855" s="9"/>
      <c r="C855" s="460">
        <v>2023.0</v>
      </c>
      <c r="D855" s="461" t="s">
        <v>1302</v>
      </c>
      <c r="E855" s="461" t="s">
        <v>1091</v>
      </c>
      <c r="F855" s="462" t="s">
        <v>1074</v>
      </c>
      <c r="G855" s="344"/>
      <c r="H855" s="344"/>
      <c r="I855" s="344"/>
      <c r="J855" s="344"/>
      <c r="K855" s="344"/>
      <c r="L855" s="344"/>
      <c r="M855" s="344"/>
      <c r="N855" s="344"/>
      <c r="O855" s="344"/>
      <c r="P855" s="344"/>
      <c r="Q855" s="344"/>
      <c r="R855" s="344"/>
      <c r="S855" s="344"/>
      <c r="T855" s="344"/>
      <c r="U855" s="344"/>
      <c r="V855" s="344"/>
      <c r="W855" s="344"/>
      <c r="X855" s="344"/>
      <c r="Y855" s="344"/>
      <c r="Z855" s="344"/>
    </row>
    <row r="856">
      <c r="A856" s="129"/>
      <c r="B856" s="9"/>
      <c r="C856" s="9"/>
      <c r="D856" s="461" t="s">
        <v>1348</v>
      </c>
      <c r="E856" s="461" t="s">
        <v>1078</v>
      </c>
      <c r="F856" s="462" t="s">
        <v>1074</v>
      </c>
      <c r="G856" s="344"/>
      <c r="H856" s="344"/>
      <c r="I856" s="344"/>
      <c r="J856" s="344"/>
      <c r="K856" s="344"/>
      <c r="L856" s="344"/>
      <c r="M856" s="344"/>
      <c r="N856" s="344"/>
      <c r="O856" s="344"/>
      <c r="P856" s="344"/>
      <c r="Q856" s="344"/>
      <c r="R856" s="344"/>
      <c r="S856" s="344"/>
      <c r="T856" s="344"/>
      <c r="U856" s="344"/>
      <c r="V856" s="344"/>
      <c r="W856" s="344"/>
      <c r="X856" s="344"/>
      <c r="Y856" s="344"/>
      <c r="Z856" s="344"/>
    </row>
    <row r="857">
      <c r="A857" s="129"/>
      <c r="B857" s="9"/>
      <c r="C857" s="9"/>
      <c r="D857" s="461" t="s">
        <v>1224</v>
      </c>
      <c r="E857" s="461" t="s">
        <v>1095</v>
      </c>
      <c r="F857" s="462" t="s">
        <v>1074</v>
      </c>
      <c r="G857" s="344"/>
      <c r="H857" s="344"/>
      <c r="I857" s="344"/>
      <c r="J857" s="344"/>
      <c r="K857" s="344"/>
      <c r="L857" s="344"/>
      <c r="M857" s="344"/>
      <c r="N857" s="344"/>
      <c r="O857" s="344"/>
      <c r="P857" s="344"/>
      <c r="Q857" s="344"/>
      <c r="R857" s="344"/>
      <c r="S857" s="344"/>
      <c r="T857" s="344"/>
      <c r="U857" s="344"/>
      <c r="V857" s="344"/>
      <c r="W857" s="344"/>
      <c r="X857" s="344"/>
      <c r="Y857" s="344"/>
      <c r="Z857" s="344"/>
    </row>
    <row r="858">
      <c r="A858" s="129"/>
      <c r="B858" s="9"/>
      <c r="C858" s="9"/>
      <c r="D858" s="461" t="s">
        <v>1222</v>
      </c>
      <c r="E858" s="461" t="s">
        <v>1097</v>
      </c>
      <c r="F858" s="462" t="s">
        <v>1074</v>
      </c>
      <c r="G858" s="344"/>
      <c r="H858" s="344"/>
      <c r="I858" s="344"/>
      <c r="J858" s="344"/>
      <c r="K858" s="344"/>
      <c r="L858" s="344"/>
      <c r="M858" s="344"/>
      <c r="N858" s="344"/>
      <c r="O858" s="344"/>
      <c r="P858" s="344"/>
      <c r="Q858" s="344"/>
      <c r="R858" s="344"/>
      <c r="S858" s="344"/>
      <c r="T858" s="344"/>
      <c r="U858" s="344"/>
      <c r="V858" s="344"/>
      <c r="W858" s="344"/>
      <c r="X858" s="344"/>
      <c r="Y858" s="344"/>
      <c r="Z858" s="344"/>
    </row>
    <row r="859">
      <c r="A859" s="129"/>
      <c r="B859" s="9"/>
      <c r="C859" s="9"/>
      <c r="D859" s="461" t="s">
        <v>1265</v>
      </c>
      <c r="E859" s="461" t="s">
        <v>1349</v>
      </c>
      <c r="F859" s="462" t="s">
        <v>1074</v>
      </c>
      <c r="G859" s="344"/>
      <c r="H859" s="344"/>
      <c r="I859" s="344"/>
      <c r="J859" s="344"/>
      <c r="K859" s="344"/>
      <c r="L859" s="344"/>
      <c r="M859" s="344"/>
      <c r="N859" s="344"/>
      <c r="O859" s="344"/>
      <c r="P859" s="344"/>
      <c r="Q859" s="344"/>
      <c r="R859" s="344"/>
      <c r="S859" s="344"/>
      <c r="T859" s="344"/>
      <c r="U859" s="344"/>
      <c r="V859" s="344"/>
      <c r="W859" s="344"/>
      <c r="X859" s="344"/>
      <c r="Y859" s="344"/>
      <c r="Z859" s="344"/>
    </row>
    <row r="860">
      <c r="A860" s="56"/>
      <c r="B860" s="11"/>
      <c r="C860" s="11"/>
      <c r="D860" s="461" t="s">
        <v>1075</v>
      </c>
      <c r="E860" s="461" t="s">
        <v>1076</v>
      </c>
      <c r="F860" s="462" t="s">
        <v>1074</v>
      </c>
      <c r="G860" s="344"/>
      <c r="H860" s="344"/>
      <c r="I860" s="344"/>
      <c r="J860" s="344"/>
      <c r="K860" s="344"/>
      <c r="L860" s="344"/>
      <c r="M860" s="344"/>
      <c r="N860" s="344"/>
      <c r="O860" s="344"/>
      <c r="P860" s="344"/>
      <c r="Q860" s="344"/>
      <c r="R860" s="344"/>
      <c r="S860" s="344"/>
      <c r="T860" s="344"/>
      <c r="U860" s="344"/>
      <c r="V860" s="344"/>
      <c r="W860" s="344"/>
      <c r="X860" s="344"/>
      <c r="Y860" s="344"/>
      <c r="Z860" s="344"/>
    </row>
    <row r="861">
      <c r="A861" s="458">
        <v>29.0</v>
      </c>
      <c r="B861" s="459" t="s">
        <v>868</v>
      </c>
      <c r="C861" s="465">
        <v>2023.0</v>
      </c>
      <c r="D861" s="461" t="s">
        <v>1350</v>
      </c>
      <c r="E861" s="461" t="s">
        <v>1351</v>
      </c>
      <c r="F861" s="466" t="s">
        <v>1074</v>
      </c>
      <c r="G861" s="344"/>
      <c r="H861" s="344"/>
      <c r="I861" s="344"/>
      <c r="J861" s="344"/>
      <c r="K861" s="344"/>
      <c r="L861" s="344"/>
      <c r="M861" s="344"/>
      <c r="N861" s="344"/>
      <c r="O861" s="344"/>
      <c r="P861" s="344"/>
      <c r="Q861" s="344"/>
      <c r="R861" s="344"/>
      <c r="S861" s="344"/>
      <c r="T861" s="344"/>
      <c r="U861" s="344"/>
      <c r="V861" s="344"/>
      <c r="W861" s="344"/>
      <c r="X861" s="344"/>
      <c r="Y861" s="344"/>
      <c r="Z861" s="344"/>
    </row>
    <row r="862">
      <c r="A862" s="56"/>
      <c r="B862" s="11"/>
      <c r="C862" s="465">
        <v>2022.0</v>
      </c>
      <c r="D862" s="461" t="s">
        <v>1352</v>
      </c>
      <c r="E862" s="461" t="s">
        <v>1353</v>
      </c>
      <c r="F862" s="466" t="s">
        <v>1074</v>
      </c>
      <c r="G862" s="344"/>
      <c r="H862" s="344"/>
      <c r="I862" s="344"/>
      <c r="J862" s="344"/>
      <c r="K862" s="344"/>
      <c r="L862" s="344"/>
      <c r="M862" s="344"/>
      <c r="N862" s="344"/>
      <c r="O862" s="344"/>
      <c r="P862" s="344"/>
      <c r="Q862" s="344"/>
      <c r="R862" s="344"/>
      <c r="S862" s="344"/>
      <c r="T862" s="344"/>
      <c r="U862" s="344"/>
      <c r="V862" s="344"/>
      <c r="W862" s="344"/>
      <c r="X862" s="344"/>
      <c r="Y862" s="344"/>
      <c r="Z862" s="344"/>
    </row>
    <row r="863">
      <c r="A863" s="458">
        <v>30.0</v>
      </c>
      <c r="B863" s="459" t="s">
        <v>767</v>
      </c>
      <c r="C863" s="460">
        <v>2024.0</v>
      </c>
      <c r="D863" s="472" t="s">
        <v>1354</v>
      </c>
      <c r="E863" s="461" t="s">
        <v>1355</v>
      </c>
      <c r="F863" s="466" t="s">
        <v>1074</v>
      </c>
      <c r="G863" s="344"/>
      <c r="H863" s="344"/>
      <c r="I863" s="344"/>
      <c r="J863" s="344"/>
      <c r="K863" s="344"/>
      <c r="L863" s="344"/>
      <c r="M863" s="344"/>
      <c r="N863" s="344"/>
      <c r="O863" s="344"/>
      <c r="P863" s="344"/>
      <c r="Q863" s="344"/>
      <c r="R863" s="344"/>
      <c r="S863" s="344"/>
      <c r="T863" s="344"/>
      <c r="U863" s="344"/>
      <c r="V863" s="344"/>
      <c r="W863" s="344"/>
      <c r="X863" s="344"/>
      <c r="Y863" s="344"/>
      <c r="Z863" s="344"/>
    </row>
    <row r="864">
      <c r="A864" s="129"/>
      <c r="B864" s="9"/>
      <c r="C864" s="9"/>
      <c r="D864" s="472" t="s">
        <v>1356</v>
      </c>
      <c r="E864" s="461" t="s">
        <v>1357</v>
      </c>
      <c r="F864" s="466" t="s">
        <v>1074</v>
      </c>
      <c r="G864" s="344"/>
      <c r="H864" s="344"/>
      <c r="I864" s="344"/>
      <c r="J864" s="344"/>
      <c r="K864" s="344"/>
      <c r="L864" s="344"/>
      <c r="M864" s="344"/>
      <c r="N864" s="344"/>
      <c r="O864" s="344"/>
      <c r="P864" s="344"/>
      <c r="Q864" s="344"/>
      <c r="R864" s="344"/>
      <c r="S864" s="344"/>
      <c r="T864" s="344"/>
      <c r="U864" s="344"/>
      <c r="V864" s="344"/>
      <c r="W864" s="344"/>
      <c r="X864" s="344"/>
      <c r="Y864" s="344"/>
      <c r="Z864" s="344"/>
    </row>
    <row r="865">
      <c r="A865" s="129"/>
      <c r="B865" s="9"/>
      <c r="C865" s="9"/>
      <c r="D865" s="472" t="s">
        <v>1358</v>
      </c>
      <c r="E865" s="461" t="s">
        <v>1359</v>
      </c>
      <c r="F865" s="466" t="s">
        <v>1074</v>
      </c>
      <c r="G865" s="344"/>
      <c r="H865" s="344"/>
      <c r="I865" s="344"/>
      <c r="J865" s="344"/>
      <c r="K865" s="344"/>
      <c r="L865" s="344"/>
      <c r="M865" s="344"/>
      <c r="N865" s="344"/>
      <c r="O865" s="344"/>
      <c r="P865" s="344"/>
      <c r="Q865" s="344"/>
      <c r="R865" s="344"/>
      <c r="S865" s="344"/>
      <c r="T865" s="344"/>
      <c r="U865" s="344"/>
      <c r="V865" s="344"/>
      <c r="W865" s="344"/>
      <c r="X865" s="344"/>
      <c r="Y865" s="344"/>
      <c r="Z865" s="344"/>
    </row>
    <row r="866">
      <c r="A866" s="129"/>
      <c r="B866" s="9"/>
      <c r="C866" s="11"/>
      <c r="D866" s="472" t="s">
        <v>1360</v>
      </c>
      <c r="E866" s="461" t="s">
        <v>1361</v>
      </c>
      <c r="F866" s="466" t="s">
        <v>1074</v>
      </c>
      <c r="G866" s="344"/>
      <c r="H866" s="344"/>
      <c r="I866" s="344"/>
      <c r="J866" s="344"/>
      <c r="K866" s="344"/>
      <c r="L866" s="344"/>
      <c r="M866" s="344"/>
      <c r="N866" s="344"/>
      <c r="O866" s="344"/>
      <c r="P866" s="344"/>
      <c r="Q866" s="344"/>
      <c r="R866" s="344"/>
      <c r="S866" s="344"/>
      <c r="T866" s="344"/>
      <c r="U866" s="344"/>
      <c r="V866" s="344"/>
      <c r="W866" s="344"/>
      <c r="X866" s="344"/>
      <c r="Y866" s="344"/>
      <c r="Z866" s="344"/>
    </row>
    <row r="867">
      <c r="A867" s="129"/>
      <c r="B867" s="9"/>
      <c r="C867" s="460">
        <v>2023.0</v>
      </c>
      <c r="D867" s="461" t="s">
        <v>1277</v>
      </c>
      <c r="E867" s="461" t="s">
        <v>1278</v>
      </c>
      <c r="F867" s="466" t="s">
        <v>1074</v>
      </c>
      <c r="G867" s="344"/>
      <c r="H867" s="344"/>
      <c r="I867" s="344"/>
      <c r="J867" s="344"/>
      <c r="K867" s="344"/>
      <c r="L867" s="344"/>
      <c r="M867" s="344"/>
      <c r="N867" s="344"/>
      <c r="O867" s="344"/>
      <c r="P867" s="344"/>
      <c r="Q867" s="344"/>
      <c r="R867" s="344"/>
      <c r="S867" s="344"/>
      <c r="T867" s="344"/>
      <c r="U867" s="344"/>
      <c r="V867" s="344"/>
      <c r="W867" s="344"/>
      <c r="X867" s="344"/>
      <c r="Y867" s="344"/>
      <c r="Z867" s="344"/>
    </row>
    <row r="868">
      <c r="A868" s="129"/>
      <c r="B868" s="9"/>
      <c r="C868" s="9"/>
      <c r="D868" s="461" t="s">
        <v>1362</v>
      </c>
      <c r="E868" s="461" t="s">
        <v>1363</v>
      </c>
      <c r="F868" s="466" t="s">
        <v>1074</v>
      </c>
      <c r="G868" s="344"/>
      <c r="H868" s="344"/>
      <c r="I868" s="344"/>
      <c r="J868" s="344"/>
      <c r="K868" s="344"/>
      <c r="L868" s="344"/>
      <c r="M868" s="344"/>
      <c r="N868" s="344"/>
      <c r="O868" s="344"/>
      <c r="P868" s="344"/>
      <c r="Q868" s="344"/>
      <c r="R868" s="344"/>
      <c r="S868" s="344"/>
      <c r="T868" s="344"/>
      <c r="U868" s="344"/>
      <c r="V868" s="344"/>
      <c r="W868" s="344"/>
      <c r="X868" s="344"/>
      <c r="Y868" s="344"/>
      <c r="Z868" s="344"/>
    </row>
    <row r="869">
      <c r="A869" s="129"/>
      <c r="B869" s="9"/>
      <c r="C869" s="9"/>
      <c r="D869" s="461" t="s">
        <v>1279</v>
      </c>
      <c r="E869" s="461" t="s">
        <v>1280</v>
      </c>
      <c r="F869" s="466" t="s">
        <v>1074</v>
      </c>
      <c r="G869" s="344"/>
      <c r="H869" s="344"/>
      <c r="I869" s="344"/>
      <c r="J869" s="344"/>
      <c r="K869" s="344"/>
      <c r="L869" s="344"/>
      <c r="M869" s="344"/>
      <c r="N869" s="344"/>
      <c r="O869" s="344"/>
      <c r="P869" s="344"/>
      <c r="Q869" s="344"/>
      <c r="R869" s="344"/>
      <c r="S869" s="344"/>
      <c r="T869" s="344"/>
      <c r="U869" s="344"/>
      <c r="V869" s="344"/>
      <c r="W869" s="344"/>
      <c r="X869" s="344"/>
      <c r="Y869" s="344"/>
      <c r="Z869" s="344"/>
    </row>
    <row r="870">
      <c r="A870" s="129"/>
      <c r="B870" s="9"/>
      <c r="C870" s="11"/>
      <c r="D870" s="461" t="s">
        <v>1100</v>
      </c>
      <c r="E870" s="461" t="s">
        <v>1364</v>
      </c>
      <c r="F870" s="466" t="s">
        <v>1074</v>
      </c>
      <c r="G870" s="344"/>
      <c r="H870" s="344"/>
      <c r="I870" s="344"/>
      <c r="J870" s="344"/>
      <c r="K870" s="344"/>
      <c r="L870" s="344"/>
      <c r="M870" s="344"/>
      <c r="N870" s="344"/>
      <c r="O870" s="344"/>
      <c r="P870" s="344"/>
      <c r="Q870" s="344"/>
      <c r="R870" s="344"/>
      <c r="S870" s="344"/>
      <c r="T870" s="344"/>
      <c r="U870" s="344"/>
      <c r="V870" s="344"/>
      <c r="W870" s="344"/>
      <c r="X870" s="344"/>
      <c r="Y870" s="344"/>
      <c r="Z870" s="344"/>
    </row>
    <row r="871">
      <c r="A871" s="56"/>
      <c r="B871" s="11"/>
      <c r="C871" s="465">
        <v>2022.0</v>
      </c>
      <c r="D871" s="472" t="s">
        <v>1365</v>
      </c>
      <c r="E871" s="461" t="s">
        <v>1366</v>
      </c>
      <c r="F871" s="466" t="s">
        <v>1074</v>
      </c>
      <c r="G871" s="344"/>
      <c r="H871" s="344"/>
      <c r="I871" s="344"/>
      <c r="J871" s="344"/>
      <c r="K871" s="344"/>
      <c r="L871" s="344"/>
      <c r="M871" s="344"/>
      <c r="N871" s="344"/>
      <c r="O871" s="344"/>
      <c r="P871" s="344"/>
      <c r="Q871" s="344"/>
      <c r="R871" s="344"/>
      <c r="S871" s="344"/>
      <c r="T871" s="344"/>
      <c r="U871" s="344"/>
      <c r="V871" s="344"/>
      <c r="W871" s="344"/>
      <c r="X871" s="344"/>
      <c r="Y871" s="344"/>
      <c r="Z871" s="344"/>
    </row>
    <row r="872">
      <c r="A872" s="458">
        <v>31.0</v>
      </c>
      <c r="B872" s="459" t="s">
        <v>768</v>
      </c>
      <c r="C872" s="460">
        <v>2024.0</v>
      </c>
      <c r="D872" s="472" t="s">
        <v>1367</v>
      </c>
      <c r="E872" s="461" t="s">
        <v>1368</v>
      </c>
      <c r="F872" s="466" t="s">
        <v>1074</v>
      </c>
      <c r="G872" s="344"/>
      <c r="H872" s="344"/>
      <c r="I872" s="344"/>
      <c r="J872" s="344"/>
      <c r="K872" s="344"/>
      <c r="L872" s="344"/>
      <c r="M872" s="344"/>
      <c r="N872" s="344"/>
      <c r="O872" s="344"/>
      <c r="P872" s="344"/>
      <c r="Q872" s="344"/>
      <c r="R872" s="344"/>
      <c r="S872" s="344"/>
      <c r="T872" s="344"/>
      <c r="U872" s="344"/>
      <c r="V872" s="344"/>
      <c r="W872" s="344"/>
      <c r="X872" s="344"/>
      <c r="Y872" s="344"/>
      <c r="Z872" s="344"/>
    </row>
    <row r="873">
      <c r="A873" s="129"/>
      <c r="B873" s="9"/>
      <c r="C873" s="9"/>
      <c r="D873" s="472" t="s">
        <v>1117</v>
      </c>
      <c r="E873" s="461" t="s">
        <v>1118</v>
      </c>
      <c r="F873" s="466" t="s">
        <v>1074</v>
      </c>
      <c r="G873" s="344"/>
      <c r="H873" s="344"/>
      <c r="I873" s="344"/>
      <c r="J873" s="344"/>
      <c r="K873" s="344"/>
      <c r="L873" s="344"/>
      <c r="M873" s="344"/>
      <c r="N873" s="344"/>
      <c r="O873" s="344"/>
      <c r="P873" s="344"/>
      <c r="Q873" s="344"/>
      <c r="R873" s="344"/>
      <c r="S873" s="344"/>
      <c r="T873" s="344"/>
      <c r="U873" s="344"/>
      <c r="V873" s="344"/>
      <c r="W873" s="344"/>
      <c r="X873" s="344"/>
      <c r="Y873" s="344"/>
      <c r="Z873" s="344"/>
    </row>
    <row r="874">
      <c r="A874" s="129"/>
      <c r="B874" s="9"/>
      <c r="C874" s="11"/>
      <c r="D874" s="472" t="s">
        <v>1369</v>
      </c>
      <c r="E874" s="461" t="s">
        <v>1370</v>
      </c>
      <c r="F874" s="466" t="s">
        <v>1074</v>
      </c>
      <c r="G874" s="344"/>
      <c r="H874" s="344"/>
      <c r="I874" s="344"/>
      <c r="J874" s="344"/>
      <c r="K874" s="344"/>
      <c r="L874" s="344"/>
      <c r="M874" s="344"/>
      <c r="N874" s="344"/>
      <c r="O874" s="344"/>
      <c r="P874" s="344"/>
      <c r="Q874" s="344"/>
      <c r="R874" s="344"/>
      <c r="S874" s="344"/>
      <c r="T874" s="344"/>
      <c r="U874" s="344"/>
      <c r="V874" s="344"/>
      <c r="W874" s="344"/>
      <c r="X874" s="344"/>
      <c r="Y874" s="344"/>
      <c r="Z874" s="344"/>
    </row>
    <row r="875">
      <c r="A875" s="129"/>
      <c r="B875" s="9"/>
      <c r="C875" s="460">
        <v>2023.0</v>
      </c>
      <c r="D875" s="461" t="s">
        <v>1371</v>
      </c>
      <c r="E875" s="461" t="s">
        <v>1076</v>
      </c>
      <c r="F875" s="462" t="s">
        <v>1074</v>
      </c>
      <c r="G875" s="344"/>
      <c r="H875" s="344"/>
      <c r="I875" s="344"/>
      <c r="J875" s="344"/>
      <c r="K875" s="344"/>
      <c r="L875" s="344"/>
      <c r="M875" s="344"/>
      <c r="N875" s="344"/>
      <c r="O875" s="344"/>
      <c r="P875" s="344"/>
      <c r="Q875" s="344"/>
      <c r="R875" s="344"/>
      <c r="S875" s="344"/>
      <c r="T875" s="344"/>
      <c r="U875" s="344"/>
      <c r="V875" s="344"/>
      <c r="W875" s="344"/>
      <c r="X875" s="344"/>
      <c r="Y875" s="344"/>
      <c r="Z875" s="344"/>
    </row>
    <row r="876">
      <c r="A876" s="129"/>
      <c r="B876" s="9"/>
      <c r="C876" s="9"/>
      <c r="D876" s="461" t="s">
        <v>1372</v>
      </c>
      <c r="E876" s="461" t="s">
        <v>1091</v>
      </c>
      <c r="F876" s="462" t="s">
        <v>1074</v>
      </c>
      <c r="G876" s="344"/>
      <c r="H876" s="344"/>
      <c r="I876" s="344"/>
      <c r="J876" s="344"/>
      <c r="K876" s="344"/>
      <c r="L876" s="344"/>
      <c r="M876" s="344"/>
      <c r="N876" s="344"/>
      <c r="O876" s="344"/>
      <c r="P876" s="344"/>
      <c r="Q876" s="344"/>
      <c r="R876" s="344"/>
      <c r="S876" s="344"/>
      <c r="T876" s="344"/>
      <c r="U876" s="344"/>
      <c r="V876" s="344"/>
      <c r="W876" s="344"/>
      <c r="X876" s="344"/>
      <c r="Y876" s="344"/>
      <c r="Z876" s="344"/>
    </row>
    <row r="877">
      <c r="A877" s="129"/>
      <c r="B877" s="9"/>
      <c r="C877" s="9"/>
      <c r="D877" s="461" t="s">
        <v>1373</v>
      </c>
      <c r="E877" s="461" t="s">
        <v>1374</v>
      </c>
      <c r="F877" s="462" t="s">
        <v>1074</v>
      </c>
      <c r="G877" s="344"/>
      <c r="H877" s="344"/>
      <c r="I877" s="344"/>
      <c r="J877" s="344"/>
      <c r="K877" s="344"/>
      <c r="L877" s="344"/>
      <c r="M877" s="344"/>
      <c r="N877" s="344"/>
      <c r="O877" s="344"/>
      <c r="P877" s="344"/>
      <c r="Q877" s="344"/>
      <c r="R877" s="344"/>
      <c r="S877" s="344"/>
      <c r="T877" s="344"/>
      <c r="U877" s="344"/>
      <c r="V877" s="344"/>
      <c r="W877" s="344"/>
      <c r="X877" s="344"/>
      <c r="Y877" s="344"/>
      <c r="Z877" s="344"/>
    </row>
    <row r="878">
      <c r="A878" s="129"/>
      <c r="B878" s="9"/>
      <c r="C878" s="9"/>
      <c r="D878" s="461" t="s">
        <v>1375</v>
      </c>
      <c r="E878" s="461" t="s">
        <v>1376</v>
      </c>
      <c r="F878" s="462" t="s">
        <v>1074</v>
      </c>
      <c r="G878" s="344"/>
      <c r="H878" s="344"/>
      <c r="I878" s="344"/>
      <c r="J878" s="344"/>
      <c r="K878" s="344"/>
      <c r="L878" s="344"/>
      <c r="M878" s="344"/>
      <c r="N878" s="344"/>
      <c r="O878" s="344"/>
      <c r="P878" s="344"/>
      <c r="Q878" s="344"/>
      <c r="R878" s="344"/>
      <c r="S878" s="344"/>
      <c r="T878" s="344"/>
      <c r="U878" s="344"/>
      <c r="V878" s="344"/>
      <c r="W878" s="344"/>
      <c r="X878" s="344"/>
      <c r="Y878" s="344"/>
      <c r="Z878" s="344"/>
    </row>
    <row r="879">
      <c r="A879" s="129"/>
      <c r="B879" s="9"/>
      <c r="C879" s="9"/>
      <c r="D879" s="461" t="s">
        <v>1377</v>
      </c>
      <c r="E879" s="461" t="s">
        <v>1141</v>
      </c>
      <c r="F879" s="462" t="s">
        <v>1074</v>
      </c>
      <c r="G879" s="344"/>
      <c r="H879" s="344"/>
      <c r="I879" s="344"/>
      <c r="J879" s="344"/>
      <c r="K879" s="344"/>
      <c r="L879" s="344"/>
      <c r="M879" s="344"/>
      <c r="N879" s="344"/>
      <c r="O879" s="344"/>
      <c r="P879" s="344"/>
      <c r="Q879" s="344"/>
      <c r="R879" s="344"/>
      <c r="S879" s="344"/>
      <c r="T879" s="344"/>
      <c r="U879" s="344"/>
      <c r="V879" s="344"/>
      <c r="W879" s="344"/>
      <c r="X879" s="344"/>
      <c r="Y879" s="344"/>
      <c r="Z879" s="344"/>
    </row>
    <row r="880">
      <c r="A880" s="129"/>
      <c r="B880" s="9"/>
      <c r="C880" s="9"/>
      <c r="D880" s="461" t="s">
        <v>1378</v>
      </c>
      <c r="E880" s="461" t="s">
        <v>1091</v>
      </c>
      <c r="F880" s="462" t="s">
        <v>1074</v>
      </c>
      <c r="G880" s="344"/>
      <c r="H880" s="344"/>
      <c r="I880" s="344"/>
      <c r="J880" s="344"/>
      <c r="K880" s="344"/>
      <c r="L880" s="344"/>
      <c r="M880" s="344"/>
      <c r="N880" s="344"/>
      <c r="O880" s="344"/>
      <c r="P880" s="344"/>
      <c r="Q880" s="344"/>
      <c r="R880" s="344"/>
      <c r="S880" s="344"/>
      <c r="T880" s="344"/>
      <c r="U880" s="344"/>
      <c r="V880" s="344"/>
      <c r="W880" s="344"/>
      <c r="X880" s="344"/>
      <c r="Y880" s="344"/>
      <c r="Z880" s="344"/>
    </row>
    <row r="881">
      <c r="A881" s="129"/>
      <c r="B881" s="9"/>
      <c r="C881" s="9"/>
      <c r="D881" s="461" t="s">
        <v>1379</v>
      </c>
      <c r="E881" s="461" t="s">
        <v>1380</v>
      </c>
      <c r="F881" s="462" t="s">
        <v>1074</v>
      </c>
      <c r="G881" s="344"/>
      <c r="H881" s="344"/>
      <c r="I881" s="344"/>
      <c r="J881" s="344"/>
      <c r="K881" s="344"/>
      <c r="L881" s="344"/>
      <c r="M881" s="344"/>
      <c r="N881" s="344"/>
      <c r="O881" s="344"/>
      <c r="P881" s="344"/>
      <c r="Q881" s="344"/>
      <c r="R881" s="344"/>
      <c r="S881" s="344"/>
      <c r="T881" s="344"/>
      <c r="U881" s="344"/>
      <c r="V881" s="344"/>
      <c r="W881" s="344"/>
      <c r="X881" s="344"/>
      <c r="Y881" s="344"/>
      <c r="Z881" s="344"/>
    </row>
    <row r="882">
      <c r="A882" s="129"/>
      <c r="B882" s="9"/>
      <c r="C882" s="11"/>
      <c r="D882" s="461" t="s">
        <v>1381</v>
      </c>
      <c r="E882" s="461" t="s">
        <v>1091</v>
      </c>
      <c r="F882" s="462" t="s">
        <v>1074</v>
      </c>
      <c r="G882" s="344"/>
      <c r="H882" s="344"/>
      <c r="I882" s="344"/>
      <c r="J882" s="344"/>
      <c r="K882" s="344"/>
      <c r="L882" s="344"/>
      <c r="M882" s="344"/>
      <c r="N882" s="344"/>
      <c r="O882" s="344"/>
      <c r="P882" s="344"/>
      <c r="Q882" s="344"/>
      <c r="R882" s="344"/>
      <c r="S882" s="344"/>
      <c r="T882" s="344"/>
      <c r="U882" s="344"/>
      <c r="V882" s="344"/>
      <c r="W882" s="344"/>
      <c r="X882" s="344"/>
      <c r="Y882" s="344"/>
      <c r="Z882" s="344"/>
    </row>
    <row r="883">
      <c r="A883" s="129"/>
      <c r="B883" s="9"/>
      <c r="C883" s="460">
        <v>2022.0</v>
      </c>
      <c r="D883" s="461" t="s">
        <v>1382</v>
      </c>
      <c r="E883" s="461" t="s">
        <v>1383</v>
      </c>
      <c r="F883" s="463" t="s">
        <v>1085</v>
      </c>
      <c r="G883" s="344"/>
      <c r="H883" s="344"/>
      <c r="I883" s="344"/>
      <c r="J883" s="344"/>
      <c r="K883" s="344"/>
      <c r="L883" s="344"/>
      <c r="M883" s="344"/>
      <c r="N883" s="344"/>
      <c r="O883" s="344"/>
      <c r="P883" s="344"/>
      <c r="Q883" s="344"/>
      <c r="R883" s="344"/>
      <c r="S883" s="344"/>
      <c r="T883" s="344"/>
      <c r="U883" s="344"/>
      <c r="V883" s="344"/>
      <c r="W883" s="344"/>
      <c r="X883" s="344"/>
      <c r="Y883" s="344"/>
      <c r="Z883" s="344"/>
    </row>
    <row r="884">
      <c r="A884" s="129"/>
      <c r="B884" s="9"/>
      <c r="C884" s="9"/>
      <c r="D884" s="461" t="s">
        <v>1384</v>
      </c>
      <c r="E884" s="461" t="s">
        <v>1383</v>
      </c>
      <c r="F884" s="463" t="s">
        <v>1085</v>
      </c>
      <c r="G884" s="344"/>
      <c r="H884" s="344"/>
      <c r="I884" s="344"/>
      <c r="J884" s="344"/>
      <c r="K884" s="344"/>
      <c r="L884" s="344"/>
      <c r="M884" s="344"/>
      <c r="N884" s="344"/>
      <c r="O884" s="344"/>
      <c r="P884" s="344"/>
      <c r="Q884" s="344"/>
      <c r="R884" s="344"/>
      <c r="S884" s="344"/>
      <c r="T884" s="344"/>
      <c r="U884" s="344"/>
      <c r="V884" s="344"/>
      <c r="W884" s="344"/>
      <c r="X884" s="344"/>
      <c r="Y884" s="344"/>
      <c r="Z884" s="344"/>
    </row>
    <row r="885">
      <c r="A885" s="129"/>
      <c r="B885" s="9"/>
      <c r="C885" s="9"/>
      <c r="D885" s="461" t="s">
        <v>1239</v>
      </c>
      <c r="E885" s="461" t="s">
        <v>1240</v>
      </c>
      <c r="F885" s="463" t="s">
        <v>1085</v>
      </c>
      <c r="G885" s="344"/>
      <c r="H885" s="344"/>
      <c r="I885" s="344"/>
      <c r="J885" s="344"/>
      <c r="K885" s="344"/>
      <c r="L885" s="344"/>
      <c r="M885" s="344"/>
      <c r="N885" s="344"/>
      <c r="O885" s="344"/>
      <c r="P885" s="344"/>
      <c r="Q885" s="344"/>
      <c r="R885" s="344"/>
      <c r="S885" s="344"/>
      <c r="T885" s="344"/>
      <c r="U885" s="344"/>
      <c r="V885" s="344"/>
      <c r="W885" s="344"/>
      <c r="X885" s="344"/>
      <c r="Y885" s="344"/>
      <c r="Z885" s="344"/>
    </row>
    <row r="886">
      <c r="A886" s="129"/>
      <c r="B886" s="9"/>
      <c r="C886" s="9"/>
      <c r="D886" s="461" t="s">
        <v>1132</v>
      </c>
      <c r="E886" s="461" t="s">
        <v>1133</v>
      </c>
      <c r="F886" s="463" t="s">
        <v>1085</v>
      </c>
      <c r="G886" s="344"/>
      <c r="H886" s="344"/>
      <c r="I886" s="344"/>
      <c r="J886" s="344"/>
      <c r="K886" s="344"/>
      <c r="L886" s="344"/>
      <c r="M886" s="344"/>
      <c r="N886" s="344"/>
      <c r="O886" s="344"/>
      <c r="P886" s="344"/>
      <c r="Q886" s="344"/>
      <c r="R886" s="344"/>
      <c r="S886" s="344"/>
      <c r="T886" s="344"/>
      <c r="U886" s="344"/>
      <c r="V886" s="344"/>
      <c r="W886" s="344"/>
      <c r="X886" s="344"/>
      <c r="Y886" s="344"/>
      <c r="Z886" s="344"/>
    </row>
    <row r="887">
      <c r="A887" s="129"/>
      <c r="B887" s="9"/>
      <c r="C887" s="9"/>
      <c r="D887" s="461" t="s">
        <v>1385</v>
      </c>
      <c r="E887" s="461" t="s">
        <v>1386</v>
      </c>
      <c r="F887" s="462" t="s">
        <v>1085</v>
      </c>
      <c r="G887" s="344"/>
      <c r="H887" s="344"/>
      <c r="I887" s="344"/>
      <c r="J887" s="344"/>
      <c r="K887" s="344"/>
      <c r="L887" s="344"/>
      <c r="M887" s="344"/>
      <c r="N887" s="344"/>
      <c r="O887" s="344"/>
      <c r="P887" s="344"/>
      <c r="Q887" s="344"/>
      <c r="R887" s="344"/>
      <c r="S887" s="344"/>
      <c r="T887" s="344"/>
      <c r="U887" s="344"/>
      <c r="V887" s="344"/>
      <c r="W887" s="344"/>
      <c r="X887" s="344"/>
      <c r="Y887" s="344"/>
      <c r="Z887" s="344"/>
    </row>
    <row r="888">
      <c r="A888" s="129"/>
      <c r="B888" s="9"/>
      <c r="C888" s="9"/>
      <c r="D888" s="461" t="s">
        <v>1387</v>
      </c>
      <c r="E888" s="461" t="s">
        <v>1388</v>
      </c>
      <c r="F888" s="463" t="s">
        <v>1085</v>
      </c>
      <c r="G888" s="344"/>
      <c r="H888" s="344"/>
      <c r="I888" s="344"/>
      <c r="J888" s="344"/>
      <c r="K888" s="344"/>
      <c r="L888" s="344"/>
      <c r="M888" s="344"/>
      <c r="N888" s="344"/>
      <c r="O888" s="344"/>
      <c r="P888" s="344"/>
      <c r="Q888" s="344"/>
      <c r="R888" s="344"/>
      <c r="S888" s="344"/>
      <c r="T888" s="344"/>
      <c r="U888" s="344"/>
      <c r="V888" s="344"/>
      <c r="W888" s="344"/>
      <c r="X888" s="344"/>
      <c r="Y888" s="344"/>
      <c r="Z888" s="344"/>
    </row>
    <row r="889">
      <c r="A889" s="56"/>
      <c r="B889" s="11"/>
      <c r="C889" s="11"/>
      <c r="D889" s="461" t="s">
        <v>1389</v>
      </c>
      <c r="E889" s="461" t="s">
        <v>1390</v>
      </c>
      <c r="F889" s="463" t="s">
        <v>1085</v>
      </c>
      <c r="G889" s="344"/>
      <c r="H889" s="344"/>
      <c r="I889" s="344"/>
      <c r="J889" s="344"/>
      <c r="K889" s="344"/>
      <c r="L889" s="344"/>
      <c r="M889" s="344"/>
      <c r="N889" s="344"/>
      <c r="O889" s="344"/>
      <c r="P889" s="344"/>
      <c r="Q889" s="344"/>
      <c r="R889" s="344"/>
      <c r="S889" s="344"/>
      <c r="T889" s="344"/>
      <c r="U889" s="344"/>
      <c r="V889" s="344"/>
      <c r="W889" s="344"/>
      <c r="X889" s="344"/>
      <c r="Y889" s="344"/>
      <c r="Z889" s="344"/>
    </row>
    <row r="890">
      <c r="A890" s="458">
        <v>32.0</v>
      </c>
      <c r="B890" s="459" t="s">
        <v>670</v>
      </c>
      <c r="C890" s="465">
        <v>2023.0</v>
      </c>
      <c r="D890" s="461" t="s">
        <v>1154</v>
      </c>
      <c r="E890" s="461" t="s">
        <v>1155</v>
      </c>
      <c r="F890" s="466" t="s">
        <v>1074</v>
      </c>
      <c r="G890" s="344"/>
      <c r="H890" s="344"/>
      <c r="I890" s="344"/>
      <c r="J890" s="344"/>
      <c r="K890" s="344"/>
      <c r="L890" s="344"/>
      <c r="M890" s="344"/>
      <c r="N890" s="344"/>
      <c r="O890" s="344"/>
      <c r="P890" s="344"/>
      <c r="Q890" s="344"/>
      <c r="R890" s="344"/>
      <c r="S890" s="344"/>
      <c r="T890" s="344"/>
      <c r="U890" s="344"/>
      <c r="V890" s="344"/>
      <c r="W890" s="344"/>
      <c r="X890" s="344"/>
      <c r="Y890" s="344"/>
      <c r="Z890" s="344"/>
    </row>
    <row r="891">
      <c r="A891" s="129"/>
      <c r="B891" s="9"/>
      <c r="C891" s="460">
        <v>2022.0</v>
      </c>
      <c r="D891" s="461" t="s">
        <v>1214</v>
      </c>
      <c r="E891" s="461" t="s">
        <v>1391</v>
      </c>
      <c r="F891" s="466" t="s">
        <v>1074</v>
      </c>
      <c r="G891" s="344"/>
      <c r="H891" s="344"/>
      <c r="I891" s="344"/>
      <c r="J891" s="344"/>
      <c r="K891" s="344"/>
      <c r="L891" s="344"/>
      <c r="M891" s="344"/>
      <c r="N891" s="344"/>
      <c r="O891" s="344"/>
      <c r="P891" s="344"/>
      <c r="Q891" s="344"/>
      <c r="R891" s="344"/>
      <c r="S891" s="344"/>
      <c r="T891" s="344"/>
      <c r="U891" s="344"/>
      <c r="V891" s="344"/>
      <c r="W891" s="344"/>
      <c r="X891" s="344"/>
      <c r="Y891" s="344"/>
      <c r="Z891" s="344"/>
    </row>
    <row r="892">
      <c r="A892" s="56"/>
      <c r="B892" s="11"/>
      <c r="C892" s="11"/>
      <c r="D892" s="461" t="s">
        <v>1189</v>
      </c>
      <c r="E892" s="461" t="s">
        <v>1190</v>
      </c>
      <c r="F892" s="466" t="s">
        <v>1074</v>
      </c>
      <c r="G892" s="344"/>
      <c r="H892" s="344"/>
      <c r="I892" s="344"/>
      <c r="J892" s="344"/>
      <c r="K892" s="344"/>
      <c r="L892" s="344"/>
      <c r="M892" s="344"/>
      <c r="N892" s="344"/>
      <c r="O892" s="344"/>
      <c r="P892" s="344"/>
      <c r="Q892" s="344"/>
      <c r="R892" s="344"/>
      <c r="S892" s="344"/>
      <c r="T892" s="344"/>
      <c r="U892" s="344"/>
      <c r="V892" s="344"/>
      <c r="W892" s="344"/>
      <c r="X892" s="344"/>
      <c r="Y892" s="344"/>
      <c r="Z892" s="344"/>
    </row>
    <row r="893">
      <c r="A893" s="458">
        <v>33.0</v>
      </c>
      <c r="B893" s="459" t="s">
        <v>771</v>
      </c>
      <c r="C893" s="460">
        <v>2023.0</v>
      </c>
      <c r="D893" s="461" t="s">
        <v>1392</v>
      </c>
      <c r="E893" s="461" t="s">
        <v>1078</v>
      </c>
      <c r="F893" s="462" t="s">
        <v>1074</v>
      </c>
      <c r="G893" s="344"/>
      <c r="H893" s="344"/>
      <c r="I893" s="344"/>
      <c r="J893" s="344"/>
      <c r="K893" s="344"/>
      <c r="L893" s="344"/>
      <c r="M893" s="344"/>
      <c r="N893" s="344"/>
      <c r="O893" s="344"/>
      <c r="P893" s="344"/>
      <c r="Q893" s="344"/>
      <c r="R893" s="344"/>
      <c r="S893" s="344"/>
      <c r="T893" s="344"/>
      <c r="U893" s="344"/>
      <c r="V893" s="344"/>
      <c r="W893" s="344"/>
      <c r="X893" s="344"/>
      <c r="Y893" s="344"/>
      <c r="Z893" s="344"/>
    </row>
    <row r="894">
      <c r="A894" s="56"/>
      <c r="B894" s="11"/>
      <c r="C894" s="11"/>
      <c r="D894" s="461" t="s">
        <v>1138</v>
      </c>
      <c r="E894" s="461" t="s">
        <v>1076</v>
      </c>
      <c r="F894" s="462" t="s">
        <v>1074</v>
      </c>
      <c r="G894" s="344"/>
      <c r="H894" s="344"/>
      <c r="I894" s="344"/>
      <c r="J894" s="344"/>
      <c r="K894" s="344"/>
      <c r="L894" s="344"/>
      <c r="M894" s="344"/>
      <c r="N894" s="344"/>
      <c r="O894" s="344"/>
      <c r="P894" s="344"/>
      <c r="Q894" s="344"/>
      <c r="R894" s="344"/>
      <c r="S894" s="344"/>
      <c r="T894" s="344"/>
      <c r="U894" s="344"/>
      <c r="V894" s="344"/>
      <c r="W894" s="344"/>
      <c r="X894" s="344"/>
      <c r="Y894" s="344"/>
      <c r="Z894" s="344"/>
    </row>
    <row r="895">
      <c r="A895" s="464">
        <v>34.0</v>
      </c>
      <c r="B895" s="471" t="s">
        <v>570</v>
      </c>
      <c r="C895" s="465" t="s">
        <v>290</v>
      </c>
      <c r="D895" s="461"/>
      <c r="E895" s="461"/>
      <c r="F895" s="465"/>
      <c r="G895" s="344"/>
      <c r="H895" s="344"/>
      <c r="I895" s="344"/>
      <c r="J895" s="344"/>
      <c r="K895" s="344"/>
      <c r="L895" s="344"/>
      <c r="M895" s="344"/>
      <c r="N895" s="344"/>
      <c r="O895" s="344"/>
      <c r="P895" s="344"/>
      <c r="Q895" s="344"/>
      <c r="R895" s="344"/>
      <c r="S895" s="344"/>
      <c r="T895" s="344"/>
      <c r="U895" s="344"/>
      <c r="V895" s="344"/>
      <c r="W895" s="344"/>
      <c r="X895" s="344"/>
      <c r="Y895" s="344"/>
      <c r="Z895" s="344"/>
    </row>
    <row r="896">
      <c r="A896" s="458">
        <v>35.0</v>
      </c>
      <c r="B896" s="459" t="s">
        <v>772</v>
      </c>
      <c r="C896" s="460">
        <v>2023.0</v>
      </c>
      <c r="D896" s="472" t="s">
        <v>1123</v>
      </c>
      <c r="E896" s="461" t="s">
        <v>1393</v>
      </c>
      <c r="F896" s="466" t="s">
        <v>1074</v>
      </c>
      <c r="G896" s="344"/>
      <c r="H896" s="344"/>
      <c r="I896" s="344"/>
      <c r="J896" s="344"/>
      <c r="K896" s="344"/>
      <c r="L896" s="344"/>
      <c r="M896" s="344"/>
      <c r="N896" s="344"/>
      <c r="O896" s="344"/>
      <c r="P896" s="344"/>
      <c r="Q896" s="344"/>
      <c r="R896" s="344"/>
      <c r="S896" s="344"/>
      <c r="T896" s="344"/>
      <c r="U896" s="344"/>
      <c r="V896" s="344"/>
      <c r="W896" s="344"/>
      <c r="X896" s="344"/>
      <c r="Y896" s="344"/>
      <c r="Z896" s="344"/>
    </row>
    <row r="897">
      <c r="A897" s="129"/>
      <c r="B897" s="9"/>
      <c r="C897" s="11"/>
      <c r="D897" s="472" t="s">
        <v>1394</v>
      </c>
      <c r="E897" s="461" t="s">
        <v>1395</v>
      </c>
      <c r="F897" s="466" t="s">
        <v>1074</v>
      </c>
      <c r="G897" s="344"/>
      <c r="H897" s="344"/>
      <c r="I897" s="344"/>
      <c r="J897" s="344"/>
      <c r="K897" s="344"/>
      <c r="L897" s="344"/>
      <c r="M897" s="344"/>
      <c r="N897" s="344"/>
      <c r="O897" s="344"/>
      <c r="P897" s="344"/>
      <c r="Q897" s="344"/>
      <c r="R897" s="344"/>
      <c r="S897" s="344"/>
      <c r="T897" s="344"/>
      <c r="U897" s="344"/>
      <c r="V897" s="344"/>
      <c r="W897" s="344"/>
      <c r="X897" s="344"/>
      <c r="Y897" s="344"/>
      <c r="Z897" s="344"/>
    </row>
    <row r="898">
      <c r="A898" s="129"/>
      <c r="B898" s="9"/>
      <c r="C898" s="460">
        <v>2022.0</v>
      </c>
      <c r="D898" s="472" t="s">
        <v>1396</v>
      </c>
      <c r="E898" s="461" t="s">
        <v>1397</v>
      </c>
      <c r="F898" s="466" t="s">
        <v>1074</v>
      </c>
      <c r="G898" s="344"/>
      <c r="H898" s="344"/>
      <c r="I898" s="344"/>
      <c r="J898" s="344"/>
      <c r="K898" s="344"/>
      <c r="L898" s="344"/>
      <c r="M898" s="344"/>
      <c r="N898" s="344"/>
      <c r="O898" s="344"/>
      <c r="P898" s="344"/>
      <c r="Q898" s="344"/>
      <c r="R898" s="344"/>
      <c r="S898" s="344"/>
      <c r="T898" s="344"/>
      <c r="U898" s="344"/>
      <c r="V898" s="344"/>
      <c r="W898" s="344"/>
      <c r="X898" s="344"/>
      <c r="Y898" s="344"/>
      <c r="Z898" s="344"/>
    </row>
    <row r="899">
      <c r="A899" s="129"/>
      <c r="B899" s="9"/>
      <c r="C899" s="9"/>
      <c r="D899" s="472" t="s">
        <v>1123</v>
      </c>
      <c r="E899" s="461" t="s">
        <v>1398</v>
      </c>
      <c r="F899" s="466" t="s">
        <v>1074</v>
      </c>
      <c r="G899" s="344"/>
      <c r="H899" s="344"/>
      <c r="I899" s="344"/>
      <c r="J899" s="344"/>
      <c r="K899" s="344"/>
      <c r="L899" s="344"/>
      <c r="M899" s="344"/>
      <c r="N899" s="344"/>
      <c r="O899" s="344"/>
      <c r="P899" s="344"/>
      <c r="Q899" s="344"/>
      <c r="R899" s="344"/>
      <c r="S899" s="344"/>
      <c r="T899" s="344"/>
      <c r="U899" s="344"/>
      <c r="V899" s="344"/>
      <c r="W899" s="344"/>
      <c r="X899" s="344"/>
      <c r="Y899" s="344"/>
      <c r="Z899" s="344"/>
    </row>
    <row r="900">
      <c r="A900" s="56"/>
      <c r="B900" s="11"/>
      <c r="C900" s="11"/>
      <c r="D900" s="472" t="s">
        <v>1399</v>
      </c>
      <c r="E900" s="461" t="s">
        <v>1400</v>
      </c>
      <c r="F900" s="466" t="s">
        <v>1074</v>
      </c>
      <c r="G900" s="344"/>
      <c r="H900" s="344"/>
      <c r="I900" s="344"/>
      <c r="J900" s="344"/>
      <c r="K900" s="344"/>
      <c r="L900" s="344"/>
      <c r="M900" s="344"/>
      <c r="N900" s="344"/>
      <c r="O900" s="344"/>
      <c r="P900" s="344"/>
      <c r="Q900" s="344"/>
      <c r="R900" s="344"/>
      <c r="S900" s="344"/>
      <c r="T900" s="344"/>
      <c r="U900" s="344"/>
      <c r="V900" s="344"/>
      <c r="W900" s="344"/>
      <c r="X900" s="344"/>
      <c r="Y900" s="344"/>
      <c r="Z900" s="344"/>
    </row>
    <row r="901">
      <c r="A901" s="458">
        <v>36.0</v>
      </c>
      <c r="B901" s="459" t="s">
        <v>571</v>
      </c>
      <c r="C901" s="460">
        <v>2024.0</v>
      </c>
      <c r="D901" s="472" t="s">
        <v>1401</v>
      </c>
      <c r="E901" s="461" t="s">
        <v>1402</v>
      </c>
      <c r="F901" s="465"/>
      <c r="G901" s="344"/>
      <c r="H901" s="344"/>
      <c r="I901" s="344"/>
      <c r="J901" s="344"/>
      <c r="K901" s="344"/>
      <c r="L901" s="344"/>
      <c r="M901" s="344"/>
      <c r="N901" s="344"/>
      <c r="O901" s="344"/>
      <c r="P901" s="344"/>
      <c r="Q901" s="344"/>
      <c r="R901" s="344"/>
      <c r="S901" s="344"/>
      <c r="T901" s="344"/>
      <c r="U901" s="344"/>
      <c r="V901" s="344"/>
      <c r="W901" s="344"/>
      <c r="X901" s="344"/>
      <c r="Y901" s="344"/>
      <c r="Z901" s="344"/>
    </row>
    <row r="902">
      <c r="A902" s="129"/>
      <c r="B902" s="9"/>
      <c r="C902" s="11"/>
      <c r="D902" s="472" t="s">
        <v>1403</v>
      </c>
      <c r="E902" s="461" t="s">
        <v>1404</v>
      </c>
      <c r="F902" s="465"/>
      <c r="G902" s="344"/>
      <c r="H902" s="344"/>
      <c r="I902" s="344"/>
      <c r="J902" s="344"/>
      <c r="K902" s="344"/>
      <c r="L902" s="344"/>
      <c r="M902" s="344"/>
      <c r="N902" s="344"/>
      <c r="O902" s="344"/>
      <c r="P902" s="344"/>
      <c r="Q902" s="344"/>
      <c r="R902" s="344"/>
      <c r="S902" s="344"/>
      <c r="T902" s="344"/>
      <c r="U902" s="344"/>
      <c r="V902" s="344"/>
      <c r="W902" s="344"/>
      <c r="X902" s="344"/>
      <c r="Y902" s="344"/>
      <c r="Z902" s="344"/>
    </row>
    <row r="903">
      <c r="A903" s="129"/>
      <c r="B903" s="9"/>
      <c r="C903" s="460">
        <v>2023.0</v>
      </c>
      <c r="D903" s="472" t="s">
        <v>1405</v>
      </c>
      <c r="E903" s="461" t="s">
        <v>1406</v>
      </c>
      <c r="F903" s="465"/>
      <c r="G903" s="344"/>
      <c r="H903" s="344"/>
      <c r="I903" s="344"/>
      <c r="J903" s="344"/>
      <c r="K903" s="344"/>
      <c r="L903" s="344"/>
      <c r="M903" s="344"/>
      <c r="N903" s="344"/>
      <c r="O903" s="344"/>
      <c r="P903" s="344"/>
      <c r="Q903" s="344"/>
      <c r="R903" s="344"/>
      <c r="S903" s="344"/>
      <c r="T903" s="344"/>
      <c r="U903" s="344"/>
      <c r="V903" s="344"/>
      <c r="W903" s="344"/>
      <c r="X903" s="344"/>
      <c r="Y903" s="344"/>
      <c r="Z903" s="344"/>
    </row>
    <row r="904">
      <c r="A904" s="56"/>
      <c r="B904" s="11"/>
      <c r="C904" s="11"/>
      <c r="D904" s="472" t="s">
        <v>1407</v>
      </c>
      <c r="E904" s="461" t="s">
        <v>1408</v>
      </c>
      <c r="F904" s="465"/>
      <c r="G904" s="344"/>
      <c r="H904" s="344"/>
      <c r="I904" s="344"/>
      <c r="J904" s="344"/>
      <c r="K904" s="344"/>
      <c r="L904" s="344"/>
      <c r="M904" s="344"/>
      <c r="N904" s="344"/>
      <c r="O904" s="344"/>
      <c r="P904" s="344"/>
      <c r="Q904" s="344"/>
      <c r="R904" s="344"/>
      <c r="S904" s="344"/>
      <c r="T904" s="344"/>
      <c r="U904" s="344"/>
      <c r="V904" s="344"/>
      <c r="W904" s="344"/>
      <c r="X904" s="344"/>
      <c r="Y904" s="344"/>
      <c r="Z904" s="344"/>
    </row>
    <row r="905">
      <c r="A905" s="458">
        <v>37.0</v>
      </c>
      <c r="B905" s="459" t="s">
        <v>775</v>
      </c>
      <c r="C905" s="460">
        <v>2024.0</v>
      </c>
      <c r="D905" s="473" t="s">
        <v>1152</v>
      </c>
      <c r="E905" s="471" t="s">
        <v>1153</v>
      </c>
      <c r="F905" s="466" t="s">
        <v>1074</v>
      </c>
      <c r="G905" s="344"/>
      <c r="H905" s="344"/>
      <c r="I905" s="344"/>
      <c r="J905" s="344"/>
      <c r="K905" s="344"/>
      <c r="L905" s="344"/>
      <c r="M905" s="344"/>
      <c r="N905" s="344"/>
      <c r="O905" s="344"/>
      <c r="P905" s="344"/>
      <c r="Q905" s="344"/>
      <c r="R905" s="344"/>
      <c r="S905" s="344"/>
      <c r="T905" s="344"/>
      <c r="U905" s="344"/>
      <c r="V905" s="344"/>
      <c r="W905" s="344"/>
      <c r="X905" s="344"/>
      <c r="Y905" s="344"/>
      <c r="Z905" s="344"/>
    </row>
    <row r="906">
      <c r="A906" s="129"/>
      <c r="B906" s="9"/>
      <c r="C906" s="11"/>
      <c r="D906" s="473" t="s">
        <v>1409</v>
      </c>
      <c r="E906" s="471" t="s">
        <v>1410</v>
      </c>
      <c r="F906" s="466" t="s">
        <v>1074</v>
      </c>
      <c r="G906" s="344"/>
      <c r="H906" s="344"/>
      <c r="I906" s="344"/>
      <c r="J906" s="344"/>
      <c r="K906" s="344"/>
      <c r="L906" s="344"/>
      <c r="M906" s="344"/>
      <c r="N906" s="344"/>
      <c r="O906" s="344"/>
      <c r="P906" s="344"/>
      <c r="Q906" s="344"/>
      <c r="R906" s="344"/>
      <c r="S906" s="344"/>
      <c r="T906" s="344"/>
      <c r="U906" s="344"/>
      <c r="V906" s="344"/>
      <c r="W906" s="344"/>
      <c r="X906" s="344"/>
      <c r="Y906" s="344"/>
      <c r="Z906" s="344"/>
    </row>
    <row r="907">
      <c r="A907" s="129"/>
      <c r="B907" s="9"/>
      <c r="C907" s="460">
        <v>2023.0</v>
      </c>
      <c r="D907" s="473" t="s">
        <v>1411</v>
      </c>
      <c r="E907" s="471" t="s">
        <v>1412</v>
      </c>
      <c r="F907" s="466" t="s">
        <v>1074</v>
      </c>
      <c r="G907" s="344"/>
      <c r="H907" s="344"/>
      <c r="I907" s="344"/>
      <c r="J907" s="344"/>
      <c r="K907" s="344"/>
      <c r="L907" s="344"/>
      <c r="M907" s="344"/>
      <c r="N907" s="344"/>
      <c r="O907" s="344"/>
      <c r="P907" s="344"/>
      <c r="Q907" s="344"/>
      <c r="R907" s="344"/>
      <c r="S907" s="344"/>
      <c r="T907" s="344"/>
      <c r="U907" s="344"/>
      <c r="V907" s="344"/>
      <c r="W907" s="344"/>
      <c r="X907" s="344"/>
      <c r="Y907" s="344"/>
      <c r="Z907" s="344"/>
    </row>
    <row r="908">
      <c r="A908" s="56"/>
      <c r="B908" s="11"/>
      <c r="C908" s="11"/>
      <c r="D908" s="473" t="s">
        <v>1413</v>
      </c>
      <c r="E908" s="471" t="s">
        <v>1414</v>
      </c>
      <c r="F908" s="466" t="s">
        <v>1074</v>
      </c>
      <c r="G908" s="344"/>
      <c r="H908" s="344"/>
      <c r="I908" s="344"/>
      <c r="J908" s="344"/>
      <c r="K908" s="344"/>
      <c r="L908" s="344"/>
      <c r="M908" s="344"/>
      <c r="N908" s="344"/>
      <c r="O908" s="344"/>
      <c r="P908" s="344"/>
      <c r="Q908" s="344"/>
      <c r="R908" s="344"/>
      <c r="S908" s="344"/>
      <c r="T908" s="344"/>
      <c r="U908" s="344"/>
      <c r="V908" s="344"/>
      <c r="W908" s="344"/>
      <c r="X908" s="344"/>
      <c r="Y908" s="344"/>
      <c r="Z908" s="344"/>
    </row>
    <row r="909">
      <c r="A909" s="464">
        <v>38.0</v>
      </c>
      <c r="B909" s="471" t="s">
        <v>777</v>
      </c>
      <c r="C909" s="465" t="s">
        <v>290</v>
      </c>
      <c r="D909" s="474"/>
      <c r="E909" s="461"/>
      <c r="F909" s="465"/>
      <c r="G909" s="344"/>
      <c r="H909" s="344"/>
      <c r="I909" s="344"/>
      <c r="J909" s="344"/>
      <c r="K909" s="344"/>
      <c r="L909" s="344"/>
      <c r="M909" s="344"/>
      <c r="N909" s="344"/>
      <c r="O909" s="344"/>
      <c r="P909" s="344"/>
      <c r="Q909" s="344"/>
      <c r="R909" s="344"/>
      <c r="S909" s="344"/>
      <c r="T909" s="344"/>
      <c r="U909" s="344"/>
      <c r="V909" s="344"/>
      <c r="W909" s="344"/>
      <c r="X909" s="344"/>
      <c r="Y909" s="344"/>
      <c r="Z909" s="344"/>
    </row>
    <row r="910">
      <c r="A910" s="458">
        <v>39.0</v>
      </c>
      <c r="B910" s="459" t="s">
        <v>778</v>
      </c>
      <c r="C910" s="460">
        <v>2024.0</v>
      </c>
      <c r="D910" s="473" t="s">
        <v>1415</v>
      </c>
      <c r="E910" s="471" t="s">
        <v>1416</v>
      </c>
      <c r="F910" s="466" t="s">
        <v>1074</v>
      </c>
      <c r="G910" s="344"/>
      <c r="H910" s="344"/>
      <c r="I910" s="344"/>
      <c r="J910" s="344"/>
      <c r="K910" s="344"/>
      <c r="L910" s="344"/>
      <c r="M910" s="344"/>
      <c r="N910" s="344"/>
      <c r="O910" s="344"/>
      <c r="P910" s="344"/>
      <c r="Q910" s="344"/>
      <c r="R910" s="344"/>
      <c r="S910" s="344"/>
      <c r="T910" s="344"/>
      <c r="U910" s="344"/>
      <c r="V910" s="344"/>
      <c r="W910" s="344"/>
      <c r="X910" s="344"/>
      <c r="Y910" s="344"/>
      <c r="Z910" s="344"/>
    </row>
    <row r="911">
      <c r="A911" s="129"/>
      <c r="B911" s="9"/>
      <c r="C911" s="9"/>
      <c r="D911" s="473" t="s">
        <v>1291</v>
      </c>
      <c r="E911" s="471" t="s">
        <v>1292</v>
      </c>
      <c r="F911" s="466" t="s">
        <v>1074</v>
      </c>
      <c r="G911" s="344"/>
      <c r="H911" s="344"/>
      <c r="I911" s="344"/>
      <c r="J911" s="344"/>
      <c r="K911" s="344"/>
      <c r="L911" s="344"/>
      <c r="M911" s="344"/>
      <c r="N911" s="344"/>
      <c r="O911" s="344"/>
      <c r="P911" s="344"/>
      <c r="Q911" s="344"/>
      <c r="R911" s="344"/>
      <c r="S911" s="344"/>
      <c r="T911" s="344"/>
      <c r="U911" s="344"/>
      <c r="V911" s="344"/>
      <c r="W911" s="344"/>
      <c r="X911" s="344"/>
      <c r="Y911" s="344"/>
      <c r="Z911" s="344"/>
    </row>
    <row r="912">
      <c r="A912" s="129"/>
      <c r="B912" s="9"/>
      <c r="C912" s="9"/>
      <c r="D912" s="473" t="s">
        <v>1117</v>
      </c>
      <c r="E912" s="471" t="s">
        <v>1118</v>
      </c>
      <c r="F912" s="466" t="s">
        <v>1074</v>
      </c>
      <c r="G912" s="344"/>
      <c r="H912" s="344"/>
      <c r="I912" s="344"/>
      <c r="J912" s="344"/>
      <c r="K912" s="344"/>
      <c r="L912" s="344"/>
      <c r="M912" s="344"/>
      <c r="N912" s="344"/>
      <c r="O912" s="344"/>
      <c r="P912" s="344"/>
      <c r="Q912" s="344"/>
      <c r="R912" s="344"/>
      <c r="S912" s="344"/>
      <c r="T912" s="344"/>
      <c r="U912" s="344"/>
      <c r="V912" s="344"/>
      <c r="W912" s="344"/>
      <c r="X912" s="344"/>
      <c r="Y912" s="344"/>
      <c r="Z912" s="344"/>
    </row>
    <row r="913">
      <c r="A913" s="129"/>
      <c r="B913" s="9"/>
      <c r="C913" s="11"/>
      <c r="D913" s="473" t="s">
        <v>1417</v>
      </c>
      <c r="E913" s="471" t="s">
        <v>1418</v>
      </c>
      <c r="F913" s="466" t="s">
        <v>1074</v>
      </c>
      <c r="G913" s="344"/>
      <c r="H913" s="344"/>
      <c r="I913" s="344"/>
      <c r="J913" s="344"/>
      <c r="K913" s="344"/>
      <c r="L913" s="344"/>
      <c r="M913" s="344"/>
      <c r="N913" s="344"/>
      <c r="O913" s="344"/>
      <c r="P913" s="344"/>
      <c r="Q913" s="344"/>
      <c r="R913" s="344"/>
      <c r="S913" s="344"/>
      <c r="T913" s="344"/>
      <c r="U913" s="344"/>
      <c r="V913" s="344"/>
      <c r="W913" s="344"/>
      <c r="X913" s="344"/>
      <c r="Y913" s="344"/>
      <c r="Z913" s="344"/>
    </row>
    <row r="914">
      <c r="A914" s="129"/>
      <c r="B914" s="9"/>
      <c r="C914" s="460">
        <v>2023.0</v>
      </c>
      <c r="D914" s="473" t="s">
        <v>1419</v>
      </c>
      <c r="E914" s="471" t="s">
        <v>1420</v>
      </c>
      <c r="F914" s="466" t="s">
        <v>1074</v>
      </c>
      <c r="G914" s="344"/>
      <c r="H914" s="344"/>
      <c r="I914" s="344"/>
      <c r="J914" s="344"/>
      <c r="K914" s="344"/>
      <c r="L914" s="344"/>
      <c r="M914" s="344"/>
      <c r="N914" s="344"/>
      <c r="O914" s="344"/>
      <c r="P914" s="344"/>
      <c r="Q914" s="344"/>
      <c r="R914" s="344"/>
      <c r="S914" s="344"/>
      <c r="T914" s="344"/>
      <c r="U914" s="344"/>
      <c r="V914" s="344"/>
      <c r="W914" s="344"/>
      <c r="X914" s="344"/>
      <c r="Y914" s="344"/>
      <c r="Z914" s="344"/>
    </row>
    <row r="915">
      <c r="A915" s="129"/>
      <c r="B915" s="9"/>
      <c r="C915" s="9"/>
      <c r="D915" s="473" t="s">
        <v>1421</v>
      </c>
      <c r="E915" s="471" t="s">
        <v>1141</v>
      </c>
      <c r="F915" s="466" t="s">
        <v>1074</v>
      </c>
      <c r="G915" s="344"/>
      <c r="H915" s="344"/>
      <c r="I915" s="344"/>
      <c r="J915" s="344"/>
      <c r="K915" s="344"/>
      <c r="L915" s="344"/>
      <c r="M915" s="344"/>
      <c r="N915" s="344"/>
      <c r="O915" s="344"/>
      <c r="P915" s="344"/>
      <c r="Q915" s="344"/>
      <c r="R915" s="344"/>
      <c r="S915" s="344"/>
      <c r="T915" s="344"/>
      <c r="U915" s="344"/>
      <c r="V915" s="344"/>
      <c r="W915" s="344"/>
      <c r="X915" s="344"/>
      <c r="Y915" s="344"/>
      <c r="Z915" s="344"/>
    </row>
    <row r="916">
      <c r="A916" s="129"/>
      <c r="B916" s="9"/>
      <c r="C916" s="9"/>
      <c r="D916" s="473" t="s">
        <v>1422</v>
      </c>
      <c r="E916" s="471" t="s">
        <v>1423</v>
      </c>
      <c r="F916" s="466" t="s">
        <v>1074</v>
      </c>
      <c r="G916" s="344"/>
      <c r="H916" s="344"/>
      <c r="I916" s="344"/>
      <c r="J916" s="344"/>
      <c r="K916" s="344"/>
      <c r="L916" s="344"/>
      <c r="M916" s="344"/>
      <c r="N916" s="344"/>
      <c r="O916" s="344"/>
      <c r="P916" s="344"/>
      <c r="Q916" s="344"/>
      <c r="R916" s="344"/>
      <c r="S916" s="344"/>
      <c r="T916" s="344"/>
      <c r="U916" s="344"/>
      <c r="V916" s="344"/>
      <c r="W916" s="344"/>
      <c r="X916" s="344"/>
      <c r="Y916" s="344"/>
      <c r="Z916" s="344"/>
    </row>
    <row r="917">
      <c r="A917" s="129"/>
      <c r="B917" s="9"/>
      <c r="C917" s="9"/>
      <c r="D917" s="473" t="s">
        <v>1424</v>
      </c>
      <c r="E917" s="471" t="s">
        <v>1425</v>
      </c>
      <c r="F917" s="466" t="s">
        <v>1074</v>
      </c>
      <c r="G917" s="344"/>
      <c r="H917" s="344"/>
      <c r="I917" s="344"/>
      <c r="J917" s="344"/>
      <c r="K917" s="344"/>
      <c r="L917" s="344"/>
      <c r="M917" s="344"/>
      <c r="N917" s="344"/>
      <c r="O917" s="344"/>
      <c r="P917" s="344"/>
      <c r="Q917" s="344"/>
      <c r="R917" s="344"/>
      <c r="S917" s="344"/>
      <c r="T917" s="344"/>
      <c r="U917" s="344"/>
      <c r="V917" s="344"/>
      <c r="W917" s="344"/>
      <c r="X917" s="344"/>
      <c r="Y917" s="344"/>
      <c r="Z917" s="344"/>
    </row>
    <row r="918">
      <c r="A918" s="129"/>
      <c r="B918" s="9"/>
      <c r="C918" s="9"/>
      <c r="D918" s="473" t="s">
        <v>1426</v>
      </c>
      <c r="E918" s="471" t="s">
        <v>1427</v>
      </c>
      <c r="F918" s="466" t="s">
        <v>1074</v>
      </c>
      <c r="G918" s="344"/>
      <c r="H918" s="344"/>
      <c r="I918" s="344"/>
      <c r="J918" s="344"/>
      <c r="K918" s="344"/>
      <c r="L918" s="344"/>
      <c r="M918" s="344"/>
      <c r="N918" s="344"/>
      <c r="O918" s="344"/>
      <c r="P918" s="344"/>
      <c r="Q918" s="344"/>
      <c r="R918" s="344"/>
      <c r="S918" s="344"/>
      <c r="T918" s="344"/>
      <c r="U918" s="344"/>
      <c r="V918" s="344"/>
      <c r="W918" s="344"/>
      <c r="X918" s="344"/>
      <c r="Y918" s="344"/>
      <c r="Z918" s="344"/>
    </row>
    <row r="919">
      <c r="A919" s="129"/>
      <c r="B919" s="9"/>
      <c r="C919" s="11"/>
      <c r="D919" s="473" t="s">
        <v>1302</v>
      </c>
      <c r="E919" s="471" t="s">
        <v>1184</v>
      </c>
      <c r="F919" s="466" t="s">
        <v>1074</v>
      </c>
      <c r="G919" s="344"/>
      <c r="H919" s="344"/>
      <c r="I919" s="344"/>
      <c r="J919" s="344"/>
      <c r="K919" s="344"/>
      <c r="L919" s="344"/>
      <c r="M919" s="344"/>
      <c r="N919" s="344"/>
      <c r="O919" s="344"/>
      <c r="P919" s="344"/>
      <c r="Q919" s="344"/>
      <c r="R919" s="344"/>
      <c r="S919" s="344"/>
      <c r="T919" s="344"/>
      <c r="U919" s="344"/>
      <c r="V919" s="344"/>
      <c r="W919" s="344"/>
      <c r="X919" s="344"/>
      <c r="Y919" s="344"/>
      <c r="Z919" s="344"/>
    </row>
    <row r="920">
      <c r="A920" s="129"/>
      <c r="B920" s="9"/>
      <c r="C920" s="460">
        <v>2022.0</v>
      </c>
      <c r="D920" s="473" t="s">
        <v>1428</v>
      </c>
      <c r="E920" s="471" t="s">
        <v>1429</v>
      </c>
      <c r="F920" s="466" t="s">
        <v>1074</v>
      </c>
      <c r="G920" s="344"/>
      <c r="H920" s="344"/>
      <c r="I920" s="344"/>
      <c r="J920" s="344"/>
      <c r="K920" s="344"/>
      <c r="L920" s="344"/>
      <c r="M920" s="344"/>
      <c r="N920" s="344"/>
      <c r="O920" s="344"/>
      <c r="P920" s="344"/>
      <c r="Q920" s="344"/>
      <c r="R920" s="344"/>
      <c r="S920" s="344"/>
      <c r="T920" s="344"/>
      <c r="U920" s="344"/>
      <c r="V920" s="344"/>
      <c r="W920" s="344"/>
      <c r="X920" s="344"/>
      <c r="Y920" s="344"/>
      <c r="Z920" s="344"/>
    </row>
    <row r="921">
      <c r="A921" s="56"/>
      <c r="B921" s="11"/>
      <c r="C921" s="11"/>
      <c r="D921" s="473" t="s">
        <v>1430</v>
      </c>
      <c r="E921" s="471" t="s">
        <v>1431</v>
      </c>
      <c r="F921" s="466" t="s">
        <v>1074</v>
      </c>
      <c r="G921" s="344"/>
      <c r="H921" s="344"/>
      <c r="I921" s="344"/>
      <c r="J921" s="344"/>
      <c r="K921" s="344"/>
      <c r="L921" s="344"/>
      <c r="M921" s="344"/>
      <c r="N921" s="344"/>
      <c r="O921" s="344"/>
      <c r="P921" s="344"/>
      <c r="Q921" s="344"/>
      <c r="R921" s="344"/>
      <c r="S921" s="344"/>
      <c r="T921" s="344"/>
      <c r="U921" s="344"/>
      <c r="V921" s="344"/>
      <c r="W921" s="344"/>
      <c r="X921" s="344"/>
      <c r="Y921" s="344"/>
      <c r="Z921" s="344"/>
    </row>
    <row r="922">
      <c r="A922" s="458">
        <v>40.0</v>
      </c>
      <c r="B922" s="459" t="s">
        <v>780</v>
      </c>
      <c r="C922" s="460">
        <v>2023.0</v>
      </c>
      <c r="D922" s="473" t="s">
        <v>1432</v>
      </c>
      <c r="E922" s="471" t="s">
        <v>1433</v>
      </c>
      <c r="F922" s="466" t="s">
        <v>1074</v>
      </c>
      <c r="G922" s="344"/>
      <c r="H922" s="344"/>
      <c r="I922" s="344"/>
      <c r="J922" s="344"/>
      <c r="K922" s="344"/>
      <c r="L922" s="344"/>
      <c r="M922" s="344"/>
      <c r="N922" s="344"/>
      <c r="O922" s="344"/>
      <c r="P922" s="344"/>
      <c r="Q922" s="344"/>
      <c r="R922" s="344"/>
      <c r="S922" s="344"/>
      <c r="T922" s="344"/>
      <c r="U922" s="344"/>
      <c r="V922" s="344"/>
      <c r="W922" s="344"/>
      <c r="X922" s="344"/>
      <c r="Y922" s="344"/>
      <c r="Z922" s="344"/>
    </row>
    <row r="923">
      <c r="A923" s="129"/>
      <c r="B923" s="9"/>
      <c r="C923" s="9"/>
      <c r="D923" s="473" t="s">
        <v>1434</v>
      </c>
      <c r="E923" s="471" t="s">
        <v>1435</v>
      </c>
      <c r="F923" s="466" t="s">
        <v>1074</v>
      </c>
      <c r="G923" s="344"/>
      <c r="H923" s="344"/>
      <c r="I923" s="344"/>
      <c r="J923" s="344"/>
      <c r="K923" s="344"/>
      <c r="L923" s="344"/>
      <c r="M923" s="344"/>
      <c r="N923" s="344"/>
      <c r="O923" s="344"/>
      <c r="P923" s="344"/>
      <c r="Q923" s="344"/>
      <c r="R923" s="344"/>
      <c r="S923" s="344"/>
      <c r="T923" s="344"/>
      <c r="U923" s="344"/>
      <c r="V923" s="344"/>
      <c r="W923" s="344"/>
      <c r="X923" s="344"/>
      <c r="Y923" s="344"/>
      <c r="Z923" s="344"/>
    </row>
    <row r="924">
      <c r="A924" s="129"/>
      <c r="B924" s="9"/>
      <c r="C924" s="11"/>
      <c r="D924" s="473" t="s">
        <v>1160</v>
      </c>
      <c r="E924" s="471" t="s">
        <v>1161</v>
      </c>
      <c r="F924" s="466" t="s">
        <v>1074</v>
      </c>
      <c r="G924" s="344"/>
      <c r="H924" s="344"/>
      <c r="I924" s="344"/>
      <c r="J924" s="344"/>
      <c r="K924" s="344"/>
      <c r="L924" s="344"/>
      <c r="M924" s="344"/>
      <c r="N924" s="344"/>
      <c r="O924" s="344"/>
      <c r="P924" s="344"/>
      <c r="Q924" s="344"/>
      <c r="R924" s="344"/>
      <c r="S924" s="344"/>
      <c r="T924" s="344"/>
      <c r="U924" s="344"/>
      <c r="V924" s="344"/>
      <c r="W924" s="344"/>
      <c r="X924" s="344"/>
      <c r="Y924" s="344"/>
      <c r="Z924" s="344"/>
    </row>
    <row r="925">
      <c r="A925" s="129"/>
      <c r="B925" s="9"/>
      <c r="C925" s="460">
        <v>2022.0</v>
      </c>
      <c r="D925" s="473" t="s">
        <v>1436</v>
      </c>
      <c r="E925" s="471" t="s">
        <v>1437</v>
      </c>
      <c r="F925" s="466" t="s">
        <v>1074</v>
      </c>
      <c r="G925" s="344"/>
      <c r="H925" s="344"/>
      <c r="I925" s="344"/>
      <c r="J925" s="344"/>
      <c r="K925" s="344"/>
      <c r="L925" s="344"/>
      <c r="M925" s="344"/>
      <c r="N925" s="344"/>
      <c r="O925" s="344"/>
      <c r="P925" s="344"/>
      <c r="Q925" s="344"/>
      <c r="R925" s="344"/>
      <c r="S925" s="344"/>
      <c r="T925" s="344"/>
      <c r="U925" s="344"/>
      <c r="V925" s="344"/>
      <c r="W925" s="344"/>
      <c r="X925" s="344"/>
      <c r="Y925" s="344"/>
      <c r="Z925" s="344"/>
    </row>
    <row r="926">
      <c r="A926" s="56"/>
      <c r="B926" s="11"/>
      <c r="C926" s="11"/>
      <c r="D926" s="473" t="s">
        <v>1438</v>
      </c>
      <c r="E926" s="471" t="s">
        <v>1439</v>
      </c>
      <c r="F926" s="466" t="s">
        <v>1074</v>
      </c>
      <c r="G926" s="344"/>
      <c r="H926" s="344"/>
      <c r="I926" s="344"/>
      <c r="J926" s="344"/>
      <c r="K926" s="344"/>
      <c r="L926" s="344"/>
      <c r="M926" s="344"/>
      <c r="N926" s="344"/>
      <c r="O926" s="344"/>
      <c r="P926" s="344"/>
      <c r="Q926" s="344"/>
      <c r="R926" s="344"/>
      <c r="S926" s="344"/>
      <c r="T926" s="344"/>
      <c r="U926" s="344"/>
      <c r="V926" s="344"/>
      <c r="W926" s="344"/>
      <c r="X926" s="344"/>
      <c r="Y926" s="344"/>
      <c r="Z926" s="344"/>
    </row>
    <row r="927">
      <c r="A927" s="458">
        <v>41.0</v>
      </c>
      <c r="B927" s="459" t="s">
        <v>781</v>
      </c>
      <c r="C927" s="460">
        <v>2024.0</v>
      </c>
      <c r="D927" s="473" t="s">
        <v>1440</v>
      </c>
      <c r="E927" s="471" t="s">
        <v>1441</v>
      </c>
      <c r="F927" s="466" t="s">
        <v>1074</v>
      </c>
      <c r="G927" s="344"/>
      <c r="H927" s="344"/>
      <c r="I927" s="344"/>
      <c r="J927" s="344"/>
      <c r="K927" s="344"/>
      <c r="L927" s="344"/>
      <c r="M927" s="344"/>
      <c r="N927" s="344"/>
      <c r="O927" s="344"/>
      <c r="P927" s="344"/>
      <c r="Q927" s="344"/>
      <c r="R927" s="344"/>
      <c r="S927" s="344"/>
      <c r="T927" s="344"/>
      <c r="U927" s="344"/>
      <c r="V927" s="344"/>
      <c r="W927" s="344"/>
      <c r="X927" s="344"/>
      <c r="Y927" s="344"/>
      <c r="Z927" s="344"/>
    </row>
    <row r="928">
      <c r="A928" s="129"/>
      <c r="B928" s="9"/>
      <c r="C928" s="461"/>
      <c r="D928" s="473" t="s">
        <v>1295</v>
      </c>
      <c r="E928" s="471" t="s">
        <v>1296</v>
      </c>
      <c r="F928" s="466" t="s">
        <v>1074</v>
      </c>
      <c r="G928" s="344"/>
      <c r="H928" s="344"/>
      <c r="I928" s="344"/>
      <c r="J928" s="344"/>
      <c r="K928" s="344"/>
      <c r="L928" s="344"/>
      <c r="M928" s="344"/>
      <c r="N928" s="344"/>
      <c r="O928" s="344"/>
      <c r="P928" s="344"/>
      <c r="Q928" s="344"/>
      <c r="R928" s="344"/>
      <c r="S928" s="344"/>
      <c r="T928" s="344"/>
      <c r="U928" s="344"/>
      <c r="V928" s="344"/>
      <c r="W928" s="344"/>
      <c r="X928" s="344"/>
      <c r="Y928" s="344"/>
      <c r="Z928" s="344"/>
    </row>
    <row r="929">
      <c r="A929" s="129"/>
      <c r="B929" s="9"/>
      <c r="C929" s="460">
        <v>2023.0</v>
      </c>
      <c r="D929" s="473" t="s">
        <v>1297</v>
      </c>
      <c r="E929" s="471" t="s">
        <v>1139</v>
      </c>
      <c r="F929" s="466" t="s">
        <v>1074</v>
      </c>
      <c r="G929" s="344"/>
      <c r="H929" s="344"/>
      <c r="I929" s="344"/>
      <c r="J929" s="344"/>
      <c r="K929" s="344"/>
      <c r="L929" s="344"/>
      <c r="M929" s="344"/>
      <c r="N929" s="344"/>
      <c r="O929" s="344"/>
      <c r="P929" s="344"/>
      <c r="Q929" s="344"/>
      <c r="R929" s="344"/>
      <c r="S929" s="344"/>
      <c r="T929" s="344"/>
      <c r="U929" s="344"/>
      <c r="V929" s="344"/>
      <c r="W929" s="344"/>
      <c r="X929" s="344"/>
      <c r="Y929" s="344"/>
      <c r="Z929" s="344"/>
    </row>
    <row r="930">
      <c r="A930" s="129"/>
      <c r="B930" s="9"/>
      <c r="C930" s="9"/>
      <c r="D930" s="473" t="s">
        <v>1434</v>
      </c>
      <c r="E930" s="471" t="s">
        <v>1435</v>
      </c>
      <c r="F930" s="466" t="s">
        <v>1074</v>
      </c>
      <c r="G930" s="344"/>
      <c r="H930" s="344"/>
      <c r="I930" s="344"/>
      <c r="J930" s="344"/>
      <c r="K930" s="344"/>
      <c r="L930" s="344"/>
      <c r="M930" s="344"/>
      <c r="N930" s="344"/>
      <c r="O930" s="344"/>
      <c r="P930" s="344"/>
      <c r="Q930" s="344"/>
      <c r="R930" s="344"/>
      <c r="S930" s="344"/>
      <c r="T930" s="344"/>
      <c r="U930" s="344"/>
      <c r="V930" s="344"/>
      <c r="W930" s="344"/>
      <c r="X930" s="344"/>
      <c r="Y930" s="344"/>
      <c r="Z930" s="344"/>
    </row>
    <row r="931">
      <c r="A931" s="129"/>
      <c r="B931" s="9"/>
      <c r="C931" s="9"/>
      <c r="D931" s="473" t="s">
        <v>1081</v>
      </c>
      <c r="E931" s="471" t="s">
        <v>1442</v>
      </c>
      <c r="F931" s="466" t="s">
        <v>1074</v>
      </c>
      <c r="G931" s="344"/>
      <c r="H931" s="344"/>
      <c r="I931" s="344"/>
      <c r="J931" s="344"/>
      <c r="K931" s="344"/>
      <c r="L931" s="344"/>
      <c r="M931" s="344"/>
      <c r="N931" s="344"/>
      <c r="O931" s="344"/>
      <c r="P931" s="344"/>
      <c r="Q931" s="344"/>
      <c r="R931" s="344"/>
      <c r="S931" s="344"/>
      <c r="T931" s="344"/>
      <c r="U931" s="344"/>
      <c r="V931" s="344"/>
      <c r="W931" s="344"/>
      <c r="X931" s="344"/>
      <c r="Y931" s="344"/>
      <c r="Z931" s="344"/>
    </row>
    <row r="932">
      <c r="A932" s="129"/>
      <c r="B932" s="9"/>
      <c r="C932" s="9"/>
      <c r="D932" s="473" t="s">
        <v>1443</v>
      </c>
      <c r="E932" s="471" t="s">
        <v>1444</v>
      </c>
      <c r="F932" s="466" t="s">
        <v>1074</v>
      </c>
      <c r="G932" s="344"/>
      <c r="H932" s="344"/>
      <c r="I932" s="344"/>
      <c r="J932" s="344"/>
      <c r="K932" s="344"/>
      <c r="L932" s="344"/>
      <c r="M932" s="344"/>
      <c r="N932" s="344"/>
      <c r="O932" s="344"/>
      <c r="P932" s="344"/>
      <c r="Q932" s="344"/>
      <c r="R932" s="344"/>
      <c r="S932" s="344"/>
      <c r="T932" s="344"/>
      <c r="U932" s="344"/>
      <c r="V932" s="344"/>
      <c r="W932" s="344"/>
      <c r="X932" s="344"/>
      <c r="Y932" s="344"/>
      <c r="Z932" s="344"/>
    </row>
    <row r="933">
      <c r="A933" s="129"/>
      <c r="B933" s="9"/>
      <c r="C933" s="9"/>
      <c r="D933" s="473" t="s">
        <v>1445</v>
      </c>
      <c r="E933" s="471" t="s">
        <v>1446</v>
      </c>
      <c r="F933" s="466" t="s">
        <v>1074</v>
      </c>
      <c r="G933" s="344"/>
      <c r="H933" s="344"/>
      <c r="I933" s="344"/>
      <c r="J933" s="344"/>
      <c r="K933" s="344"/>
      <c r="L933" s="344"/>
      <c r="M933" s="344"/>
      <c r="N933" s="344"/>
      <c r="O933" s="344"/>
      <c r="P933" s="344"/>
      <c r="Q933" s="344"/>
      <c r="R933" s="344"/>
      <c r="S933" s="344"/>
      <c r="T933" s="344"/>
      <c r="U933" s="344"/>
      <c r="V933" s="344"/>
      <c r="W933" s="344"/>
      <c r="X933" s="344"/>
      <c r="Y933" s="344"/>
      <c r="Z933" s="344"/>
    </row>
    <row r="934">
      <c r="A934" s="129"/>
      <c r="B934" s="9"/>
      <c r="C934" s="11"/>
      <c r="D934" s="473" t="s">
        <v>1447</v>
      </c>
      <c r="E934" s="471" t="s">
        <v>1448</v>
      </c>
      <c r="F934" s="466" t="s">
        <v>1074</v>
      </c>
      <c r="G934" s="344"/>
      <c r="H934" s="344"/>
      <c r="I934" s="344"/>
      <c r="J934" s="344"/>
      <c r="K934" s="344"/>
      <c r="L934" s="344"/>
      <c r="M934" s="344"/>
      <c r="N934" s="344"/>
      <c r="O934" s="344"/>
      <c r="P934" s="344"/>
      <c r="Q934" s="344"/>
      <c r="R934" s="344"/>
      <c r="S934" s="344"/>
      <c r="T934" s="344"/>
      <c r="U934" s="344"/>
      <c r="V934" s="344"/>
      <c r="W934" s="344"/>
      <c r="X934" s="344"/>
      <c r="Y934" s="344"/>
      <c r="Z934" s="344"/>
    </row>
    <row r="935">
      <c r="A935" s="129"/>
      <c r="B935" s="9"/>
      <c r="C935" s="460">
        <v>2022.0</v>
      </c>
      <c r="D935" s="473" t="s">
        <v>1449</v>
      </c>
      <c r="E935" s="471" t="s">
        <v>1450</v>
      </c>
      <c r="F935" s="466" t="s">
        <v>1074</v>
      </c>
      <c r="G935" s="344"/>
      <c r="H935" s="344"/>
      <c r="I935" s="344"/>
      <c r="J935" s="344"/>
      <c r="K935" s="344"/>
      <c r="L935" s="344"/>
      <c r="M935" s="344"/>
      <c r="N935" s="344"/>
      <c r="O935" s="344"/>
      <c r="P935" s="344"/>
      <c r="Q935" s="344"/>
      <c r="R935" s="344"/>
      <c r="S935" s="344"/>
      <c r="T935" s="344"/>
      <c r="U935" s="344"/>
      <c r="V935" s="344"/>
      <c r="W935" s="344"/>
      <c r="X935" s="344"/>
      <c r="Y935" s="344"/>
      <c r="Z935" s="344"/>
    </row>
    <row r="936">
      <c r="A936" s="129"/>
      <c r="B936" s="9"/>
      <c r="C936" s="9"/>
      <c r="D936" s="473" t="s">
        <v>1451</v>
      </c>
      <c r="E936" s="471" t="s">
        <v>1188</v>
      </c>
      <c r="F936" s="466" t="s">
        <v>1074</v>
      </c>
      <c r="G936" s="344"/>
      <c r="H936" s="344"/>
      <c r="I936" s="344"/>
      <c r="J936" s="344"/>
      <c r="K936" s="344"/>
      <c r="L936" s="344"/>
      <c r="M936" s="344"/>
      <c r="N936" s="344"/>
      <c r="O936" s="344"/>
      <c r="P936" s="344"/>
      <c r="Q936" s="344"/>
      <c r="R936" s="344"/>
      <c r="S936" s="344"/>
      <c r="T936" s="344"/>
      <c r="U936" s="344"/>
      <c r="V936" s="344"/>
      <c r="W936" s="344"/>
      <c r="X936" s="344"/>
      <c r="Y936" s="344"/>
      <c r="Z936" s="344"/>
    </row>
    <row r="937">
      <c r="A937" s="56"/>
      <c r="B937" s="11"/>
      <c r="C937" s="11"/>
      <c r="D937" s="473" t="s">
        <v>1452</v>
      </c>
      <c r="E937" s="471" t="s">
        <v>1453</v>
      </c>
      <c r="F937" s="466" t="s">
        <v>1074</v>
      </c>
      <c r="G937" s="344"/>
      <c r="H937" s="344"/>
      <c r="I937" s="344"/>
      <c r="J937" s="344"/>
      <c r="K937" s="344"/>
      <c r="L937" s="344"/>
      <c r="M937" s="344"/>
      <c r="N937" s="344"/>
      <c r="O937" s="344"/>
      <c r="P937" s="344"/>
      <c r="Q937" s="344"/>
      <c r="R937" s="344"/>
      <c r="S937" s="344"/>
      <c r="T937" s="344"/>
      <c r="U937" s="344"/>
      <c r="V937" s="344"/>
      <c r="W937" s="344"/>
      <c r="X937" s="344"/>
      <c r="Y937" s="344"/>
      <c r="Z937" s="344"/>
    </row>
    <row r="938">
      <c r="A938" s="458">
        <v>42.0</v>
      </c>
      <c r="B938" s="459" t="s">
        <v>783</v>
      </c>
      <c r="C938" s="465">
        <v>2024.0</v>
      </c>
      <c r="D938" s="473" t="s">
        <v>1401</v>
      </c>
      <c r="E938" s="471" t="s">
        <v>1402</v>
      </c>
      <c r="F938" s="466" t="s">
        <v>1074</v>
      </c>
      <c r="G938" s="344"/>
      <c r="H938" s="344"/>
      <c r="I938" s="344"/>
      <c r="J938" s="344"/>
      <c r="K938" s="344"/>
      <c r="L938" s="344"/>
      <c r="M938" s="344"/>
      <c r="N938" s="344"/>
      <c r="O938" s="344"/>
      <c r="P938" s="344"/>
      <c r="Q938" s="344"/>
      <c r="R938" s="344"/>
      <c r="S938" s="344"/>
      <c r="T938" s="344"/>
      <c r="U938" s="344"/>
      <c r="V938" s="344"/>
      <c r="W938" s="344"/>
      <c r="X938" s="344"/>
      <c r="Y938" s="344"/>
      <c r="Z938" s="344"/>
    </row>
    <row r="939">
      <c r="A939" s="129"/>
      <c r="B939" s="9"/>
      <c r="C939" s="460">
        <v>2023.0</v>
      </c>
      <c r="D939" s="473" t="s">
        <v>1405</v>
      </c>
      <c r="E939" s="471" t="s">
        <v>1235</v>
      </c>
      <c r="F939" s="466" t="s">
        <v>1074</v>
      </c>
      <c r="G939" s="344"/>
      <c r="H939" s="344"/>
      <c r="I939" s="344"/>
      <c r="J939" s="344"/>
      <c r="K939" s="344"/>
      <c r="L939" s="344"/>
      <c r="M939" s="344"/>
      <c r="N939" s="344"/>
      <c r="O939" s="344"/>
      <c r="P939" s="344"/>
      <c r="Q939" s="344"/>
      <c r="R939" s="344"/>
      <c r="S939" s="344"/>
      <c r="T939" s="344"/>
      <c r="U939" s="344"/>
      <c r="V939" s="344"/>
      <c r="W939" s="344"/>
      <c r="X939" s="344"/>
      <c r="Y939" s="344"/>
      <c r="Z939" s="344"/>
    </row>
    <row r="940">
      <c r="A940" s="129"/>
      <c r="B940" s="9"/>
      <c r="C940" s="9"/>
      <c r="D940" s="473" t="s">
        <v>1454</v>
      </c>
      <c r="E940" s="471" t="s">
        <v>1455</v>
      </c>
      <c r="F940" s="466" t="s">
        <v>1074</v>
      </c>
      <c r="G940" s="344"/>
      <c r="H940" s="344"/>
      <c r="I940" s="344"/>
      <c r="J940" s="344"/>
      <c r="K940" s="344"/>
      <c r="L940" s="344"/>
      <c r="M940" s="344"/>
      <c r="N940" s="344"/>
      <c r="O940" s="344"/>
      <c r="P940" s="344"/>
      <c r="Q940" s="344"/>
      <c r="R940" s="344"/>
      <c r="S940" s="344"/>
      <c r="T940" s="344"/>
      <c r="U940" s="344"/>
      <c r="V940" s="344"/>
      <c r="W940" s="344"/>
      <c r="X940" s="344"/>
      <c r="Y940" s="344"/>
      <c r="Z940" s="344"/>
    </row>
    <row r="941">
      <c r="A941" s="129"/>
      <c r="B941" s="9"/>
      <c r="C941" s="9"/>
      <c r="D941" s="473" t="s">
        <v>1096</v>
      </c>
      <c r="E941" s="471" t="s">
        <v>1456</v>
      </c>
      <c r="F941" s="466" t="s">
        <v>1074</v>
      </c>
      <c r="G941" s="344"/>
      <c r="H941" s="344"/>
      <c r="I941" s="344"/>
      <c r="J941" s="344"/>
      <c r="K941" s="344"/>
      <c r="L941" s="344"/>
      <c r="M941" s="344"/>
      <c r="N941" s="344"/>
      <c r="O941" s="344"/>
      <c r="P941" s="344"/>
      <c r="Q941" s="344"/>
      <c r="R941" s="344"/>
      <c r="S941" s="344"/>
      <c r="T941" s="344"/>
      <c r="U941" s="344"/>
      <c r="V941" s="344"/>
      <c r="W941" s="344"/>
      <c r="X941" s="344"/>
      <c r="Y941" s="344"/>
      <c r="Z941" s="344"/>
    </row>
    <row r="942">
      <c r="A942" s="129"/>
      <c r="B942" s="9"/>
      <c r="C942" s="9"/>
      <c r="D942" s="473" t="s">
        <v>1457</v>
      </c>
      <c r="E942" s="471" t="s">
        <v>1458</v>
      </c>
      <c r="F942" s="466" t="s">
        <v>1074</v>
      </c>
      <c r="G942" s="344"/>
      <c r="H942" s="344"/>
      <c r="I942" s="344"/>
      <c r="J942" s="344"/>
      <c r="K942" s="344"/>
      <c r="L942" s="344"/>
      <c r="M942" s="344"/>
      <c r="N942" s="344"/>
      <c r="O942" s="344"/>
      <c r="P942" s="344"/>
      <c r="Q942" s="344"/>
      <c r="R942" s="344"/>
      <c r="S942" s="344"/>
      <c r="T942" s="344"/>
      <c r="U942" s="344"/>
      <c r="V942" s="344"/>
      <c r="W942" s="344"/>
      <c r="X942" s="344"/>
      <c r="Y942" s="344"/>
      <c r="Z942" s="344"/>
    </row>
    <row r="943">
      <c r="A943" s="129"/>
      <c r="B943" s="9"/>
      <c r="C943" s="11"/>
      <c r="D943" s="473" t="s">
        <v>1459</v>
      </c>
      <c r="E943" s="471" t="s">
        <v>1460</v>
      </c>
      <c r="F943" s="466" t="s">
        <v>1074</v>
      </c>
      <c r="G943" s="344"/>
      <c r="H943" s="344"/>
      <c r="I943" s="344"/>
      <c r="J943" s="344"/>
      <c r="K943" s="344"/>
      <c r="L943" s="344"/>
      <c r="M943" s="344"/>
      <c r="N943" s="344"/>
      <c r="O943" s="344"/>
      <c r="P943" s="344"/>
      <c r="Q943" s="344"/>
      <c r="R943" s="344"/>
      <c r="S943" s="344"/>
      <c r="T943" s="344"/>
      <c r="U943" s="344"/>
      <c r="V943" s="344"/>
      <c r="W943" s="344"/>
      <c r="X943" s="344"/>
      <c r="Y943" s="344"/>
      <c r="Z943" s="344"/>
    </row>
    <row r="944">
      <c r="A944" s="129"/>
      <c r="B944" s="9"/>
      <c r="C944" s="460">
        <v>2022.0</v>
      </c>
      <c r="D944" s="473" t="s">
        <v>1461</v>
      </c>
      <c r="E944" s="471" t="s">
        <v>1462</v>
      </c>
      <c r="F944" s="466" t="s">
        <v>1074</v>
      </c>
      <c r="G944" s="344"/>
      <c r="H944" s="344"/>
      <c r="I944" s="344"/>
      <c r="J944" s="344"/>
      <c r="K944" s="344"/>
      <c r="L944" s="344"/>
      <c r="M944" s="344"/>
      <c r="N944" s="344"/>
      <c r="O944" s="344"/>
      <c r="P944" s="344"/>
      <c r="Q944" s="344"/>
      <c r="R944" s="344"/>
      <c r="S944" s="344"/>
      <c r="T944" s="344"/>
      <c r="U944" s="344"/>
      <c r="V944" s="344"/>
      <c r="W944" s="344"/>
      <c r="X944" s="344"/>
      <c r="Y944" s="344"/>
      <c r="Z944" s="344"/>
    </row>
    <row r="945">
      <c r="A945" s="129"/>
      <c r="B945" s="9"/>
      <c r="C945" s="9"/>
      <c r="D945" s="473" t="s">
        <v>1463</v>
      </c>
      <c r="E945" s="471" t="s">
        <v>1464</v>
      </c>
      <c r="F945" s="466" t="s">
        <v>1074</v>
      </c>
      <c r="G945" s="344"/>
      <c r="H945" s="344"/>
      <c r="I945" s="344"/>
      <c r="J945" s="344"/>
      <c r="K945" s="344"/>
      <c r="L945" s="344"/>
      <c r="M945" s="344"/>
      <c r="N945" s="344"/>
      <c r="O945" s="344"/>
      <c r="P945" s="344"/>
      <c r="Q945" s="344"/>
      <c r="R945" s="344"/>
      <c r="S945" s="344"/>
      <c r="T945" s="344"/>
      <c r="U945" s="344"/>
      <c r="V945" s="344"/>
      <c r="W945" s="344"/>
      <c r="X945" s="344"/>
      <c r="Y945" s="344"/>
      <c r="Z945" s="344"/>
    </row>
    <row r="946">
      <c r="A946" s="56"/>
      <c r="B946" s="11"/>
      <c r="C946" s="11"/>
      <c r="D946" s="473" t="s">
        <v>1465</v>
      </c>
      <c r="E946" s="471" t="s">
        <v>1466</v>
      </c>
      <c r="F946" s="466" t="s">
        <v>1074</v>
      </c>
      <c r="G946" s="344"/>
      <c r="H946" s="344"/>
      <c r="I946" s="344"/>
      <c r="J946" s="344"/>
      <c r="K946" s="344"/>
      <c r="L946" s="344"/>
      <c r="M946" s="344"/>
      <c r="N946" s="344"/>
      <c r="O946" s="344"/>
      <c r="P946" s="344"/>
      <c r="Q946" s="344"/>
      <c r="R946" s="344"/>
      <c r="S946" s="344"/>
      <c r="T946" s="344"/>
      <c r="U946" s="344"/>
      <c r="V946" s="344"/>
      <c r="W946" s="344"/>
      <c r="X946" s="344"/>
      <c r="Y946" s="344"/>
      <c r="Z946" s="344"/>
    </row>
    <row r="947">
      <c r="A947" s="458">
        <v>43.0</v>
      </c>
      <c r="B947" s="459" t="s">
        <v>784</v>
      </c>
      <c r="C947" s="465">
        <v>2024.0</v>
      </c>
      <c r="D947" s="473" t="s">
        <v>1415</v>
      </c>
      <c r="E947" s="471" t="s">
        <v>1416</v>
      </c>
      <c r="F947" s="466" t="s">
        <v>1074</v>
      </c>
      <c r="G947" s="344"/>
      <c r="H947" s="344"/>
      <c r="I947" s="344"/>
      <c r="J947" s="344"/>
      <c r="K947" s="344"/>
      <c r="L947" s="344"/>
      <c r="M947" s="344"/>
      <c r="N947" s="344"/>
      <c r="O947" s="344"/>
      <c r="P947" s="344"/>
      <c r="Q947" s="344"/>
      <c r="R947" s="344"/>
      <c r="S947" s="344"/>
      <c r="T947" s="344"/>
      <c r="U947" s="344"/>
      <c r="V947" s="344"/>
      <c r="W947" s="344"/>
      <c r="X947" s="344"/>
      <c r="Y947" s="344"/>
      <c r="Z947" s="344"/>
    </row>
    <row r="948">
      <c r="A948" s="129"/>
      <c r="B948" s="9"/>
      <c r="C948" s="460">
        <v>2023.0</v>
      </c>
      <c r="D948" s="473" t="s">
        <v>1121</v>
      </c>
      <c r="E948" s="471" t="s">
        <v>1467</v>
      </c>
      <c r="F948" s="466" t="s">
        <v>1074</v>
      </c>
      <c r="G948" s="344"/>
      <c r="H948" s="344"/>
      <c r="I948" s="344"/>
      <c r="J948" s="344"/>
      <c r="K948" s="344"/>
      <c r="L948" s="344"/>
      <c r="M948" s="344"/>
      <c r="N948" s="344"/>
      <c r="O948" s="344"/>
      <c r="P948" s="344"/>
      <c r="Q948" s="344"/>
      <c r="R948" s="344"/>
      <c r="S948" s="344"/>
      <c r="T948" s="344"/>
      <c r="U948" s="344"/>
      <c r="V948" s="344"/>
      <c r="W948" s="344"/>
      <c r="X948" s="344"/>
      <c r="Y948" s="344"/>
      <c r="Z948" s="344"/>
    </row>
    <row r="949">
      <c r="A949" s="129"/>
      <c r="B949" s="9"/>
      <c r="C949" s="9"/>
      <c r="D949" s="473" t="s">
        <v>1432</v>
      </c>
      <c r="E949" s="471" t="s">
        <v>1433</v>
      </c>
      <c r="F949" s="466" t="s">
        <v>1074</v>
      </c>
      <c r="G949" s="344"/>
      <c r="H949" s="344"/>
      <c r="I949" s="344"/>
      <c r="J949" s="344"/>
      <c r="K949" s="344"/>
      <c r="L949" s="344"/>
      <c r="M949" s="344"/>
      <c r="N949" s="344"/>
      <c r="O949" s="344"/>
      <c r="P949" s="344"/>
      <c r="Q949" s="344"/>
      <c r="R949" s="344"/>
      <c r="S949" s="344"/>
      <c r="T949" s="344"/>
      <c r="U949" s="344"/>
      <c r="V949" s="344"/>
      <c r="W949" s="344"/>
      <c r="X949" s="344"/>
      <c r="Y949" s="344"/>
      <c r="Z949" s="344"/>
    </row>
    <row r="950">
      <c r="A950" s="129"/>
      <c r="B950" s="9"/>
      <c r="C950" s="9"/>
      <c r="D950" s="473" t="s">
        <v>1468</v>
      </c>
      <c r="E950" s="471" t="s">
        <v>1469</v>
      </c>
      <c r="F950" s="466" t="s">
        <v>1074</v>
      </c>
      <c r="G950" s="344"/>
      <c r="H950" s="344"/>
      <c r="I950" s="344"/>
      <c r="J950" s="344"/>
      <c r="K950" s="344"/>
      <c r="L950" s="344"/>
      <c r="M950" s="344"/>
      <c r="N950" s="344"/>
      <c r="O950" s="344"/>
      <c r="P950" s="344"/>
      <c r="Q950" s="344"/>
      <c r="R950" s="344"/>
      <c r="S950" s="344"/>
      <c r="T950" s="344"/>
      <c r="U950" s="344"/>
      <c r="V950" s="344"/>
      <c r="W950" s="344"/>
      <c r="X950" s="344"/>
      <c r="Y950" s="344"/>
      <c r="Z950" s="344"/>
    </row>
    <row r="951">
      <c r="A951" s="129"/>
      <c r="B951" s="9"/>
      <c r="C951" s="9"/>
      <c r="D951" s="473" t="s">
        <v>1231</v>
      </c>
      <c r="E951" s="471" t="s">
        <v>1470</v>
      </c>
      <c r="F951" s="466" t="s">
        <v>1074</v>
      </c>
      <c r="G951" s="344"/>
      <c r="H951" s="344"/>
      <c r="I951" s="344"/>
      <c r="J951" s="344"/>
      <c r="K951" s="344"/>
      <c r="L951" s="344"/>
      <c r="M951" s="344"/>
      <c r="N951" s="344"/>
      <c r="O951" s="344"/>
      <c r="P951" s="344"/>
      <c r="Q951" s="344"/>
      <c r="R951" s="344"/>
      <c r="S951" s="344"/>
      <c r="T951" s="344"/>
      <c r="U951" s="344"/>
      <c r="V951" s="344"/>
      <c r="W951" s="344"/>
      <c r="X951" s="344"/>
      <c r="Y951" s="344"/>
      <c r="Z951" s="344"/>
    </row>
    <row r="952">
      <c r="A952" s="129"/>
      <c r="B952" s="9"/>
      <c r="C952" s="9"/>
      <c r="D952" s="473" t="s">
        <v>1471</v>
      </c>
      <c r="E952" s="471" t="s">
        <v>1472</v>
      </c>
      <c r="F952" s="466" t="s">
        <v>1074</v>
      </c>
      <c r="G952" s="344"/>
      <c r="H952" s="344"/>
      <c r="I952" s="344"/>
      <c r="J952" s="344"/>
      <c r="K952" s="344"/>
      <c r="L952" s="344"/>
      <c r="M952" s="344"/>
      <c r="N952" s="344"/>
      <c r="O952" s="344"/>
      <c r="P952" s="344"/>
      <c r="Q952" s="344"/>
      <c r="R952" s="344"/>
      <c r="S952" s="344"/>
      <c r="T952" s="344"/>
      <c r="U952" s="344"/>
      <c r="V952" s="344"/>
      <c r="W952" s="344"/>
      <c r="X952" s="344"/>
      <c r="Y952" s="344"/>
      <c r="Z952" s="344"/>
    </row>
    <row r="953">
      <c r="A953" s="129"/>
      <c r="B953" s="9"/>
      <c r="C953" s="9"/>
      <c r="D953" s="473" t="s">
        <v>1473</v>
      </c>
      <c r="E953" s="471" t="s">
        <v>1474</v>
      </c>
      <c r="F953" s="466" t="s">
        <v>1074</v>
      </c>
      <c r="G953" s="344"/>
      <c r="H953" s="344"/>
      <c r="I953" s="344"/>
      <c r="J953" s="344"/>
      <c r="K953" s="344"/>
      <c r="L953" s="344"/>
      <c r="M953" s="344"/>
      <c r="N953" s="344"/>
      <c r="O953" s="344"/>
      <c r="P953" s="344"/>
      <c r="Q953" s="344"/>
      <c r="R953" s="344"/>
      <c r="S953" s="344"/>
      <c r="T953" s="344"/>
      <c r="U953" s="344"/>
      <c r="V953" s="344"/>
      <c r="W953" s="344"/>
      <c r="X953" s="344"/>
      <c r="Y953" s="344"/>
      <c r="Z953" s="344"/>
    </row>
    <row r="954">
      <c r="A954" s="129"/>
      <c r="B954" s="9"/>
      <c r="C954" s="9"/>
      <c r="D954" s="473" t="s">
        <v>1475</v>
      </c>
      <c r="E954" s="471" t="s">
        <v>1476</v>
      </c>
      <c r="F954" s="466" t="s">
        <v>1074</v>
      </c>
      <c r="G954" s="344"/>
      <c r="H954" s="344"/>
      <c r="I954" s="344"/>
      <c r="J954" s="344"/>
      <c r="K954" s="344"/>
      <c r="L954" s="344"/>
      <c r="M954" s="344"/>
      <c r="N954" s="344"/>
      <c r="O954" s="344"/>
      <c r="P954" s="344"/>
      <c r="Q954" s="344"/>
      <c r="R954" s="344"/>
      <c r="S954" s="344"/>
      <c r="T954" s="344"/>
      <c r="U954" s="344"/>
      <c r="V954" s="344"/>
      <c r="W954" s="344"/>
      <c r="X954" s="344"/>
      <c r="Y954" s="344"/>
      <c r="Z954" s="344"/>
    </row>
    <row r="955">
      <c r="A955" s="129"/>
      <c r="B955" s="9"/>
      <c r="C955" s="11"/>
      <c r="D955" s="473" t="s">
        <v>1477</v>
      </c>
      <c r="E955" s="471" t="s">
        <v>1478</v>
      </c>
      <c r="F955" s="466" t="s">
        <v>1074</v>
      </c>
      <c r="G955" s="344"/>
      <c r="H955" s="344"/>
      <c r="I955" s="344"/>
      <c r="J955" s="344"/>
      <c r="K955" s="344"/>
      <c r="L955" s="344"/>
      <c r="M955" s="344"/>
      <c r="N955" s="344"/>
      <c r="O955" s="344"/>
      <c r="P955" s="344"/>
      <c r="Q955" s="344"/>
      <c r="R955" s="344"/>
      <c r="S955" s="344"/>
      <c r="T955" s="344"/>
      <c r="U955" s="344"/>
      <c r="V955" s="344"/>
      <c r="W955" s="344"/>
      <c r="X955" s="344"/>
      <c r="Y955" s="344"/>
      <c r="Z955" s="344"/>
    </row>
    <row r="956">
      <c r="A956" s="56"/>
      <c r="B956" s="11"/>
      <c r="C956" s="465">
        <v>2022.0</v>
      </c>
      <c r="D956" s="473" t="s">
        <v>1479</v>
      </c>
      <c r="E956" s="471" t="s">
        <v>1149</v>
      </c>
      <c r="F956" s="466" t="s">
        <v>1074</v>
      </c>
      <c r="G956" s="344"/>
      <c r="H956" s="344"/>
      <c r="I956" s="344"/>
      <c r="J956" s="344"/>
      <c r="K956" s="344"/>
      <c r="L956" s="344"/>
      <c r="M956" s="344"/>
      <c r="N956" s="344"/>
      <c r="O956" s="344"/>
      <c r="P956" s="344"/>
      <c r="Q956" s="344"/>
      <c r="R956" s="344"/>
      <c r="S956" s="344"/>
      <c r="T956" s="344"/>
      <c r="U956" s="344"/>
      <c r="V956" s="344"/>
      <c r="W956" s="344"/>
      <c r="X956" s="344"/>
      <c r="Y956" s="344"/>
      <c r="Z956" s="344"/>
    </row>
    <row r="957">
      <c r="A957" s="458">
        <v>44.0</v>
      </c>
      <c r="B957" s="459" t="s">
        <v>786</v>
      </c>
      <c r="C957" s="460">
        <v>2024.0</v>
      </c>
      <c r="D957" s="473" t="s">
        <v>1480</v>
      </c>
      <c r="E957" s="471" t="s">
        <v>1481</v>
      </c>
      <c r="F957" s="466" t="s">
        <v>1074</v>
      </c>
      <c r="G957" s="344"/>
      <c r="H957" s="344"/>
      <c r="I957" s="344"/>
      <c r="J957" s="344"/>
      <c r="K957" s="344"/>
      <c r="L957" s="344"/>
      <c r="M957" s="344"/>
      <c r="N957" s="344"/>
      <c r="O957" s="344"/>
      <c r="P957" s="344"/>
      <c r="Q957" s="344"/>
      <c r="R957" s="344"/>
      <c r="S957" s="344"/>
      <c r="T957" s="344"/>
      <c r="U957" s="344"/>
      <c r="V957" s="344"/>
      <c r="W957" s="344"/>
      <c r="X957" s="344"/>
      <c r="Y957" s="344"/>
      <c r="Z957" s="344"/>
    </row>
    <row r="958">
      <c r="A958" s="129"/>
      <c r="B958" s="9"/>
      <c r="C958" s="11"/>
      <c r="D958" s="473" t="s">
        <v>1482</v>
      </c>
      <c r="E958" s="471" t="s">
        <v>1483</v>
      </c>
      <c r="F958" s="466" t="s">
        <v>1074</v>
      </c>
      <c r="G958" s="344"/>
      <c r="H958" s="344"/>
      <c r="I958" s="344"/>
      <c r="J958" s="344"/>
      <c r="K958" s="344"/>
      <c r="L958" s="344"/>
      <c r="M958" s="344"/>
      <c r="N958" s="344"/>
      <c r="O958" s="344"/>
      <c r="P958" s="344"/>
      <c r="Q958" s="344"/>
      <c r="R958" s="344"/>
      <c r="S958" s="344"/>
      <c r="T958" s="344"/>
      <c r="U958" s="344"/>
      <c r="V958" s="344"/>
      <c r="W958" s="344"/>
      <c r="X958" s="344"/>
      <c r="Y958" s="344"/>
      <c r="Z958" s="344"/>
    </row>
    <row r="959">
      <c r="A959" s="129"/>
      <c r="B959" s="9"/>
      <c r="C959" s="460">
        <v>2023.0</v>
      </c>
      <c r="D959" s="473" t="s">
        <v>1471</v>
      </c>
      <c r="E959" s="471" t="s">
        <v>1472</v>
      </c>
      <c r="F959" s="466" t="s">
        <v>1074</v>
      </c>
      <c r="G959" s="344"/>
      <c r="H959" s="344"/>
      <c r="I959" s="344"/>
      <c r="J959" s="344"/>
      <c r="K959" s="344"/>
      <c r="L959" s="344"/>
      <c r="M959" s="344"/>
      <c r="N959" s="344"/>
      <c r="O959" s="344"/>
      <c r="P959" s="344"/>
      <c r="Q959" s="344"/>
      <c r="R959" s="344"/>
      <c r="S959" s="344"/>
      <c r="T959" s="344"/>
      <c r="U959" s="344"/>
      <c r="V959" s="344"/>
      <c r="W959" s="344"/>
      <c r="X959" s="344"/>
      <c r="Y959" s="344"/>
      <c r="Z959" s="344"/>
    </row>
    <row r="960">
      <c r="A960" s="129"/>
      <c r="B960" s="9"/>
      <c r="C960" s="9"/>
      <c r="D960" s="473" t="s">
        <v>1484</v>
      </c>
      <c r="E960" s="471" t="s">
        <v>1485</v>
      </c>
      <c r="F960" s="466" t="s">
        <v>1074</v>
      </c>
      <c r="G960" s="344"/>
      <c r="H960" s="344"/>
      <c r="I960" s="344"/>
      <c r="J960" s="344"/>
      <c r="K960" s="344"/>
      <c r="L960" s="344"/>
      <c r="M960" s="344"/>
      <c r="N960" s="344"/>
      <c r="O960" s="344"/>
      <c r="P960" s="344"/>
      <c r="Q960" s="344"/>
      <c r="R960" s="344"/>
      <c r="S960" s="344"/>
      <c r="T960" s="344"/>
      <c r="U960" s="344"/>
      <c r="V960" s="344"/>
      <c r="W960" s="344"/>
      <c r="X960" s="344"/>
      <c r="Y960" s="344"/>
      <c r="Z960" s="344"/>
    </row>
    <row r="961">
      <c r="A961" s="129"/>
      <c r="B961" s="9"/>
      <c r="C961" s="11"/>
      <c r="D961" s="473" t="s">
        <v>1486</v>
      </c>
      <c r="E961" s="471" t="s">
        <v>1487</v>
      </c>
      <c r="F961" s="466" t="s">
        <v>1074</v>
      </c>
      <c r="G961" s="344"/>
      <c r="H961" s="344"/>
      <c r="I961" s="344"/>
      <c r="J961" s="344"/>
      <c r="K961" s="344"/>
      <c r="L961" s="344"/>
      <c r="M961" s="344"/>
      <c r="N961" s="344"/>
      <c r="O961" s="344"/>
      <c r="P961" s="344"/>
      <c r="Q961" s="344"/>
      <c r="R961" s="344"/>
      <c r="S961" s="344"/>
      <c r="T961" s="344"/>
      <c r="U961" s="344"/>
      <c r="V961" s="344"/>
      <c r="W961" s="344"/>
      <c r="X961" s="344"/>
      <c r="Y961" s="344"/>
      <c r="Z961" s="344"/>
    </row>
    <row r="962">
      <c r="A962" s="129"/>
      <c r="B962" s="9"/>
      <c r="C962" s="460">
        <v>2022.0</v>
      </c>
      <c r="D962" s="473" t="s">
        <v>1488</v>
      </c>
      <c r="E962" s="471" t="s">
        <v>1149</v>
      </c>
      <c r="F962" s="466" t="s">
        <v>1074</v>
      </c>
      <c r="G962" s="344"/>
      <c r="H962" s="344"/>
      <c r="I962" s="344"/>
      <c r="J962" s="344"/>
      <c r="K962" s="344"/>
      <c r="L962" s="344"/>
      <c r="M962" s="344"/>
      <c r="N962" s="344"/>
      <c r="O962" s="344"/>
      <c r="P962" s="344"/>
      <c r="Q962" s="344"/>
      <c r="R962" s="344"/>
      <c r="S962" s="344"/>
      <c r="T962" s="344"/>
      <c r="U962" s="344"/>
      <c r="V962" s="344"/>
      <c r="W962" s="344"/>
      <c r="X962" s="344"/>
      <c r="Y962" s="344"/>
      <c r="Z962" s="344"/>
    </row>
    <row r="963">
      <c r="A963" s="129"/>
      <c r="B963" s="9"/>
      <c r="C963" s="9"/>
      <c r="D963" s="473" t="s">
        <v>1489</v>
      </c>
      <c r="E963" s="471" t="s">
        <v>1490</v>
      </c>
      <c r="F963" s="466" t="s">
        <v>1074</v>
      </c>
      <c r="G963" s="344"/>
      <c r="H963" s="344"/>
      <c r="I963" s="344"/>
      <c r="J963" s="344"/>
      <c r="K963" s="344"/>
      <c r="L963" s="344"/>
      <c r="M963" s="344"/>
      <c r="N963" s="344"/>
      <c r="O963" s="344"/>
      <c r="P963" s="344"/>
      <c r="Q963" s="344"/>
      <c r="R963" s="344"/>
      <c r="S963" s="344"/>
      <c r="T963" s="344"/>
      <c r="U963" s="344"/>
      <c r="V963" s="344"/>
      <c r="W963" s="344"/>
      <c r="X963" s="344"/>
      <c r="Y963" s="344"/>
      <c r="Z963" s="344"/>
    </row>
    <row r="964">
      <c r="A964" s="56"/>
      <c r="B964" s="11"/>
      <c r="C964" s="11"/>
      <c r="D964" s="473" t="s">
        <v>1491</v>
      </c>
      <c r="E964" s="471" t="s">
        <v>1492</v>
      </c>
      <c r="F964" s="466" t="s">
        <v>1074</v>
      </c>
      <c r="G964" s="344"/>
      <c r="H964" s="344"/>
      <c r="I964" s="344"/>
      <c r="J964" s="344"/>
      <c r="K964" s="344"/>
      <c r="L964" s="344"/>
      <c r="M964" s="344"/>
      <c r="N964" s="344"/>
      <c r="O964" s="344"/>
      <c r="P964" s="344"/>
      <c r="Q964" s="344"/>
      <c r="R964" s="344"/>
      <c r="S964" s="344"/>
      <c r="T964" s="344"/>
      <c r="U964" s="344"/>
      <c r="V964" s="344"/>
      <c r="W964" s="344"/>
      <c r="X964" s="344"/>
      <c r="Y964" s="344"/>
      <c r="Z964" s="344"/>
    </row>
    <row r="965">
      <c r="A965" s="458">
        <v>45.0</v>
      </c>
      <c r="B965" s="459" t="s">
        <v>787</v>
      </c>
      <c r="C965" s="460">
        <v>2024.0</v>
      </c>
      <c r="D965" s="473" t="s">
        <v>1401</v>
      </c>
      <c r="E965" s="471" t="s">
        <v>1402</v>
      </c>
      <c r="F965" s="466" t="s">
        <v>1074</v>
      </c>
      <c r="G965" s="344"/>
      <c r="H965" s="344"/>
      <c r="I965" s="344"/>
      <c r="J965" s="344"/>
      <c r="K965" s="344"/>
      <c r="L965" s="344"/>
      <c r="M965" s="344"/>
      <c r="N965" s="344"/>
      <c r="O965" s="344"/>
      <c r="P965" s="344"/>
      <c r="Q965" s="344"/>
      <c r="R965" s="344"/>
      <c r="S965" s="344"/>
      <c r="T965" s="344"/>
      <c r="U965" s="344"/>
      <c r="V965" s="344"/>
      <c r="W965" s="344"/>
      <c r="X965" s="344"/>
      <c r="Y965" s="344"/>
      <c r="Z965" s="344"/>
    </row>
    <row r="966">
      <c r="A966" s="129"/>
      <c r="B966" s="9"/>
      <c r="C966" s="9"/>
      <c r="D966" s="473" t="s">
        <v>1482</v>
      </c>
      <c r="E966" s="471" t="s">
        <v>1483</v>
      </c>
      <c r="F966" s="466" t="s">
        <v>1074</v>
      </c>
      <c r="G966" s="344"/>
      <c r="H966" s="344"/>
      <c r="I966" s="344"/>
      <c r="J966" s="344"/>
      <c r="K966" s="344"/>
      <c r="L966" s="344"/>
      <c r="M966" s="344"/>
      <c r="N966" s="344"/>
      <c r="O966" s="344"/>
      <c r="P966" s="344"/>
      <c r="Q966" s="344"/>
      <c r="R966" s="344"/>
      <c r="S966" s="344"/>
      <c r="T966" s="344"/>
      <c r="U966" s="344"/>
      <c r="V966" s="344"/>
      <c r="W966" s="344"/>
      <c r="X966" s="344"/>
      <c r="Y966" s="344"/>
      <c r="Z966" s="344"/>
    </row>
    <row r="967">
      <c r="A967" s="129"/>
      <c r="B967" s="9"/>
      <c r="C967" s="11"/>
      <c r="D967" s="473" t="s">
        <v>1409</v>
      </c>
      <c r="E967" s="471" t="s">
        <v>1410</v>
      </c>
      <c r="F967" s="466" t="s">
        <v>1074</v>
      </c>
      <c r="G967" s="344"/>
      <c r="H967" s="344"/>
      <c r="I967" s="344"/>
      <c r="J967" s="344"/>
      <c r="K967" s="344"/>
      <c r="L967" s="344"/>
      <c r="M967" s="344"/>
      <c r="N967" s="344"/>
      <c r="O967" s="344"/>
      <c r="P967" s="344"/>
      <c r="Q967" s="344"/>
      <c r="R967" s="344"/>
      <c r="S967" s="344"/>
      <c r="T967" s="344"/>
      <c r="U967" s="344"/>
      <c r="V967" s="344"/>
      <c r="W967" s="344"/>
      <c r="X967" s="344"/>
      <c r="Y967" s="344"/>
      <c r="Z967" s="344"/>
    </row>
    <row r="968">
      <c r="A968" s="129"/>
      <c r="B968" s="9"/>
      <c r="C968" s="460">
        <v>2023.0</v>
      </c>
      <c r="D968" s="473" t="s">
        <v>1405</v>
      </c>
      <c r="E968" s="471" t="s">
        <v>1235</v>
      </c>
      <c r="F968" s="466" t="s">
        <v>1074</v>
      </c>
      <c r="G968" s="344"/>
      <c r="H968" s="344"/>
      <c r="I968" s="344"/>
      <c r="J968" s="344"/>
      <c r="K968" s="344"/>
      <c r="L968" s="344"/>
      <c r="M968" s="344"/>
      <c r="N968" s="344"/>
      <c r="O968" s="344"/>
      <c r="P968" s="344"/>
      <c r="Q968" s="344"/>
      <c r="R968" s="344"/>
      <c r="S968" s="344"/>
      <c r="T968" s="344"/>
      <c r="U968" s="344"/>
      <c r="V968" s="344"/>
      <c r="W968" s="344"/>
      <c r="X968" s="344"/>
      <c r="Y968" s="344"/>
      <c r="Z968" s="344"/>
    </row>
    <row r="969">
      <c r="A969" s="129"/>
      <c r="B969" s="9"/>
      <c r="C969" s="9"/>
      <c r="D969" s="473" t="s">
        <v>1493</v>
      </c>
      <c r="E969" s="471" t="s">
        <v>1494</v>
      </c>
      <c r="F969" s="466" t="s">
        <v>1074</v>
      </c>
      <c r="G969" s="344"/>
      <c r="H969" s="344"/>
      <c r="I969" s="344"/>
      <c r="J969" s="344"/>
      <c r="K969" s="344"/>
      <c r="L969" s="344"/>
      <c r="M969" s="344"/>
      <c r="N969" s="344"/>
      <c r="O969" s="344"/>
      <c r="P969" s="344"/>
      <c r="Q969" s="344"/>
      <c r="R969" s="344"/>
      <c r="S969" s="344"/>
      <c r="T969" s="344"/>
      <c r="U969" s="344"/>
      <c r="V969" s="344"/>
      <c r="W969" s="344"/>
      <c r="X969" s="344"/>
      <c r="Y969" s="344"/>
      <c r="Z969" s="344"/>
    </row>
    <row r="970">
      <c r="A970" s="129"/>
      <c r="B970" s="9"/>
      <c r="C970" s="9"/>
      <c r="D970" s="473" t="s">
        <v>1495</v>
      </c>
      <c r="E970" s="471" t="s">
        <v>1496</v>
      </c>
      <c r="F970" s="466" t="s">
        <v>1074</v>
      </c>
      <c r="G970" s="344"/>
      <c r="H970" s="344"/>
      <c r="I970" s="344"/>
      <c r="J970" s="344"/>
      <c r="K970" s="344"/>
      <c r="L970" s="344"/>
      <c r="M970" s="344"/>
      <c r="N970" s="344"/>
      <c r="O970" s="344"/>
      <c r="P970" s="344"/>
      <c r="Q970" s="344"/>
      <c r="R970" s="344"/>
      <c r="S970" s="344"/>
      <c r="T970" s="344"/>
      <c r="U970" s="344"/>
      <c r="V970" s="344"/>
      <c r="W970" s="344"/>
      <c r="X970" s="344"/>
      <c r="Y970" s="344"/>
      <c r="Z970" s="344"/>
    </row>
    <row r="971">
      <c r="A971" s="129"/>
      <c r="B971" s="9"/>
      <c r="C971" s="11"/>
      <c r="D971" s="473" t="s">
        <v>1497</v>
      </c>
      <c r="E971" s="471" t="s">
        <v>1498</v>
      </c>
      <c r="F971" s="466" t="s">
        <v>1074</v>
      </c>
      <c r="G971" s="344"/>
      <c r="H971" s="344"/>
      <c r="I971" s="344"/>
      <c r="J971" s="344"/>
      <c r="K971" s="344"/>
      <c r="L971" s="344"/>
      <c r="M971" s="344"/>
      <c r="N971" s="344"/>
      <c r="O971" s="344"/>
      <c r="P971" s="344"/>
      <c r="Q971" s="344"/>
      <c r="R971" s="344"/>
      <c r="S971" s="344"/>
      <c r="T971" s="344"/>
      <c r="U971" s="344"/>
      <c r="V971" s="344"/>
      <c r="W971" s="344"/>
      <c r="X971" s="344"/>
      <c r="Y971" s="344"/>
      <c r="Z971" s="344"/>
    </row>
    <row r="972">
      <c r="A972" s="129"/>
      <c r="B972" s="9"/>
      <c r="C972" s="460">
        <v>2022.0</v>
      </c>
      <c r="D972" s="473" t="s">
        <v>1499</v>
      </c>
      <c r="E972" s="471" t="s">
        <v>1500</v>
      </c>
      <c r="F972" s="466" t="s">
        <v>1074</v>
      </c>
      <c r="G972" s="344"/>
      <c r="H972" s="344"/>
      <c r="I972" s="344"/>
      <c r="J972" s="344"/>
      <c r="K972" s="344"/>
      <c r="L972" s="344"/>
      <c r="M972" s="344"/>
      <c r="N972" s="344"/>
      <c r="O972" s="344"/>
      <c r="P972" s="344"/>
      <c r="Q972" s="344"/>
      <c r="R972" s="344"/>
      <c r="S972" s="344"/>
      <c r="T972" s="344"/>
      <c r="U972" s="344"/>
      <c r="V972" s="344"/>
      <c r="W972" s="344"/>
      <c r="X972" s="344"/>
      <c r="Y972" s="344"/>
      <c r="Z972" s="344"/>
    </row>
    <row r="973">
      <c r="A973" s="56"/>
      <c r="B973" s="11"/>
      <c r="C973" s="11"/>
      <c r="D973" s="473" t="s">
        <v>1463</v>
      </c>
      <c r="E973" s="471" t="s">
        <v>1464</v>
      </c>
      <c r="F973" s="466" t="s">
        <v>1074</v>
      </c>
      <c r="G973" s="344"/>
      <c r="H973" s="344"/>
      <c r="I973" s="344"/>
      <c r="J973" s="344"/>
      <c r="K973" s="344"/>
      <c r="L973" s="344"/>
      <c r="M973" s="344"/>
      <c r="N973" s="344"/>
      <c r="O973" s="344"/>
      <c r="P973" s="344"/>
      <c r="Q973" s="344"/>
      <c r="R973" s="344"/>
      <c r="S973" s="344"/>
      <c r="T973" s="344"/>
      <c r="U973" s="344"/>
      <c r="V973" s="344"/>
      <c r="W973" s="344"/>
      <c r="X973" s="344"/>
      <c r="Y973" s="344"/>
      <c r="Z973" s="344"/>
    </row>
    <row r="974">
      <c r="A974" s="458">
        <v>46.0</v>
      </c>
      <c r="B974" s="459" t="s">
        <v>789</v>
      </c>
      <c r="C974" s="460">
        <v>2023.0</v>
      </c>
      <c r="D974" s="473" t="s">
        <v>1350</v>
      </c>
      <c r="E974" s="471" t="s">
        <v>1351</v>
      </c>
      <c r="F974" s="466" t="s">
        <v>1074</v>
      </c>
      <c r="G974" s="344"/>
      <c r="H974" s="344"/>
      <c r="I974" s="344"/>
      <c r="J974" s="344"/>
      <c r="K974" s="344"/>
      <c r="L974" s="344"/>
      <c r="M974" s="344"/>
      <c r="N974" s="344"/>
      <c r="O974" s="344"/>
      <c r="P974" s="344"/>
      <c r="Q974" s="344"/>
      <c r="R974" s="344"/>
      <c r="S974" s="344"/>
      <c r="T974" s="344"/>
      <c r="U974" s="344"/>
      <c r="V974" s="344"/>
      <c r="W974" s="344"/>
      <c r="X974" s="344"/>
      <c r="Y974" s="344"/>
      <c r="Z974" s="344"/>
    </row>
    <row r="975">
      <c r="A975" s="129"/>
      <c r="B975" s="9"/>
      <c r="C975" s="9"/>
      <c r="D975" s="473" t="s">
        <v>1501</v>
      </c>
      <c r="E975" s="471" t="s">
        <v>1502</v>
      </c>
      <c r="F975" s="466" t="s">
        <v>1074</v>
      </c>
      <c r="G975" s="344"/>
      <c r="H975" s="344"/>
      <c r="I975" s="344"/>
      <c r="J975" s="344"/>
      <c r="K975" s="344"/>
      <c r="L975" s="344"/>
      <c r="M975" s="344"/>
      <c r="N975" s="344"/>
      <c r="O975" s="344"/>
      <c r="P975" s="344"/>
      <c r="Q975" s="344"/>
      <c r="R975" s="344"/>
      <c r="S975" s="344"/>
      <c r="T975" s="344"/>
      <c r="U975" s="344"/>
      <c r="V975" s="344"/>
      <c r="W975" s="344"/>
      <c r="X975" s="344"/>
      <c r="Y975" s="344"/>
      <c r="Z975" s="344"/>
    </row>
    <row r="976">
      <c r="A976" s="129"/>
      <c r="B976" s="9"/>
      <c r="C976" s="11"/>
      <c r="D976" s="473" t="s">
        <v>1495</v>
      </c>
      <c r="E976" s="471" t="s">
        <v>1496</v>
      </c>
      <c r="F976" s="466" t="s">
        <v>1074</v>
      </c>
      <c r="G976" s="344"/>
      <c r="H976" s="344"/>
      <c r="I976" s="344"/>
      <c r="J976" s="344"/>
      <c r="K976" s="344"/>
      <c r="L976" s="344"/>
      <c r="M976" s="344"/>
      <c r="N976" s="344"/>
      <c r="O976" s="344"/>
      <c r="P976" s="344"/>
      <c r="Q976" s="344"/>
      <c r="R976" s="344"/>
      <c r="S976" s="344"/>
      <c r="T976" s="344"/>
      <c r="U976" s="344"/>
      <c r="V976" s="344"/>
      <c r="W976" s="344"/>
      <c r="X976" s="344"/>
      <c r="Y976" s="344"/>
      <c r="Z976" s="344"/>
    </row>
    <row r="977">
      <c r="A977" s="129"/>
      <c r="B977" s="9"/>
      <c r="C977" s="460">
        <v>2022.0</v>
      </c>
      <c r="D977" s="473" t="s">
        <v>1148</v>
      </c>
      <c r="E977" s="471" t="s">
        <v>1149</v>
      </c>
      <c r="F977" s="466" t="s">
        <v>1074</v>
      </c>
      <c r="G977" s="344"/>
      <c r="H977" s="344"/>
      <c r="I977" s="344"/>
      <c r="J977" s="344"/>
      <c r="K977" s="344"/>
      <c r="L977" s="344"/>
      <c r="M977" s="344"/>
      <c r="N977" s="344"/>
      <c r="O977" s="344"/>
      <c r="P977" s="344"/>
      <c r="Q977" s="344"/>
      <c r="R977" s="344"/>
      <c r="S977" s="344"/>
      <c r="T977" s="344"/>
      <c r="U977" s="344"/>
      <c r="V977" s="344"/>
      <c r="W977" s="344"/>
      <c r="X977" s="344"/>
      <c r="Y977" s="344"/>
      <c r="Z977" s="344"/>
    </row>
    <row r="978">
      <c r="A978" s="129"/>
      <c r="B978" s="9"/>
      <c r="C978" s="9"/>
      <c r="D978" s="473" t="s">
        <v>1503</v>
      </c>
      <c r="E978" s="471" t="s">
        <v>1504</v>
      </c>
      <c r="F978" s="466" t="s">
        <v>1074</v>
      </c>
      <c r="G978" s="344"/>
      <c r="H978" s="344"/>
      <c r="I978" s="344"/>
      <c r="J978" s="344"/>
      <c r="K978" s="344"/>
      <c r="L978" s="344"/>
      <c r="M978" s="344"/>
      <c r="N978" s="344"/>
      <c r="O978" s="344"/>
      <c r="P978" s="344"/>
      <c r="Q978" s="344"/>
      <c r="R978" s="344"/>
      <c r="S978" s="344"/>
      <c r="T978" s="344"/>
      <c r="U978" s="344"/>
      <c r="V978" s="344"/>
      <c r="W978" s="344"/>
      <c r="X978" s="344"/>
      <c r="Y978" s="344"/>
      <c r="Z978" s="344"/>
    </row>
    <row r="979">
      <c r="A979" s="129"/>
      <c r="B979" s="9"/>
      <c r="C979" s="9"/>
      <c r="D979" s="473" t="s">
        <v>1505</v>
      </c>
      <c r="E979" s="471" t="s">
        <v>1506</v>
      </c>
      <c r="F979" s="466" t="s">
        <v>1074</v>
      </c>
      <c r="G979" s="344"/>
      <c r="H979" s="344"/>
      <c r="I979" s="344"/>
      <c r="J979" s="344"/>
      <c r="K979" s="344"/>
      <c r="L979" s="344"/>
      <c r="M979" s="344"/>
      <c r="N979" s="344"/>
      <c r="O979" s="344"/>
      <c r="P979" s="344"/>
      <c r="Q979" s="344"/>
      <c r="R979" s="344"/>
      <c r="S979" s="344"/>
      <c r="T979" s="344"/>
      <c r="U979" s="344"/>
      <c r="V979" s="344"/>
      <c r="W979" s="344"/>
      <c r="X979" s="344"/>
      <c r="Y979" s="344"/>
      <c r="Z979" s="344"/>
    </row>
    <row r="980">
      <c r="A980" s="56"/>
      <c r="B980" s="11"/>
      <c r="C980" s="11"/>
      <c r="D980" s="473" t="s">
        <v>1507</v>
      </c>
      <c r="E980" s="471" t="s">
        <v>1508</v>
      </c>
      <c r="F980" s="466" t="s">
        <v>1074</v>
      </c>
      <c r="G980" s="344"/>
      <c r="H980" s="344"/>
      <c r="I980" s="344"/>
      <c r="J980" s="344"/>
      <c r="K980" s="344"/>
      <c r="L980" s="344"/>
      <c r="M980" s="344"/>
      <c r="N980" s="344"/>
      <c r="O980" s="344"/>
      <c r="P980" s="344"/>
      <c r="Q980" s="344"/>
      <c r="R980" s="344"/>
      <c r="S980" s="344"/>
      <c r="T980" s="344"/>
      <c r="U980" s="344"/>
      <c r="V980" s="344"/>
      <c r="W980" s="344"/>
      <c r="X980" s="344"/>
      <c r="Y980" s="344"/>
      <c r="Z980" s="344"/>
    </row>
    <row r="981">
      <c r="A981" s="458">
        <v>47.0</v>
      </c>
      <c r="B981" s="459" t="s">
        <v>790</v>
      </c>
      <c r="C981" s="465">
        <v>2023.0</v>
      </c>
      <c r="D981" s="473" t="s">
        <v>1350</v>
      </c>
      <c r="E981" s="471" t="s">
        <v>1351</v>
      </c>
      <c r="F981" s="466" t="s">
        <v>1074</v>
      </c>
      <c r="G981" s="344"/>
      <c r="H981" s="344"/>
      <c r="I981" s="344"/>
      <c r="J981" s="344"/>
      <c r="K981" s="344"/>
      <c r="L981" s="344"/>
      <c r="M981" s="344"/>
      <c r="N981" s="344"/>
      <c r="O981" s="344"/>
      <c r="P981" s="344"/>
      <c r="Q981" s="344"/>
      <c r="R981" s="344"/>
      <c r="S981" s="344"/>
      <c r="T981" s="344"/>
      <c r="U981" s="344"/>
      <c r="V981" s="344"/>
      <c r="W981" s="344"/>
      <c r="X981" s="344"/>
      <c r="Y981" s="344"/>
      <c r="Z981" s="344"/>
    </row>
    <row r="982">
      <c r="A982" s="129"/>
      <c r="B982" s="9"/>
      <c r="C982" s="460">
        <v>2022.0</v>
      </c>
      <c r="D982" s="473" t="s">
        <v>1509</v>
      </c>
      <c r="E982" s="471" t="s">
        <v>1510</v>
      </c>
      <c r="F982" s="466" t="s">
        <v>1074</v>
      </c>
      <c r="G982" s="344"/>
      <c r="H982" s="344"/>
      <c r="I982" s="344"/>
      <c r="J982" s="344"/>
      <c r="K982" s="344"/>
      <c r="L982" s="344"/>
      <c r="M982" s="344"/>
      <c r="N982" s="344"/>
      <c r="O982" s="344"/>
      <c r="P982" s="344"/>
      <c r="Q982" s="344"/>
      <c r="R982" s="344"/>
      <c r="S982" s="344"/>
      <c r="T982" s="344"/>
      <c r="U982" s="344"/>
      <c r="V982" s="344"/>
      <c r="W982" s="344"/>
      <c r="X982" s="344"/>
      <c r="Y982" s="344"/>
      <c r="Z982" s="344"/>
    </row>
    <row r="983">
      <c r="A983" s="56"/>
      <c r="B983" s="11"/>
      <c r="C983" s="11"/>
      <c r="D983" s="473" t="s">
        <v>1511</v>
      </c>
      <c r="E983" s="471" t="s">
        <v>1512</v>
      </c>
      <c r="F983" s="466" t="s">
        <v>1074</v>
      </c>
      <c r="G983" s="344"/>
      <c r="H983" s="344"/>
      <c r="I983" s="344"/>
      <c r="J983" s="344"/>
      <c r="K983" s="344"/>
      <c r="L983" s="344"/>
      <c r="M983" s="344"/>
      <c r="N983" s="344"/>
      <c r="O983" s="344"/>
      <c r="P983" s="344"/>
      <c r="Q983" s="344"/>
      <c r="R983" s="344"/>
      <c r="S983" s="344"/>
      <c r="T983" s="344"/>
      <c r="U983" s="344"/>
      <c r="V983" s="344"/>
      <c r="W983" s="344"/>
      <c r="X983" s="344"/>
      <c r="Y983" s="344"/>
      <c r="Z983" s="344"/>
    </row>
    <row r="984">
      <c r="A984" s="458">
        <v>48.0</v>
      </c>
      <c r="B984" s="459" t="s">
        <v>791</v>
      </c>
      <c r="C984" s="460">
        <v>2024.0</v>
      </c>
      <c r="D984" s="473" t="s">
        <v>1513</v>
      </c>
      <c r="E984" s="471" t="s">
        <v>1514</v>
      </c>
      <c r="F984" s="466" t="s">
        <v>1074</v>
      </c>
      <c r="G984" s="344"/>
      <c r="H984" s="344"/>
      <c r="I984" s="344"/>
      <c r="J984" s="344"/>
      <c r="K984" s="344"/>
      <c r="L984" s="344"/>
      <c r="M984" s="344"/>
      <c r="N984" s="344"/>
      <c r="O984" s="344"/>
      <c r="P984" s="344"/>
      <c r="Q984" s="344"/>
      <c r="R984" s="344"/>
      <c r="S984" s="344"/>
      <c r="T984" s="344"/>
      <c r="U984" s="344"/>
      <c r="V984" s="344"/>
      <c r="W984" s="344"/>
      <c r="X984" s="344"/>
      <c r="Y984" s="344"/>
      <c r="Z984" s="344"/>
    </row>
    <row r="985">
      <c r="A985" s="129"/>
      <c r="B985" s="9"/>
      <c r="C985" s="11"/>
      <c r="D985" s="473" t="s">
        <v>1295</v>
      </c>
      <c r="E985" s="471" t="s">
        <v>1296</v>
      </c>
      <c r="F985" s="466" t="s">
        <v>1074</v>
      </c>
      <c r="G985" s="344"/>
      <c r="H985" s="344"/>
      <c r="I985" s="344"/>
      <c r="J985" s="344"/>
      <c r="K985" s="344"/>
      <c r="L985" s="344"/>
      <c r="M985" s="344"/>
      <c r="N985" s="344"/>
      <c r="O985" s="344"/>
      <c r="P985" s="344"/>
      <c r="Q985" s="344"/>
      <c r="R985" s="344"/>
      <c r="S985" s="344"/>
      <c r="T985" s="344"/>
      <c r="U985" s="344"/>
      <c r="V985" s="344"/>
      <c r="W985" s="344"/>
      <c r="X985" s="344"/>
      <c r="Y985" s="344"/>
      <c r="Z985" s="344"/>
    </row>
    <row r="986">
      <c r="A986" s="129"/>
      <c r="B986" s="9"/>
      <c r="C986" s="460">
        <v>2023.0</v>
      </c>
      <c r="D986" s="473" t="s">
        <v>1515</v>
      </c>
      <c r="E986" s="471" t="s">
        <v>1516</v>
      </c>
      <c r="F986" s="466" t="s">
        <v>1074</v>
      </c>
      <c r="G986" s="344"/>
      <c r="H986" s="344"/>
      <c r="I986" s="344"/>
      <c r="J986" s="344"/>
      <c r="K986" s="344"/>
      <c r="L986" s="344"/>
      <c r="M986" s="344"/>
      <c r="N986" s="344"/>
      <c r="O986" s="344"/>
      <c r="P986" s="344"/>
      <c r="Q986" s="344"/>
      <c r="R986" s="344"/>
      <c r="S986" s="344"/>
      <c r="T986" s="344"/>
      <c r="U986" s="344"/>
      <c r="V986" s="344"/>
      <c r="W986" s="344"/>
      <c r="X986" s="344"/>
      <c r="Y986" s="344"/>
      <c r="Z986" s="344"/>
    </row>
    <row r="987">
      <c r="A987" s="129"/>
      <c r="B987" s="9"/>
      <c r="C987" s="11"/>
      <c r="D987" s="473" t="s">
        <v>1128</v>
      </c>
      <c r="E987" s="471" t="s">
        <v>1255</v>
      </c>
      <c r="F987" s="466" t="s">
        <v>1074</v>
      </c>
      <c r="G987" s="344"/>
      <c r="H987" s="344"/>
      <c r="I987" s="344"/>
      <c r="J987" s="344"/>
      <c r="K987" s="344"/>
      <c r="L987" s="344"/>
      <c r="M987" s="344"/>
      <c r="N987" s="344"/>
      <c r="O987" s="344"/>
      <c r="P987" s="344"/>
      <c r="Q987" s="344"/>
      <c r="R987" s="344"/>
      <c r="S987" s="344"/>
      <c r="T987" s="344"/>
      <c r="U987" s="344"/>
      <c r="V987" s="344"/>
      <c r="W987" s="344"/>
      <c r="X987" s="344"/>
      <c r="Y987" s="344"/>
      <c r="Z987" s="344"/>
    </row>
    <row r="988">
      <c r="A988" s="129"/>
      <c r="B988" s="9"/>
      <c r="C988" s="460">
        <v>2022.0</v>
      </c>
      <c r="D988" s="473" t="s">
        <v>1245</v>
      </c>
      <c r="E988" s="471" t="s">
        <v>1149</v>
      </c>
      <c r="F988" s="466" t="s">
        <v>1074</v>
      </c>
      <c r="G988" s="344"/>
      <c r="H988" s="344"/>
      <c r="I988" s="344"/>
      <c r="J988" s="344"/>
      <c r="K988" s="344"/>
      <c r="L988" s="344"/>
      <c r="M988" s="344"/>
      <c r="N988" s="344"/>
      <c r="O988" s="344"/>
      <c r="P988" s="344"/>
      <c r="Q988" s="344"/>
      <c r="R988" s="344"/>
      <c r="S988" s="344"/>
      <c r="T988" s="344"/>
      <c r="U988" s="344"/>
      <c r="V988" s="344"/>
      <c r="W988" s="344"/>
      <c r="X988" s="344"/>
      <c r="Y988" s="344"/>
      <c r="Z988" s="344"/>
    </row>
    <row r="989">
      <c r="A989" s="129"/>
      <c r="B989" s="9"/>
      <c r="C989" s="9"/>
      <c r="D989" s="473" t="s">
        <v>1517</v>
      </c>
      <c r="E989" s="471" t="s">
        <v>1188</v>
      </c>
      <c r="F989" s="466" t="s">
        <v>1074</v>
      </c>
      <c r="G989" s="344"/>
      <c r="H989" s="344"/>
      <c r="I989" s="344"/>
      <c r="J989" s="344"/>
      <c r="K989" s="344"/>
      <c r="L989" s="344"/>
      <c r="M989" s="344"/>
      <c r="N989" s="344"/>
      <c r="O989" s="344"/>
      <c r="P989" s="344"/>
      <c r="Q989" s="344"/>
      <c r="R989" s="344"/>
      <c r="S989" s="344"/>
      <c r="T989" s="344"/>
      <c r="U989" s="344"/>
      <c r="V989" s="344"/>
      <c r="W989" s="344"/>
      <c r="X989" s="344"/>
      <c r="Y989" s="344"/>
      <c r="Z989" s="344"/>
    </row>
    <row r="990">
      <c r="A990" s="56"/>
      <c r="B990" s="11"/>
      <c r="C990" s="11"/>
      <c r="D990" s="473" t="s">
        <v>1214</v>
      </c>
      <c r="E990" s="471" t="s">
        <v>1518</v>
      </c>
      <c r="F990" s="466" t="s">
        <v>1074</v>
      </c>
      <c r="G990" s="344"/>
      <c r="H990" s="344"/>
      <c r="I990" s="344"/>
      <c r="J990" s="344"/>
      <c r="K990" s="344"/>
      <c r="L990" s="344"/>
      <c r="M990" s="344"/>
      <c r="N990" s="344"/>
      <c r="O990" s="344"/>
      <c r="P990" s="344"/>
      <c r="Q990" s="344"/>
      <c r="R990" s="344"/>
      <c r="S990" s="344"/>
      <c r="T990" s="344"/>
      <c r="U990" s="344"/>
      <c r="V990" s="344"/>
      <c r="W990" s="344"/>
      <c r="X990" s="344"/>
      <c r="Y990" s="344"/>
      <c r="Z990" s="344"/>
    </row>
    <row r="991">
      <c r="A991" s="458">
        <v>49.0</v>
      </c>
      <c r="B991" s="459" t="s">
        <v>793</v>
      </c>
      <c r="C991" s="460">
        <v>2024.0</v>
      </c>
      <c r="D991" s="473" t="s">
        <v>1519</v>
      </c>
      <c r="E991" s="471" t="s">
        <v>1520</v>
      </c>
      <c r="F991" s="466" t="s">
        <v>1074</v>
      </c>
      <c r="G991" s="344"/>
      <c r="H991" s="344"/>
      <c r="I991" s="344"/>
      <c r="J991" s="344"/>
      <c r="K991" s="344"/>
      <c r="L991" s="344"/>
      <c r="M991" s="344"/>
      <c r="N991" s="344"/>
      <c r="O991" s="344"/>
      <c r="P991" s="344"/>
      <c r="Q991" s="344"/>
      <c r="R991" s="344"/>
      <c r="S991" s="344"/>
      <c r="T991" s="344"/>
      <c r="U991" s="344"/>
      <c r="V991" s="344"/>
      <c r="W991" s="344"/>
      <c r="X991" s="344"/>
      <c r="Y991" s="344"/>
      <c r="Z991" s="344"/>
    </row>
    <row r="992">
      <c r="A992" s="129"/>
      <c r="B992" s="9"/>
      <c r="C992" s="9"/>
      <c r="D992" s="473" t="s">
        <v>1401</v>
      </c>
      <c r="E992" s="471" t="s">
        <v>1402</v>
      </c>
      <c r="F992" s="466" t="s">
        <v>1074</v>
      </c>
      <c r="G992" s="344"/>
      <c r="H992" s="344"/>
      <c r="I992" s="344"/>
      <c r="J992" s="344"/>
      <c r="K992" s="344"/>
      <c r="L992" s="344"/>
      <c r="M992" s="344"/>
      <c r="N992" s="344"/>
      <c r="O992" s="344"/>
      <c r="P992" s="344"/>
      <c r="Q992" s="344"/>
      <c r="R992" s="344"/>
      <c r="S992" s="344"/>
      <c r="T992" s="344"/>
      <c r="U992" s="344"/>
      <c r="V992" s="344"/>
      <c r="W992" s="344"/>
      <c r="X992" s="344"/>
      <c r="Y992" s="344"/>
      <c r="Z992" s="344"/>
    </row>
    <row r="993">
      <c r="A993" s="129"/>
      <c r="B993" s="9"/>
      <c r="C993" s="9"/>
      <c r="D993" s="473" t="s">
        <v>1117</v>
      </c>
      <c r="E993" s="471" t="s">
        <v>1118</v>
      </c>
      <c r="F993" s="466" t="s">
        <v>1074</v>
      </c>
      <c r="G993" s="344"/>
      <c r="H993" s="344"/>
      <c r="I993" s="344"/>
      <c r="J993" s="344"/>
      <c r="K993" s="344"/>
      <c r="L993" s="344"/>
      <c r="M993" s="344"/>
      <c r="N993" s="344"/>
      <c r="O993" s="344"/>
      <c r="P993" s="344"/>
      <c r="Q993" s="344"/>
      <c r="R993" s="344"/>
      <c r="S993" s="344"/>
      <c r="T993" s="344"/>
      <c r="U993" s="344"/>
      <c r="V993" s="344"/>
      <c r="W993" s="344"/>
      <c r="X993" s="344"/>
      <c r="Y993" s="344"/>
      <c r="Z993" s="344"/>
    </row>
    <row r="994">
      <c r="A994" s="129"/>
      <c r="B994" s="9"/>
      <c r="C994" s="9"/>
      <c r="D994" s="473" t="s">
        <v>1521</v>
      </c>
      <c r="E994" s="471" t="s">
        <v>1522</v>
      </c>
      <c r="F994" s="466" t="s">
        <v>1074</v>
      </c>
      <c r="G994" s="344"/>
      <c r="H994" s="344"/>
      <c r="I994" s="344"/>
      <c r="J994" s="344"/>
      <c r="K994" s="344"/>
      <c r="L994" s="344"/>
      <c r="M994" s="344"/>
      <c r="N994" s="344"/>
      <c r="O994" s="344"/>
      <c r="P994" s="344"/>
      <c r="Q994" s="344"/>
      <c r="R994" s="344"/>
      <c r="S994" s="344"/>
      <c r="T994" s="344"/>
      <c r="U994" s="344"/>
      <c r="V994" s="344"/>
      <c r="W994" s="344"/>
      <c r="X994" s="344"/>
      <c r="Y994" s="344"/>
      <c r="Z994" s="344"/>
    </row>
    <row r="995">
      <c r="A995" s="129"/>
      <c r="B995" s="9"/>
      <c r="C995" s="11"/>
      <c r="D995" s="473" t="s">
        <v>1523</v>
      </c>
      <c r="E995" s="471" t="s">
        <v>1522</v>
      </c>
      <c r="F995" s="466" t="s">
        <v>1074</v>
      </c>
      <c r="G995" s="344"/>
      <c r="H995" s="344"/>
      <c r="I995" s="344"/>
      <c r="J995" s="344"/>
      <c r="K995" s="344"/>
      <c r="L995" s="344"/>
      <c r="M995" s="344"/>
      <c r="N995" s="344"/>
      <c r="O995" s="344"/>
      <c r="P995" s="344"/>
      <c r="Q995" s="344"/>
      <c r="R995" s="344"/>
      <c r="S995" s="344"/>
      <c r="T995" s="344"/>
      <c r="U995" s="344"/>
      <c r="V995" s="344"/>
      <c r="W995" s="344"/>
      <c r="X995" s="344"/>
      <c r="Y995" s="344"/>
      <c r="Z995" s="344"/>
    </row>
    <row r="996">
      <c r="A996" s="129"/>
      <c r="B996" s="9"/>
      <c r="C996" s="460">
        <v>2023.0</v>
      </c>
      <c r="D996" s="473" t="s">
        <v>1405</v>
      </c>
      <c r="E996" s="471" t="s">
        <v>1235</v>
      </c>
      <c r="F996" s="466" t="s">
        <v>1074</v>
      </c>
      <c r="G996" s="344"/>
      <c r="H996" s="344"/>
      <c r="I996" s="344"/>
      <c r="J996" s="344"/>
      <c r="K996" s="344"/>
      <c r="L996" s="344"/>
      <c r="M996" s="344"/>
      <c r="N996" s="344"/>
      <c r="O996" s="344"/>
      <c r="P996" s="344"/>
      <c r="Q996" s="344"/>
      <c r="R996" s="344"/>
      <c r="S996" s="344"/>
      <c r="T996" s="344"/>
      <c r="U996" s="344"/>
      <c r="V996" s="344"/>
      <c r="W996" s="344"/>
      <c r="X996" s="344"/>
      <c r="Y996" s="344"/>
      <c r="Z996" s="344"/>
    </row>
    <row r="997">
      <c r="A997" s="129"/>
      <c r="B997" s="9"/>
      <c r="C997" s="9"/>
      <c r="D997" s="473" t="s">
        <v>1524</v>
      </c>
      <c r="E997" s="471" t="s">
        <v>1525</v>
      </c>
      <c r="F997" s="466" t="s">
        <v>1074</v>
      </c>
      <c r="G997" s="344"/>
      <c r="H997" s="344"/>
      <c r="I997" s="344"/>
      <c r="J997" s="344"/>
      <c r="K997" s="344"/>
      <c r="L997" s="344"/>
      <c r="M997" s="344"/>
      <c r="N997" s="344"/>
      <c r="O997" s="344"/>
      <c r="P997" s="344"/>
      <c r="Q997" s="344"/>
      <c r="R997" s="344"/>
      <c r="S997" s="344"/>
      <c r="T997" s="344"/>
      <c r="U997" s="344"/>
      <c r="V997" s="344"/>
      <c r="W997" s="344"/>
      <c r="X997" s="344"/>
      <c r="Y997" s="344"/>
      <c r="Z997" s="344"/>
    </row>
    <row r="998">
      <c r="A998" s="129"/>
      <c r="B998" s="9"/>
      <c r="C998" s="9"/>
      <c r="D998" s="473" t="s">
        <v>1526</v>
      </c>
      <c r="E998" s="471" t="s">
        <v>1525</v>
      </c>
      <c r="F998" s="466" t="s">
        <v>1074</v>
      </c>
      <c r="G998" s="344"/>
      <c r="H998" s="344"/>
      <c r="I998" s="344"/>
      <c r="J998" s="344"/>
      <c r="K998" s="344"/>
      <c r="L998" s="344"/>
      <c r="M998" s="344"/>
      <c r="N998" s="344"/>
      <c r="O998" s="344"/>
      <c r="P998" s="344"/>
      <c r="Q998" s="344"/>
      <c r="R998" s="344"/>
      <c r="S998" s="344"/>
      <c r="T998" s="344"/>
      <c r="U998" s="344"/>
      <c r="V998" s="344"/>
      <c r="W998" s="344"/>
      <c r="X998" s="344"/>
      <c r="Y998" s="344"/>
      <c r="Z998" s="344"/>
    </row>
    <row r="999">
      <c r="A999" s="129"/>
      <c r="B999" s="9"/>
      <c r="C999" s="9"/>
      <c r="D999" s="473" t="s">
        <v>1527</v>
      </c>
      <c r="E999" s="471" t="s">
        <v>1528</v>
      </c>
      <c r="F999" s="466" t="s">
        <v>1074</v>
      </c>
      <c r="G999" s="344"/>
      <c r="H999" s="344"/>
      <c r="I999" s="344"/>
      <c r="J999" s="344"/>
      <c r="K999" s="344"/>
      <c r="L999" s="344"/>
      <c r="M999" s="344"/>
      <c r="N999" s="344"/>
      <c r="O999" s="344"/>
      <c r="P999" s="344"/>
      <c r="Q999" s="344"/>
      <c r="R999" s="344"/>
      <c r="S999" s="344"/>
      <c r="T999" s="344"/>
      <c r="U999" s="344"/>
      <c r="V999" s="344"/>
      <c r="W999" s="344"/>
      <c r="X999" s="344"/>
      <c r="Y999" s="344"/>
      <c r="Z999" s="344"/>
    </row>
    <row r="1000">
      <c r="A1000" s="129"/>
      <c r="B1000" s="9"/>
      <c r="C1000" s="9"/>
      <c r="D1000" s="473" t="s">
        <v>1529</v>
      </c>
      <c r="E1000" s="471" t="s">
        <v>1530</v>
      </c>
      <c r="F1000" s="466" t="s">
        <v>1074</v>
      </c>
      <c r="G1000" s="344"/>
      <c r="H1000" s="344"/>
      <c r="I1000" s="344"/>
      <c r="J1000" s="344"/>
      <c r="K1000" s="344"/>
      <c r="L1000" s="344"/>
      <c r="M1000" s="344"/>
      <c r="N1000" s="344"/>
      <c r="O1000" s="344"/>
      <c r="P1000" s="344"/>
      <c r="Q1000" s="344"/>
      <c r="R1000" s="344"/>
      <c r="S1000" s="344"/>
      <c r="T1000" s="344"/>
      <c r="U1000" s="344"/>
      <c r="V1000" s="344"/>
      <c r="W1000" s="344"/>
      <c r="X1000" s="344"/>
      <c r="Y1000" s="344"/>
      <c r="Z1000" s="344"/>
    </row>
    <row r="1001">
      <c r="A1001" s="129"/>
      <c r="B1001" s="9"/>
      <c r="C1001" s="11"/>
      <c r="D1001" s="473" t="s">
        <v>1531</v>
      </c>
      <c r="E1001" s="471" t="s">
        <v>1532</v>
      </c>
      <c r="F1001" s="466" t="s">
        <v>1074</v>
      </c>
      <c r="G1001" s="344"/>
      <c r="H1001" s="344"/>
      <c r="I1001" s="344"/>
      <c r="J1001" s="344"/>
      <c r="K1001" s="344"/>
      <c r="L1001" s="344"/>
      <c r="M1001" s="344"/>
      <c r="N1001" s="344"/>
      <c r="O1001" s="344"/>
      <c r="P1001" s="344"/>
      <c r="Q1001" s="344"/>
      <c r="R1001" s="344"/>
      <c r="S1001" s="344"/>
      <c r="T1001" s="344"/>
      <c r="U1001" s="344"/>
      <c r="V1001" s="344"/>
      <c r="W1001" s="344"/>
      <c r="X1001" s="344"/>
      <c r="Y1001" s="344"/>
      <c r="Z1001" s="344"/>
    </row>
    <row r="1002">
      <c r="A1002" s="129"/>
      <c r="B1002" s="9"/>
      <c r="C1002" s="460">
        <v>2022.0</v>
      </c>
      <c r="D1002" s="473" t="s">
        <v>1533</v>
      </c>
      <c r="E1002" s="471" t="s">
        <v>1534</v>
      </c>
      <c r="F1002" s="466" t="s">
        <v>1074</v>
      </c>
      <c r="G1002" s="344"/>
      <c r="H1002" s="344"/>
      <c r="I1002" s="344"/>
      <c r="J1002" s="344"/>
      <c r="K1002" s="344"/>
      <c r="L1002" s="344"/>
      <c r="M1002" s="344"/>
      <c r="N1002" s="344"/>
      <c r="O1002" s="344"/>
      <c r="P1002" s="344"/>
      <c r="Q1002" s="344"/>
      <c r="R1002" s="344"/>
      <c r="S1002" s="344"/>
      <c r="T1002" s="344"/>
      <c r="U1002" s="344"/>
      <c r="V1002" s="344"/>
      <c r="W1002" s="344"/>
      <c r="X1002" s="344"/>
      <c r="Y1002" s="344"/>
      <c r="Z1002" s="344"/>
    </row>
    <row r="1003">
      <c r="A1003" s="129"/>
      <c r="B1003" s="9"/>
      <c r="C1003" s="9"/>
      <c r="D1003" s="473" t="s">
        <v>1535</v>
      </c>
      <c r="E1003" s="471" t="s">
        <v>1536</v>
      </c>
      <c r="F1003" s="466" t="s">
        <v>1074</v>
      </c>
      <c r="G1003" s="344"/>
      <c r="H1003" s="344"/>
      <c r="I1003" s="344"/>
      <c r="J1003" s="344"/>
      <c r="K1003" s="344"/>
      <c r="L1003" s="344"/>
      <c r="M1003" s="344"/>
      <c r="N1003" s="344"/>
      <c r="O1003" s="344"/>
      <c r="P1003" s="344"/>
      <c r="Q1003" s="344"/>
      <c r="R1003" s="344"/>
      <c r="S1003" s="344"/>
      <c r="T1003" s="344"/>
      <c r="U1003" s="344"/>
      <c r="V1003" s="344"/>
      <c r="W1003" s="344"/>
      <c r="X1003" s="344"/>
      <c r="Y1003" s="344"/>
      <c r="Z1003" s="344"/>
    </row>
    <row r="1004">
      <c r="A1004" s="129"/>
      <c r="B1004" s="9"/>
      <c r="C1004" s="9"/>
      <c r="D1004" s="473" t="s">
        <v>1537</v>
      </c>
      <c r="E1004" s="471" t="s">
        <v>1188</v>
      </c>
      <c r="F1004" s="466" t="s">
        <v>1074</v>
      </c>
      <c r="G1004" s="344"/>
      <c r="H1004" s="344"/>
      <c r="I1004" s="344"/>
      <c r="J1004" s="344"/>
      <c r="K1004" s="344"/>
      <c r="L1004" s="344"/>
      <c r="M1004" s="344"/>
      <c r="N1004" s="344"/>
      <c r="O1004" s="344"/>
      <c r="P1004" s="344"/>
      <c r="Q1004" s="344"/>
      <c r="R1004" s="344"/>
      <c r="S1004" s="344"/>
      <c r="T1004" s="344"/>
      <c r="U1004" s="344"/>
      <c r="V1004" s="344"/>
      <c r="W1004" s="344"/>
      <c r="X1004" s="344"/>
      <c r="Y1004" s="344"/>
      <c r="Z1004" s="344"/>
    </row>
    <row r="1005">
      <c r="A1005" s="129"/>
      <c r="B1005" s="9"/>
      <c r="C1005" s="9"/>
      <c r="D1005" s="473" t="s">
        <v>1463</v>
      </c>
      <c r="E1005" s="471" t="s">
        <v>1464</v>
      </c>
      <c r="F1005" s="466" t="s">
        <v>1074</v>
      </c>
      <c r="G1005" s="344"/>
      <c r="H1005" s="344"/>
      <c r="I1005" s="344"/>
      <c r="J1005" s="344"/>
      <c r="K1005" s="344"/>
      <c r="L1005" s="344"/>
      <c r="M1005" s="344"/>
      <c r="N1005" s="344"/>
      <c r="O1005" s="344"/>
      <c r="P1005" s="344"/>
      <c r="Q1005" s="344"/>
      <c r="R1005" s="344"/>
      <c r="S1005" s="344"/>
      <c r="T1005" s="344"/>
      <c r="U1005" s="344"/>
      <c r="V1005" s="344"/>
      <c r="W1005" s="344"/>
      <c r="X1005" s="344"/>
      <c r="Y1005" s="344"/>
      <c r="Z1005" s="344"/>
    </row>
    <row r="1006">
      <c r="A1006" s="129"/>
      <c r="B1006" s="9"/>
      <c r="C1006" s="9"/>
      <c r="D1006" s="473" t="s">
        <v>1538</v>
      </c>
      <c r="E1006" s="471" t="s">
        <v>1539</v>
      </c>
      <c r="F1006" s="466" t="s">
        <v>1074</v>
      </c>
      <c r="G1006" s="344"/>
      <c r="H1006" s="344"/>
      <c r="I1006" s="344"/>
      <c r="J1006" s="344"/>
      <c r="K1006" s="344"/>
      <c r="L1006" s="344"/>
      <c r="M1006" s="344"/>
      <c r="N1006" s="344"/>
      <c r="O1006" s="344"/>
      <c r="P1006" s="344"/>
      <c r="Q1006" s="344"/>
      <c r="R1006" s="344"/>
      <c r="S1006" s="344"/>
      <c r="T1006" s="344"/>
      <c r="U1006" s="344"/>
      <c r="V1006" s="344"/>
      <c r="W1006" s="344"/>
      <c r="X1006" s="344"/>
      <c r="Y1006" s="344"/>
      <c r="Z1006" s="344"/>
    </row>
    <row r="1007">
      <c r="A1007" s="129"/>
      <c r="B1007" s="9"/>
      <c r="C1007" s="9"/>
      <c r="D1007" s="473" t="s">
        <v>1540</v>
      </c>
      <c r="E1007" s="471" t="s">
        <v>1541</v>
      </c>
      <c r="F1007" s="466" t="s">
        <v>1074</v>
      </c>
      <c r="G1007" s="344"/>
      <c r="H1007" s="344"/>
      <c r="I1007" s="344"/>
      <c r="J1007" s="344"/>
      <c r="K1007" s="344"/>
      <c r="L1007" s="344"/>
      <c r="M1007" s="344"/>
      <c r="N1007" s="344"/>
      <c r="O1007" s="344"/>
      <c r="P1007" s="344"/>
      <c r="Q1007" s="344"/>
      <c r="R1007" s="344"/>
      <c r="S1007" s="344"/>
      <c r="T1007" s="344"/>
      <c r="U1007" s="344"/>
      <c r="V1007" s="344"/>
      <c r="W1007" s="344"/>
      <c r="X1007" s="344"/>
      <c r="Y1007" s="344"/>
      <c r="Z1007" s="344"/>
    </row>
    <row r="1008">
      <c r="A1008" s="56"/>
      <c r="B1008" s="11"/>
      <c r="C1008" s="11"/>
      <c r="D1008" s="473" t="s">
        <v>1542</v>
      </c>
      <c r="E1008" s="471" t="s">
        <v>1543</v>
      </c>
      <c r="F1008" s="466" t="s">
        <v>1074</v>
      </c>
      <c r="G1008" s="344"/>
      <c r="H1008" s="344"/>
      <c r="I1008" s="344"/>
      <c r="J1008" s="344"/>
      <c r="K1008" s="344"/>
      <c r="L1008" s="344"/>
      <c r="M1008" s="344"/>
      <c r="N1008" s="344"/>
      <c r="O1008" s="344"/>
      <c r="P1008" s="344"/>
      <c r="Q1008" s="344"/>
      <c r="R1008" s="344"/>
      <c r="S1008" s="344"/>
      <c r="T1008" s="344"/>
      <c r="U1008" s="344"/>
      <c r="V1008" s="344"/>
      <c r="W1008" s="344"/>
      <c r="X1008" s="344"/>
      <c r="Y1008" s="344"/>
      <c r="Z1008" s="344"/>
    </row>
    <row r="1009">
      <c r="A1009" s="458">
        <v>50.0</v>
      </c>
      <c r="B1009" s="459" t="s">
        <v>794</v>
      </c>
      <c r="C1009" s="460">
        <v>2024.0</v>
      </c>
      <c r="D1009" s="473" t="s">
        <v>1544</v>
      </c>
      <c r="E1009" s="471" t="s">
        <v>1545</v>
      </c>
      <c r="F1009" s="466" t="s">
        <v>1074</v>
      </c>
      <c r="G1009" s="344"/>
      <c r="H1009" s="344"/>
      <c r="I1009" s="344"/>
      <c r="J1009" s="344"/>
      <c r="K1009" s="344"/>
      <c r="L1009" s="344"/>
      <c r="M1009" s="344"/>
      <c r="N1009" s="344"/>
      <c r="O1009" s="344"/>
      <c r="P1009" s="344"/>
      <c r="Q1009" s="344"/>
      <c r="R1009" s="344"/>
      <c r="S1009" s="344"/>
      <c r="T1009" s="344"/>
      <c r="U1009" s="344"/>
      <c r="V1009" s="344"/>
      <c r="W1009" s="344"/>
      <c r="X1009" s="344"/>
      <c r="Y1009" s="344"/>
      <c r="Z1009" s="344"/>
    </row>
    <row r="1010">
      <c r="A1010" s="129"/>
      <c r="B1010" s="9"/>
      <c r="C1010" s="9"/>
      <c r="D1010" s="473" t="s">
        <v>1546</v>
      </c>
      <c r="E1010" s="471" t="s">
        <v>1547</v>
      </c>
      <c r="F1010" s="466" t="s">
        <v>1074</v>
      </c>
      <c r="G1010" s="344"/>
      <c r="H1010" s="344"/>
      <c r="I1010" s="344"/>
      <c r="J1010" s="344"/>
      <c r="K1010" s="344"/>
      <c r="L1010" s="344"/>
      <c r="M1010" s="344"/>
      <c r="N1010" s="344"/>
      <c r="O1010" s="344"/>
      <c r="P1010" s="344"/>
      <c r="Q1010" s="344"/>
      <c r="R1010" s="344"/>
      <c r="S1010" s="344"/>
      <c r="T1010" s="344"/>
      <c r="U1010" s="344"/>
      <c r="V1010" s="344"/>
      <c r="W1010" s="344"/>
      <c r="X1010" s="344"/>
      <c r="Y1010" s="344"/>
      <c r="Z1010" s="344"/>
    </row>
    <row r="1011">
      <c r="A1011" s="129"/>
      <c r="B1011" s="9"/>
      <c r="C1011" s="9"/>
      <c r="D1011" s="473" t="s">
        <v>1548</v>
      </c>
      <c r="E1011" s="471" t="s">
        <v>1522</v>
      </c>
      <c r="F1011" s="466" t="s">
        <v>1074</v>
      </c>
      <c r="G1011" s="344"/>
      <c r="H1011" s="344"/>
      <c r="I1011" s="344"/>
      <c r="J1011" s="344"/>
      <c r="K1011" s="344"/>
      <c r="L1011" s="344"/>
      <c r="M1011" s="344"/>
      <c r="N1011" s="344"/>
      <c r="O1011" s="344"/>
      <c r="P1011" s="344"/>
      <c r="Q1011" s="344"/>
      <c r="R1011" s="344"/>
      <c r="S1011" s="344"/>
      <c r="T1011" s="344"/>
      <c r="U1011" s="344"/>
      <c r="V1011" s="344"/>
      <c r="W1011" s="344"/>
      <c r="X1011" s="344"/>
      <c r="Y1011" s="344"/>
      <c r="Z1011" s="344"/>
    </row>
    <row r="1012">
      <c r="A1012" s="129"/>
      <c r="B1012" s="9"/>
      <c r="C1012" s="11"/>
      <c r="D1012" s="473" t="s">
        <v>1417</v>
      </c>
      <c r="E1012" s="471" t="s">
        <v>1418</v>
      </c>
      <c r="F1012" s="466" t="s">
        <v>1074</v>
      </c>
      <c r="G1012" s="344"/>
      <c r="H1012" s="344"/>
      <c r="I1012" s="344"/>
      <c r="J1012" s="344"/>
      <c r="K1012" s="344"/>
      <c r="L1012" s="344"/>
      <c r="M1012" s="344"/>
      <c r="N1012" s="344"/>
      <c r="O1012" s="344"/>
      <c r="P1012" s="344"/>
      <c r="Q1012" s="344"/>
      <c r="R1012" s="344"/>
      <c r="S1012" s="344"/>
      <c r="T1012" s="344"/>
      <c r="U1012" s="344"/>
      <c r="V1012" s="344"/>
      <c r="W1012" s="344"/>
      <c r="X1012" s="344"/>
      <c r="Y1012" s="344"/>
      <c r="Z1012" s="344"/>
    </row>
    <row r="1013">
      <c r="A1013" s="129"/>
      <c r="B1013" s="9"/>
      <c r="C1013" s="460">
        <v>2023.0</v>
      </c>
      <c r="D1013" s="473" t="s">
        <v>1549</v>
      </c>
      <c r="E1013" s="471" t="s">
        <v>1141</v>
      </c>
      <c r="F1013" s="466" t="s">
        <v>1074</v>
      </c>
      <c r="G1013" s="344"/>
      <c r="H1013" s="344"/>
      <c r="I1013" s="344"/>
      <c r="J1013" s="344"/>
      <c r="K1013" s="344"/>
      <c r="L1013" s="344"/>
      <c r="M1013" s="344"/>
      <c r="N1013" s="344"/>
      <c r="O1013" s="344"/>
      <c r="P1013" s="344"/>
      <c r="Q1013" s="344"/>
      <c r="R1013" s="344"/>
      <c r="S1013" s="344"/>
      <c r="T1013" s="344"/>
      <c r="U1013" s="344"/>
      <c r="V1013" s="344"/>
      <c r="W1013" s="344"/>
      <c r="X1013" s="344"/>
      <c r="Y1013" s="344"/>
      <c r="Z1013" s="344"/>
    </row>
    <row r="1014">
      <c r="A1014" s="129"/>
      <c r="B1014" s="9"/>
      <c r="C1014" s="9"/>
      <c r="D1014" s="473" t="s">
        <v>1550</v>
      </c>
      <c r="E1014" s="471" t="s">
        <v>1551</v>
      </c>
      <c r="F1014" s="466" t="s">
        <v>1074</v>
      </c>
      <c r="G1014" s="344"/>
      <c r="H1014" s="344"/>
      <c r="I1014" s="344"/>
      <c r="J1014" s="344"/>
      <c r="K1014" s="344"/>
      <c r="L1014" s="344"/>
      <c r="M1014" s="344"/>
      <c r="N1014" s="344"/>
      <c r="O1014" s="344"/>
      <c r="P1014" s="344"/>
      <c r="Q1014" s="344"/>
      <c r="R1014" s="344"/>
      <c r="S1014" s="344"/>
      <c r="T1014" s="344"/>
      <c r="U1014" s="344"/>
      <c r="V1014" s="344"/>
      <c r="W1014" s="344"/>
      <c r="X1014" s="344"/>
      <c r="Y1014" s="344"/>
      <c r="Z1014" s="344"/>
    </row>
    <row r="1015">
      <c r="A1015" s="129"/>
      <c r="B1015" s="9"/>
      <c r="C1015" s="9"/>
      <c r="D1015" s="473" t="s">
        <v>1552</v>
      </c>
      <c r="E1015" s="471" t="s">
        <v>1553</v>
      </c>
      <c r="F1015" s="475" t="s">
        <v>1074</v>
      </c>
      <c r="G1015" s="344"/>
      <c r="H1015" s="344"/>
      <c r="I1015" s="344"/>
      <c r="J1015" s="344"/>
      <c r="K1015" s="344"/>
      <c r="L1015" s="344"/>
      <c r="M1015" s="344"/>
      <c r="N1015" s="344"/>
      <c r="O1015" s="344"/>
      <c r="P1015" s="344"/>
      <c r="Q1015" s="344"/>
      <c r="R1015" s="344"/>
      <c r="S1015" s="344"/>
      <c r="T1015" s="344"/>
      <c r="U1015" s="344"/>
      <c r="V1015" s="344"/>
      <c r="W1015" s="344"/>
      <c r="X1015" s="344"/>
      <c r="Y1015" s="344"/>
      <c r="Z1015" s="344"/>
    </row>
    <row r="1016">
      <c r="A1016" s="129"/>
      <c r="B1016" s="9"/>
      <c r="C1016" s="9"/>
      <c r="D1016" s="473" t="s">
        <v>1554</v>
      </c>
      <c r="E1016" s="471" t="s">
        <v>1555</v>
      </c>
      <c r="F1016" s="466" t="s">
        <v>1074</v>
      </c>
      <c r="G1016" s="344"/>
      <c r="H1016" s="344"/>
      <c r="I1016" s="344"/>
      <c r="J1016" s="344"/>
      <c r="K1016" s="344"/>
      <c r="L1016" s="344"/>
      <c r="M1016" s="344"/>
      <c r="N1016" s="344"/>
      <c r="O1016" s="344"/>
      <c r="P1016" s="344"/>
      <c r="Q1016" s="344"/>
      <c r="R1016" s="344"/>
      <c r="S1016" s="344"/>
      <c r="T1016" s="344"/>
      <c r="U1016" s="344"/>
      <c r="V1016" s="344"/>
      <c r="W1016" s="344"/>
      <c r="X1016" s="344"/>
      <c r="Y1016" s="344"/>
      <c r="Z1016" s="344"/>
    </row>
    <row r="1017">
      <c r="A1017" s="56"/>
      <c r="B1017" s="11"/>
      <c r="C1017" s="11"/>
      <c r="D1017" s="473" t="s">
        <v>1164</v>
      </c>
      <c r="E1017" s="471" t="s">
        <v>1556</v>
      </c>
      <c r="F1017" s="466" t="s">
        <v>1074</v>
      </c>
      <c r="G1017" s="344"/>
      <c r="H1017" s="344"/>
      <c r="I1017" s="344"/>
      <c r="J1017" s="344"/>
      <c r="K1017" s="344"/>
      <c r="L1017" s="344"/>
      <c r="M1017" s="344"/>
      <c r="N1017" s="344"/>
      <c r="O1017" s="344"/>
      <c r="P1017" s="344"/>
      <c r="Q1017" s="344"/>
      <c r="R1017" s="344"/>
      <c r="S1017" s="344"/>
      <c r="T1017" s="344"/>
      <c r="U1017" s="344"/>
      <c r="V1017" s="344"/>
      <c r="W1017" s="344"/>
      <c r="X1017" s="344"/>
      <c r="Y1017" s="344"/>
      <c r="Z1017" s="344"/>
    </row>
    <row r="1018">
      <c r="A1018" s="458">
        <v>51.0</v>
      </c>
      <c r="B1018" s="459" t="s">
        <v>796</v>
      </c>
      <c r="C1018" s="460">
        <v>2023.0</v>
      </c>
      <c r="D1018" s="473" t="s">
        <v>1138</v>
      </c>
      <c r="E1018" s="471" t="s">
        <v>1139</v>
      </c>
      <c r="F1018" s="466" t="s">
        <v>1074</v>
      </c>
      <c r="G1018" s="344"/>
      <c r="H1018" s="344"/>
      <c r="I1018" s="344"/>
      <c r="J1018" s="344"/>
      <c r="K1018" s="344"/>
      <c r="L1018" s="344"/>
      <c r="M1018" s="344"/>
      <c r="N1018" s="344"/>
      <c r="O1018" s="344"/>
      <c r="P1018" s="344"/>
      <c r="Q1018" s="344"/>
      <c r="R1018" s="344"/>
      <c r="S1018" s="344"/>
      <c r="T1018" s="344"/>
      <c r="U1018" s="344"/>
      <c r="V1018" s="344"/>
      <c r="W1018" s="344"/>
      <c r="X1018" s="344"/>
      <c r="Y1018" s="344"/>
      <c r="Z1018" s="344"/>
    </row>
    <row r="1019">
      <c r="A1019" s="129"/>
      <c r="B1019" s="9"/>
      <c r="C1019" s="9"/>
      <c r="D1019" s="473" t="s">
        <v>1081</v>
      </c>
      <c r="E1019" s="471" t="s">
        <v>1442</v>
      </c>
      <c r="F1019" s="466" t="s">
        <v>1074</v>
      </c>
      <c r="G1019" s="344"/>
      <c r="H1019" s="344"/>
      <c r="I1019" s="344"/>
      <c r="J1019" s="344"/>
      <c r="K1019" s="344"/>
      <c r="L1019" s="344"/>
      <c r="M1019" s="344"/>
      <c r="N1019" s="344"/>
      <c r="O1019" s="344"/>
      <c r="P1019" s="344"/>
      <c r="Q1019" s="344"/>
      <c r="R1019" s="344"/>
      <c r="S1019" s="344"/>
      <c r="T1019" s="344"/>
      <c r="U1019" s="344"/>
      <c r="V1019" s="344"/>
      <c r="W1019" s="344"/>
      <c r="X1019" s="344"/>
      <c r="Y1019" s="344"/>
      <c r="Z1019" s="344"/>
    </row>
    <row r="1020">
      <c r="A1020" s="129"/>
      <c r="B1020" s="9"/>
      <c r="C1020" s="9"/>
      <c r="D1020" s="473" t="s">
        <v>1140</v>
      </c>
      <c r="E1020" s="471" t="s">
        <v>1141</v>
      </c>
      <c r="F1020" s="466" t="s">
        <v>1074</v>
      </c>
      <c r="G1020" s="344"/>
      <c r="H1020" s="344"/>
      <c r="I1020" s="344"/>
      <c r="J1020" s="344"/>
      <c r="K1020" s="344"/>
      <c r="L1020" s="344"/>
      <c r="M1020" s="344"/>
      <c r="N1020" s="344"/>
      <c r="O1020" s="344"/>
      <c r="P1020" s="344"/>
      <c r="Q1020" s="344"/>
      <c r="R1020" s="344"/>
      <c r="S1020" s="344"/>
      <c r="T1020" s="344"/>
      <c r="U1020" s="344"/>
      <c r="V1020" s="344"/>
      <c r="W1020" s="344"/>
      <c r="X1020" s="344"/>
      <c r="Y1020" s="344"/>
      <c r="Z1020" s="344"/>
    </row>
    <row r="1021">
      <c r="A1021" s="129"/>
      <c r="B1021" s="9"/>
      <c r="C1021" s="9"/>
      <c r="D1021" s="473" t="s">
        <v>1142</v>
      </c>
      <c r="E1021" s="471" t="s">
        <v>1143</v>
      </c>
      <c r="F1021" s="466" t="s">
        <v>1074</v>
      </c>
      <c r="G1021" s="344"/>
      <c r="H1021" s="344"/>
      <c r="I1021" s="344"/>
      <c r="J1021" s="344"/>
      <c r="K1021" s="344"/>
      <c r="L1021" s="344"/>
      <c r="M1021" s="344"/>
      <c r="N1021" s="344"/>
      <c r="O1021" s="344"/>
      <c r="P1021" s="344"/>
      <c r="Q1021" s="344"/>
      <c r="R1021" s="344"/>
      <c r="S1021" s="344"/>
      <c r="T1021" s="344"/>
      <c r="U1021" s="344"/>
      <c r="V1021" s="344"/>
      <c r="W1021" s="344"/>
      <c r="X1021" s="344"/>
      <c r="Y1021" s="344"/>
      <c r="Z1021" s="344"/>
    </row>
    <row r="1022">
      <c r="A1022" s="129"/>
      <c r="B1022" s="9"/>
      <c r="C1022" s="11"/>
      <c r="D1022" s="473" t="s">
        <v>1144</v>
      </c>
      <c r="E1022" s="471" t="s">
        <v>1145</v>
      </c>
      <c r="F1022" s="466" t="s">
        <v>1074</v>
      </c>
      <c r="G1022" s="344"/>
      <c r="H1022" s="344"/>
      <c r="I1022" s="344"/>
      <c r="J1022" s="344"/>
      <c r="K1022" s="344"/>
      <c r="L1022" s="344"/>
      <c r="M1022" s="344"/>
      <c r="N1022" s="344"/>
      <c r="O1022" s="344"/>
      <c r="P1022" s="344"/>
      <c r="Q1022" s="344"/>
      <c r="R1022" s="344"/>
      <c r="S1022" s="344"/>
      <c r="T1022" s="344"/>
      <c r="U1022" s="344"/>
      <c r="V1022" s="344"/>
      <c r="W1022" s="344"/>
      <c r="X1022" s="344"/>
      <c r="Y1022" s="344"/>
      <c r="Z1022" s="344"/>
    </row>
    <row r="1023">
      <c r="A1023" s="129"/>
      <c r="B1023" s="9"/>
      <c r="C1023" s="460">
        <v>2022.0</v>
      </c>
      <c r="D1023" s="473" t="s">
        <v>1557</v>
      </c>
      <c r="E1023" s="471" t="s">
        <v>1558</v>
      </c>
      <c r="F1023" s="466" t="s">
        <v>1074</v>
      </c>
      <c r="G1023" s="344"/>
      <c r="H1023" s="344"/>
      <c r="I1023" s="344"/>
      <c r="J1023" s="344"/>
      <c r="K1023" s="344"/>
      <c r="L1023" s="344"/>
      <c r="M1023" s="344"/>
      <c r="N1023" s="344"/>
      <c r="O1023" s="344"/>
      <c r="P1023" s="344"/>
      <c r="Q1023" s="344"/>
      <c r="R1023" s="344"/>
      <c r="S1023" s="344"/>
      <c r="T1023" s="344"/>
      <c r="U1023" s="344"/>
      <c r="V1023" s="344"/>
      <c r="W1023" s="344"/>
      <c r="X1023" s="344"/>
      <c r="Y1023" s="344"/>
      <c r="Z1023" s="344"/>
    </row>
    <row r="1024">
      <c r="A1024" s="129"/>
      <c r="B1024" s="9"/>
      <c r="C1024" s="9"/>
      <c r="D1024" s="473" t="s">
        <v>1559</v>
      </c>
      <c r="E1024" s="471" t="s">
        <v>1345</v>
      </c>
      <c r="F1024" s="466" t="s">
        <v>1074</v>
      </c>
      <c r="G1024" s="344"/>
      <c r="H1024" s="344"/>
      <c r="I1024" s="344"/>
      <c r="J1024" s="344"/>
      <c r="K1024" s="344"/>
      <c r="L1024" s="344"/>
      <c r="M1024" s="344"/>
      <c r="N1024" s="344"/>
      <c r="O1024" s="344"/>
      <c r="P1024" s="344"/>
      <c r="Q1024" s="344"/>
      <c r="R1024" s="344"/>
      <c r="S1024" s="344"/>
      <c r="T1024" s="344"/>
      <c r="U1024" s="344"/>
      <c r="V1024" s="344"/>
      <c r="W1024" s="344"/>
      <c r="X1024" s="344"/>
      <c r="Y1024" s="344"/>
      <c r="Z1024" s="344"/>
    </row>
    <row r="1025">
      <c r="A1025" s="129"/>
      <c r="B1025" s="9"/>
      <c r="C1025" s="9"/>
      <c r="D1025" s="473" t="s">
        <v>1148</v>
      </c>
      <c r="E1025" s="471" t="s">
        <v>1149</v>
      </c>
      <c r="F1025" s="466" t="s">
        <v>1074</v>
      </c>
      <c r="G1025" s="344"/>
      <c r="H1025" s="344"/>
      <c r="I1025" s="344"/>
      <c r="J1025" s="344"/>
      <c r="K1025" s="344"/>
      <c r="L1025" s="344"/>
      <c r="M1025" s="344"/>
      <c r="N1025" s="344"/>
      <c r="O1025" s="344"/>
      <c r="P1025" s="344"/>
      <c r="Q1025" s="344"/>
      <c r="R1025" s="344"/>
      <c r="S1025" s="344"/>
      <c r="T1025" s="344"/>
      <c r="U1025" s="344"/>
      <c r="V1025" s="344"/>
      <c r="W1025" s="344"/>
      <c r="X1025" s="344"/>
      <c r="Y1025" s="344"/>
      <c r="Z1025" s="344"/>
    </row>
    <row r="1026">
      <c r="A1026" s="129"/>
      <c r="B1026" s="9"/>
      <c r="C1026" s="9"/>
      <c r="D1026" s="473" t="s">
        <v>1150</v>
      </c>
      <c r="E1026" s="471" t="s">
        <v>1151</v>
      </c>
      <c r="F1026" s="466" t="s">
        <v>1074</v>
      </c>
      <c r="G1026" s="344"/>
      <c r="H1026" s="344"/>
      <c r="I1026" s="344"/>
      <c r="J1026" s="344"/>
      <c r="K1026" s="344"/>
      <c r="L1026" s="344"/>
      <c r="M1026" s="344"/>
      <c r="N1026" s="344"/>
      <c r="O1026" s="344"/>
      <c r="P1026" s="344"/>
      <c r="Q1026" s="344"/>
      <c r="R1026" s="344"/>
      <c r="S1026" s="344"/>
      <c r="T1026" s="344"/>
      <c r="U1026" s="344"/>
      <c r="V1026" s="344"/>
      <c r="W1026" s="344"/>
      <c r="X1026" s="344"/>
      <c r="Y1026" s="344"/>
      <c r="Z1026" s="344"/>
    </row>
    <row r="1027">
      <c r="A1027" s="129"/>
      <c r="B1027" s="9"/>
      <c r="C1027" s="9"/>
      <c r="D1027" s="473" t="s">
        <v>1187</v>
      </c>
      <c r="E1027" s="471" t="s">
        <v>1188</v>
      </c>
      <c r="F1027" s="466" t="s">
        <v>1074</v>
      </c>
      <c r="G1027" s="344"/>
      <c r="H1027" s="344"/>
      <c r="I1027" s="344"/>
      <c r="J1027" s="344"/>
      <c r="K1027" s="344"/>
      <c r="L1027" s="344"/>
      <c r="M1027" s="344"/>
      <c r="N1027" s="344"/>
      <c r="O1027" s="344"/>
      <c r="P1027" s="344"/>
      <c r="Q1027" s="344"/>
      <c r="R1027" s="344"/>
      <c r="S1027" s="344"/>
      <c r="T1027" s="344"/>
      <c r="U1027" s="344"/>
      <c r="V1027" s="344"/>
      <c r="W1027" s="344"/>
      <c r="X1027" s="344"/>
      <c r="Y1027" s="344"/>
      <c r="Z1027" s="344"/>
    </row>
    <row r="1028">
      <c r="A1028" s="129"/>
      <c r="B1028" s="9"/>
      <c r="C1028" s="9"/>
      <c r="D1028" s="473" t="s">
        <v>1214</v>
      </c>
      <c r="E1028" s="471" t="s">
        <v>1518</v>
      </c>
      <c r="F1028" s="466" t="s">
        <v>1074</v>
      </c>
      <c r="G1028" s="344"/>
      <c r="H1028" s="344"/>
      <c r="I1028" s="344"/>
      <c r="J1028" s="344"/>
      <c r="K1028" s="344"/>
      <c r="L1028" s="344"/>
      <c r="M1028" s="344"/>
      <c r="N1028" s="344"/>
      <c r="O1028" s="344"/>
      <c r="P1028" s="344"/>
      <c r="Q1028" s="344"/>
      <c r="R1028" s="344"/>
      <c r="S1028" s="344"/>
      <c r="T1028" s="344"/>
      <c r="U1028" s="344"/>
      <c r="V1028" s="344"/>
      <c r="W1028" s="344"/>
      <c r="X1028" s="344"/>
      <c r="Y1028" s="344"/>
      <c r="Z1028" s="344"/>
    </row>
    <row r="1029">
      <c r="A1029" s="56"/>
      <c r="B1029" s="11"/>
      <c r="C1029" s="11"/>
      <c r="D1029" s="473" t="s">
        <v>1109</v>
      </c>
      <c r="E1029" s="471" t="s">
        <v>1110</v>
      </c>
      <c r="F1029" s="466" t="s">
        <v>1074</v>
      </c>
      <c r="G1029" s="344"/>
      <c r="H1029" s="344"/>
      <c r="I1029" s="344"/>
      <c r="J1029" s="344"/>
      <c r="K1029" s="344"/>
      <c r="L1029" s="344"/>
      <c r="M1029" s="344"/>
      <c r="N1029" s="344"/>
      <c r="O1029" s="344"/>
      <c r="P1029" s="344"/>
      <c r="Q1029" s="344"/>
      <c r="R1029" s="344"/>
      <c r="S1029" s="344"/>
      <c r="T1029" s="344"/>
      <c r="U1029" s="344"/>
      <c r="V1029" s="344"/>
      <c r="W1029" s="344"/>
      <c r="X1029" s="344"/>
      <c r="Y1029" s="344"/>
      <c r="Z1029" s="344"/>
    </row>
    <row r="1030">
      <c r="A1030" s="458">
        <v>52.0</v>
      </c>
      <c r="B1030" s="459" t="s">
        <v>797</v>
      </c>
      <c r="C1030" s="465">
        <v>2024.0</v>
      </c>
      <c r="D1030" s="473" t="s">
        <v>1117</v>
      </c>
      <c r="E1030" s="471" t="s">
        <v>1118</v>
      </c>
      <c r="F1030" s="466" t="s">
        <v>1074</v>
      </c>
      <c r="G1030" s="344"/>
      <c r="H1030" s="344"/>
      <c r="I1030" s="344"/>
      <c r="J1030" s="344"/>
      <c r="K1030" s="344"/>
      <c r="L1030" s="344"/>
      <c r="M1030" s="344"/>
      <c r="N1030" s="344"/>
      <c r="O1030" s="344"/>
      <c r="P1030" s="344"/>
      <c r="Q1030" s="344"/>
      <c r="R1030" s="344"/>
      <c r="S1030" s="344"/>
      <c r="T1030" s="344"/>
      <c r="U1030" s="344"/>
      <c r="V1030" s="344"/>
      <c r="W1030" s="344"/>
      <c r="X1030" s="344"/>
      <c r="Y1030" s="344"/>
      <c r="Z1030" s="344"/>
    </row>
    <row r="1031">
      <c r="A1031" s="129"/>
      <c r="B1031" s="9"/>
      <c r="C1031" s="476"/>
      <c r="D1031" s="473" t="s">
        <v>1419</v>
      </c>
      <c r="E1031" s="471" t="s">
        <v>1420</v>
      </c>
      <c r="F1031" s="466" t="s">
        <v>1074</v>
      </c>
      <c r="G1031" s="344"/>
      <c r="H1031" s="344"/>
      <c r="I1031" s="344"/>
      <c r="J1031" s="344"/>
      <c r="K1031" s="344"/>
      <c r="L1031" s="344"/>
      <c r="M1031" s="344"/>
      <c r="N1031" s="344"/>
      <c r="O1031" s="344"/>
      <c r="P1031" s="344"/>
      <c r="Q1031" s="344"/>
      <c r="R1031" s="344"/>
      <c r="S1031" s="344"/>
      <c r="T1031" s="344"/>
      <c r="U1031" s="344"/>
      <c r="V1031" s="344"/>
      <c r="W1031" s="344"/>
      <c r="X1031" s="344"/>
      <c r="Y1031" s="344"/>
      <c r="Z1031" s="344"/>
    </row>
    <row r="1032">
      <c r="A1032" s="129"/>
      <c r="B1032" s="9"/>
      <c r="C1032" s="9"/>
      <c r="D1032" s="473" t="s">
        <v>1154</v>
      </c>
      <c r="E1032" s="471" t="s">
        <v>1155</v>
      </c>
      <c r="F1032" s="466" t="s">
        <v>1074</v>
      </c>
      <c r="G1032" s="344"/>
      <c r="H1032" s="344"/>
      <c r="I1032" s="344"/>
      <c r="J1032" s="344"/>
      <c r="K1032" s="344"/>
      <c r="L1032" s="344"/>
      <c r="M1032" s="344"/>
      <c r="N1032" s="344"/>
      <c r="O1032" s="344"/>
      <c r="P1032" s="344"/>
      <c r="Q1032" s="344"/>
      <c r="R1032" s="344"/>
      <c r="S1032" s="344"/>
      <c r="T1032" s="344"/>
      <c r="U1032" s="344"/>
      <c r="V1032" s="344"/>
      <c r="W1032" s="344"/>
      <c r="X1032" s="344"/>
      <c r="Y1032" s="344"/>
      <c r="Z1032" s="344"/>
    </row>
    <row r="1033">
      <c r="A1033" s="129"/>
      <c r="B1033" s="9"/>
      <c r="C1033" s="11"/>
      <c r="D1033" s="473" t="s">
        <v>1560</v>
      </c>
      <c r="E1033" s="471" t="s">
        <v>1561</v>
      </c>
      <c r="F1033" s="466" t="s">
        <v>1074</v>
      </c>
      <c r="G1033" s="344"/>
      <c r="H1033" s="344"/>
      <c r="I1033" s="344"/>
      <c r="J1033" s="344"/>
      <c r="K1033" s="344"/>
      <c r="L1033" s="344"/>
      <c r="M1033" s="344"/>
      <c r="N1033" s="344"/>
      <c r="O1033" s="344"/>
      <c r="P1033" s="344"/>
      <c r="Q1033" s="344"/>
      <c r="R1033" s="344"/>
      <c r="S1033" s="344"/>
      <c r="T1033" s="344"/>
      <c r="U1033" s="344"/>
      <c r="V1033" s="344"/>
      <c r="W1033" s="344"/>
      <c r="X1033" s="344"/>
      <c r="Y1033" s="344"/>
      <c r="Z1033" s="344"/>
    </row>
    <row r="1034">
      <c r="A1034" s="56"/>
      <c r="B1034" s="11"/>
      <c r="C1034" s="465">
        <v>2022.0</v>
      </c>
      <c r="D1034" s="473" t="s">
        <v>1562</v>
      </c>
      <c r="E1034" s="471" t="s">
        <v>1341</v>
      </c>
      <c r="F1034" s="466" t="s">
        <v>1074</v>
      </c>
      <c r="G1034" s="344"/>
      <c r="H1034" s="344"/>
      <c r="I1034" s="344"/>
      <c r="J1034" s="344"/>
      <c r="K1034" s="344"/>
      <c r="L1034" s="344"/>
      <c r="M1034" s="344"/>
      <c r="N1034" s="344"/>
      <c r="O1034" s="344"/>
      <c r="P1034" s="344"/>
      <c r="Q1034" s="344"/>
      <c r="R1034" s="344"/>
      <c r="S1034" s="344"/>
      <c r="T1034" s="344"/>
      <c r="U1034" s="344"/>
      <c r="V1034" s="344"/>
      <c r="W1034" s="344"/>
      <c r="X1034" s="344"/>
      <c r="Y1034" s="344"/>
      <c r="Z1034" s="344"/>
    </row>
    <row r="1035">
      <c r="A1035" s="464">
        <v>53.0</v>
      </c>
      <c r="B1035" s="461" t="s">
        <v>595</v>
      </c>
      <c r="C1035" s="465">
        <v>2023.0</v>
      </c>
      <c r="D1035" s="473" t="s">
        <v>1313</v>
      </c>
      <c r="E1035" s="471" t="s">
        <v>1314</v>
      </c>
      <c r="F1035" s="466" t="s">
        <v>1074</v>
      </c>
      <c r="G1035" s="344"/>
      <c r="H1035" s="344"/>
      <c r="I1035" s="344"/>
      <c r="J1035" s="344"/>
      <c r="K1035" s="344"/>
      <c r="L1035" s="344"/>
      <c r="M1035" s="344"/>
      <c r="N1035" s="344"/>
      <c r="O1035" s="344"/>
      <c r="P1035" s="344"/>
      <c r="Q1035" s="344"/>
      <c r="R1035" s="344"/>
      <c r="S1035" s="344"/>
      <c r="T1035" s="344"/>
      <c r="U1035" s="344"/>
      <c r="V1035" s="344"/>
      <c r="W1035" s="344"/>
      <c r="X1035" s="344"/>
      <c r="Y1035" s="344"/>
      <c r="Z1035" s="344"/>
    </row>
    <row r="1036">
      <c r="A1036" s="458">
        <v>54.0</v>
      </c>
      <c r="B1036" s="467" t="s">
        <v>597</v>
      </c>
      <c r="C1036" s="465">
        <v>2023.0</v>
      </c>
      <c r="D1036" s="473" t="s">
        <v>1563</v>
      </c>
      <c r="E1036" s="471" t="s">
        <v>1564</v>
      </c>
      <c r="F1036" s="466" t="s">
        <v>1074</v>
      </c>
      <c r="G1036" s="344"/>
      <c r="H1036" s="344"/>
      <c r="I1036" s="344"/>
      <c r="J1036" s="344"/>
      <c r="K1036" s="344"/>
      <c r="L1036" s="344"/>
      <c r="M1036" s="344"/>
      <c r="N1036" s="344"/>
      <c r="O1036" s="344"/>
      <c r="P1036" s="344"/>
      <c r="Q1036" s="344"/>
      <c r="R1036" s="344"/>
      <c r="S1036" s="344"/>
      <c r="T1036" s="344"/>
      <c r="U1036" s="344"/>
      <c r="V1036" s="344"/>
      <c r="W1036" s="344"/>
      <c r="X1036" s="344"/>
      <c r="Y1036" s="344"/>
      <c r="Z1036" s="344"/>
    </row>
    <row r="1037">
      <c r="A1037" s="129"/>
      <c r="B1037" s="9"/>
      <c r="C1037" s="460">
        <v>2022.0</v>
      </c>
      <c r="D1037" s="473" t="s">
        <v>1565</v>
      </c>
      <c r="E1037" s="471" t="s">
        <v>1566</v>
      </c>
      <c r="F1037" s="466" t="s">
        <v>1074</v>
      </c>
      <c r="G1037" s="344"/>
      <c r="H1037" s="344"/>
      <c r="I1037" s="344"/>
      <c r="J1037" s="344"/>
      <c r="K1037" s="344"/>
      <c r="L1037" s="344"/>
      <c r="M1037" s="344"/>
      <c r="N1037" s="344"/>
      <c r="O1037" s="344"/>
      <c r="P1037" s="344"/>
      <c r="Q1037" s="344"/>
      <c r="R1037" s="344"/>
      <c r="S1037" s="344"/>
      <c r="T1037" s="344"/>
      <c r="U1037" s="344"/>
      <c r="V1037" s="344"/>
      <c r="W1037" s="344"/>
      <c r="X1037" s="344"/>
      <c r="Y1037" s="344"/>
      <c r="Z1037" s="344"/>
    </row>
    <row r="1038">
      <c r="A1038" s="56"/>
      <c r="B1038" s="11"/>
      <c r="C1038" s="11"/>
      <c r="D1038" s="473" t="s">
        <v>1567</v>
      </c>
      <c r="E1038" s="471" t="s">
        <v>1568</v>
      </c>
      <c r="F1038" s="466" t="s">
        <v>1074</v>
      </c>
      <c r="G1038" s="344"/>
      <c r="H1038" s="344"/>
      <c r="I1038" s="344"/>
      <c r="J1038" s="344"/>
      <c r="K1038" s="344"/>
      <c r="L1038" s="344"/>
      <c r="M1038" s="344"/>
      <c r="N1038" s="344"/>
      <c r="O1038" s="344"/>
      <c r="P1038" s="344"/>
      <c r="Q1038" s="344"/>
      <c r="R1038" s="344"/>
      <c r="S1038" s="344"/>
      <c r="T1038" s="344"/>
      <c r="U1038" s="344"/>
      <c r="V1038" s="344"/>
      <c r="W1038" s="344"/>
      <c r="X1038" s="344"/>
      <c r="Y1038" s="344"/>
      <c r="Z1038" s="344"/>
    </row>
    <row r="1039">
      <c r="A1039" s="464">
        <v>55.0</v>
      </c>
      <c r="B1039" s="471" t="s">
        <v>799</v>
      </c>
      <c r="C1039" s="465" t="s">
        <v>290</v>
      </c>
      <c r="D1039" s="461"/>
      <c r="E1039" s="461"/>
      <c r="F1039" s="465"/>
      <c r="G1039" s="344"/>
      <c r="H1039" s="344"/>
      <c r="I1039" s="344"/>
      <c r="J1039" s="344"/>
      <c r="K1039" s="344"/>
      <c r="L1039" s="344"/>
      <c r="M1039" s="344"/>
      <c r="N1039" s="344"/>
      <c r="O1039" s="344"/>
      <c r="P1039" s="344"/>
      <c r="Q1039" s="344"/>
      <c r="R1039" s="344"/>
      <c r="S1039" s="344"/>
      <c r="T1039" s="344"/>
      <c r="U1039" s="344"/>
      <c r="V1039" s="344"/>
      <c r="W1039" s="344"/>
      <c r="X1039" s="344"/>
      <c r="Y1039" s="344"/>
      <c r="Z1039" s="344"/>
    </row>
    <row r="1040">
      <c r="A1040" s="458">
        <v>56.0</v>
      </c>
      <c r="B1040" s="459" t="s">
        <v>598</v>
      </c>
      <c r="C1040" s="460">
        <v>2024.0</v>
      </c>
      <c r="D1040" s="473" t="s">
        <v>1569</v>
      </c>
      <c r="E1040" s="471" t="s">
        <v>1570</v>
      </c>
      <c r="F1040" s="466" t="s">
        <v>1074</v>
      </c>
      <c r="G1040" s="344"/>
      <c r="H1040" s="344"/>
      <c r="I1040" s="344"/>
      <c r="J1040" s="344"/>
      <c r="K1040" s="344"/>
      <c r="L1040" s="344"/>
      <c r="M1040" s="344"/>
      <c r="N1040" s="344"/>
      <c r="O1040" s="344"/>
      <c r="P1040" s="344"/>
      <c r="Q1040" s="344"/>
      <c r="R1040" s="344"/>
      <c r="S1040" s="344"/>
      <c r="T1040" s="344"/>
      <c r="U1040" s="344"/>
      <c r="V1040" s="344"/>
      <c r="W1040" s="344"/>
      <c r="X1040" s="344"/>
      <c r="Y1040" s="344"/>
      <c r="Z1040" s="344"/>
    </row>
    <row r="1041">
      <c r="A1041" s="129"/>
      <c r="B1041" s="9"/>
      <c r="C1041" s="9"/>
      <c r="D1041" s="473" t="s">
        <v>1117</v>
      </c>
      <c r="E1041" s="471" t="s">
        <v>1118</v>
      </c>
      <c r="F1041" s="466" t="s">
        <v>1074</v>
      </c>
      <c r="G1041" s="344"/>
      <c r="H1041" s="344"/>
      <c r="I1041" s="344"/>
      <c r="J1041" s="344"/>
      <c r="K1041" s="344"/>
      <c r="L1041" s="344"/>
      <c r="M1041" s="344"/>
      <c r="N1041" s="344"/>
      <c r="O1041" s="344"/>
      <c r="P1041" s="344"/>
      <c r="Q1041" s="344"/>
      <c r="R1041" s="344"/>
      <c r="S1041" s="344"/>
      <c r="T1041" s="344"/>
      <c r="U1041" s="344"/>
      <c r="V1041" s="344"/>
      <c r="W1041" s="344"/>
      <c r="X1041" s="344"/>
      <c r="Y1041" s="344"/>
      <c r="Z1041" s="344"/>
    </row>
    <row r="1042">
      <c r="A1042" s="129"/>
      <c r="B1042" s="9"/>
      <c r="C1042" s="9"/>
      <c r="D1042" s="473" t="s">
        <v>1248</v>
      </c>
      <c r="E1042" s="471" t="s">
        <v>1249</v>
      </c>
      <c r="F1042" s="466" t="s">
        <v>1074</v>
      </c>
      <c r="G1042" s="344"/>
      <c r="H1042" s="344"/>
      <c r="I1042" s="344"/>
      <c r="J1042" s="344"/>
      <c r="K1042" s="344"/>
      <c r="L1042" s="344"/>
      <c r="M1042" s="344"/>
      <c r="N1042" s="344"/>
      <c r="O1042" s="344"/>
      <c r="P1042" s="344"/>
      <c r="Q1042" s="344"/>
      <c r="R1042" s="344"/>
      <c r="S1042" s="344"/>
      <c r="T1042" s="344"/>
      <c r="U1042" s="344"/>
      <c r="V1042" s="344"/>
      <c r="W1042" s="344"/>
      <c r="X1042" s="344"/>
      <c r="Y1042" s="344"/>
      <c r="Z1042" s="344"/>
    </row>
    <row r="1043">
      <c r="A1043" s="129"/>
      <c r="B1043" s="9"/>
      <c r="C1043" s="11"/>
      <c r="D1043" s="473" t="s">
        <v>1571</v>
      </c>
      <c r="E1043" s="471" t="s">
        <v>1572</v>
      </c>
      <c r="F1043" s="466" t="s">
        <v>1074</v>
      </c>
      <c r="G1043" s="344"/>
      <c r="H1043" s="344"/>
      <c r="I1043" s="344"/>
      <c r="J1043" s="344"/>
      <c r="K1043" s="344"/>
      <c r="L1043" s="344"/>
      <c r="M1043" s="344"/>
      <c r="N1043" s="344"/>
      <c r="O1043" s="344"/>
      <c r="P1043" s="344"/>
      <c r="Q1043" s="344"/>
      <c r="R1043" s="344"/>
      <c r="S1043" s="344"/>
      <c r="T1043" s="344"/>
      <c r="U1043" s="344"/>
      <c r="V1043" s="344"/>
      <c r="W1043" s="344"/>
      <c r="X1043" s="344"/>
      <c r="Y1043" s="344"/>
      <c r="Z1043" s="344"/>
    </row>
    <row r="1044">
      <c r="A1044" s="129"/>
      <c r="B1044" s="9"/>
      <c r="C1044" s="460">
        <v>2023.0</v>
      </c>
      <c r="D1044" s="473" t="s">
        <v>1573</v>
      </c>
      <c r="E1044" s="471" t="s">
        <v>1574</v>
      </c>
      <c r="F1044" s="466" t="s">
        <v>1074</v>
      </c>
      <c r="G1044" s="344"/>
      <c r="H1044" s="344"/>
      <c r="I1044" s="344"/>
      <c r="J1044" s="344"/>
      <c r="K1044" s="344"/>
      <c r="L1044" s="344"/>
      <c r="M1044" s="344"/>
      <c r="N1044" s="344"/>
      <c r="O1044" s="344"/>
      <c r="P1044" s="344"/>
      <c r="Q1044" s="344"/>
      <c r="R1044" s="344"/>
      <c r="S1044" s="344"/>
      <c r="T1044" s="344"/>
      <c r="U1044" s="344"/>
      <c r="V1044" s="344"/>
      <c r="W1044" s="344"/>
      <c r="X1044" s="344"/>
      <c r="Y1044" s="344"/>
      <c r="Z1044" s="344"/>
    </row>
    <row r="1045">
      <c r="A1045" s="129"/>
      <c r="B1045" s="9"/>
      <c r="C1045" s="9"/>
      <c r="D1045" s="473" t="s">
        <v>1526</v>
      </c>
      <c r="E1045" s="471" t="s">
        <v>1525</v>
      </c>
      <c r="F1045" s="466" t="s">
        <v>1074</v>
      </c>
      <c r="G1045" s="344"/>
      <c r="H1045" s="344"/>
      <c r="I1045" s="344"/>
      <c r="J1045" s="344"/>
      <c r="K1045" s="344"/>
      <c r="L1045" s="344"/>
      <c r="M1045" s="344"/>
      <c r="N1045" s="344"/>
      <c r="O1045" s="344"/>
      <c r="P1045" s="344"/>
      <c r="Q1045" s="344"/>
      <c r="R1045" s="344"/>
      <c r="S1045" s="344"/>
      <c r="T1045" s="344"/>
      <c r="U1045" s="344"/>
      <c r="V1045" s="344"/>
      <c r="W1045" s="344"/>
      <c r="X1045" s="344"/>
      <c r="Y1045" s="344"/>
      <c r="Z1045" s="344"/>
    </row>
    <row r="1046">
      <c r="A1046" s="129"/>
      <c r="B1046" s="9"/>
      <c r="C1046" s="9"/>
      <c r="D1046" s="473" t="s">
        <v>1575</v>
      </c>
      <c r="E1046" s="471" t="s">
        <v>1576</v>
      </c>
      <c r="F1046" s="466" t="s">
        <v>1074</v>
      </c>
      <c r="G1046" s="344"/>
      <c r="H1046" s="344"/>
      <c r="I1046" s="344"/>
      <c r="J1046" s="344"/>
      <c r="K1046" s="344"/>
      <c r="L1046" s="344"/>
      <c r="M1046" s="344"/>
      <c r="N1046" s="344"/>
      <c r="O1046" s="344"/>
      <c r="P1046" s="344"/>
      <c r="Q1046" s="344"/>
      <c r="R1046" s="344"/>
      <c r="S1046" s="344"/>
      <c r="T1046" s="344"/>
      <c r="U1046" s="344"/>
      <c r="V1046" s="344"/>
      <c r="W1046" s="344"/>
      <c r="X1046" s="344"/>
      <c r="Y1046" s="344"/>
      <c r="Z1046" s="344"/>
    </row>
    <row r="1047">
      <c r="A1047" s="129"/>
      <c r="B1047" s="9"/>
      <c r="C1047" s="9"/>
      <c r="D1047" s="473" t="s">
        <v>1560</v>
      </c>
      <c r="E1047" s="471" t="s">
        <v>1561</v>
      </c>
      <c r="F1047" s="466" t="s">
        <v>1074</v>
      </c>
      <c r="G1047" s="344"/>
      <c r="H1047" s="344"/>
      <c r="I1047" s="344"/>
      <c r="J1047" s="344"/>
      <c r="K1047" s="344"/>
      <c r="L1047" s="344"/>
      <c r="M1047" s="344"/>
      <c r="N1047" s="344"/>
      <c r="O1047" s="344"/>
      <c r="P1047" s="344"/>
      <c r="Q1047" s="344"/>
      <c r="R1047" s="344"/>
      <c r="S1047" s="344"/>
      <c r="T1047" s="344"/>
      <c r="U1047" s="344"/>
      <c r="V1047" s="344"/>
      <c r="W1047" s="344"/>
      <c r="X1047" s="344"/>
      <c r="Y1047" s="344"/>
      <c r="Z1047" s="344"/>
    </row>
    <row r="1048">
      <c r="A1048" s="129"/>
      <c r="B1048" s="9"/>
      <c r="C1048" s="9"/>
      <c r="D1048" s="473" t="s">
        <v>1554</v>
      </c>
      <c r="E1048" s="471" t="s">
        <v>1555</v>
      </c>
      <c r="F1048" s="466" t="s">
        <v>1074</v>
      </c>
      <c r="G1048" s="344"/>
      <c r="H1048" s="344"/>
      <c r="I1048" s="344"/>
      <c r="J1048" s="344"/>
      <c r="K1048" s="344"/>
      <c r="L1048" s="344"/>
      <c r="M1048" s="344"/>
      <c r="N1048" s="344"/>
      <c r="O1048" s="344"/>
      <c r="P1048" s="344"/>
      <c r="Q1048" s="344"/>
      <c r="R1048" s="344"/>
      <c r="S1048" s="344"/>
      <c r="T1048" s="344"/>
      <c r="U1048" s="344"/>
      <c r="V1048" s="344"/>
      <c r="W1048" s="344"/>
      <c r="X1048" s="344"/>
      <c r="Y1048" s="344"/>
      <c r="Z1048" s="344"/>
    </row>
    <row r="1049">
      <c r="A1049" s="129"/>
      <c r="B1049" s="9"/>
      <c r="C1049" s="9"/>
      <c r="D1049" s="473" t="s">
        <v>1529</v>
      </c>
      <c r="E1049" s="471" t="s">
        <v>1530</v>
      </c>
      <c r="F1049" s="466" t="s">
        <v>1074</v>
      </c>
      <c r="G1049" s="344"/>
      <c r="H1049" s="344"/>
      <c r="I1049" s="344"/>
      <c r="J1049" s="344"/>
      <c r="K1049" s="344"/>
      <c r="L1049" s="344"/>
      <c r="M1049" s="344"/>
      <c r="N1049" s="344"/>
      <c r="O1049" s="344"/>
      <c r="P1049" s="344"/>
      <c r="Q1049" s="344"/>
      <c r="R1049" s="344"/>
      <c r="S1049" s="344"/>
      <c r="T1049" s="344"/>
      <c r="U1049" s="344"/>
      <c r="V1049" s="344"/>
      <c r="W1049" s="344"/>
      <c r="X1049" s="344"/>
      <c r="Y1049" s="344"/>
      <c r="Z1049" s="344"/>
    </row>
    <row r="1050">
      <c r="A1050" s="129"/>
      <c r="B1050" s="9"/>
      <c r="C1050" s="11"/>
      <c r="D1050" s="473" t="s">
        <v>1577</v>
      </c>
      <c r="E1050" s="471" t="s">
        <v>1578</v>
      </c>
      <c r="F1050" s="466" t="s">
        <v>1074</v>
      </c>
      <c r="G1050" s="344"/>
      <c r="H1050" s="344"/>
      <c r="I1050" s="344"/>
      <c r="J1050" s="344"/>
      <c r="K1050" s="344"/>
      <c r="L1050" s="344"/>
      <c r="M1050" s="344"/>
      <c r="N1050" s="344"/>
      <c r="O1050" s="344"/>
      <c r="P1050" s="344"/>
      <c r="Q1050" s="344"/>
      <c r="R1050" s="344"/>
      <c r="S1050" s="344"/>
      <c r="T1050" s="344"/>
      <c r="U1050" s="344"/>
      <c r="V1050" s="344"/>
      <c r="W1050" s="344"/>
      <c r="X1050" s="344"/>
      <c r="Y1050" s="344"/>
      <c r="Z1050" s="344"/>
    </row>
    <row r="1051">
      <c r="A1051" s="56"/>
      <c r="B1051" s="11"/>
      <c r="C1051" s="465">
        <v>2022.0</v>
      </c>
      <c r="D1051" s="473" t="s">
        <v>1285</v>
      </c>
      <c r="E1051" s="471" t="s">
        <v>1286</v>
      </c>
      <c r="F1051" s="466" t="s">
        <v>1074</v>
      </c>
      <c r="G1051" s="344"/>
      <c r="H1051" s="344"/>
      <c r="I1051" s="344"/>
      <c r="J1051" s="344"/>
      <c r="K1051" s="344"/>
      <c r="L1051" s="344"/>
      <c r="M1051" s="344"/>
      <c r="N1051" s="344"/>
      <c r="O1051" s="344"/>
      <c r="P1051" s="344"/>
      <c r="Q1051" s="344"/>
      <c r="R1051" s="344"/>
      <c r="S1051" s="344"/>
      <c r="T1051" s="344"/>
      <c r="U1051" s="344"/>
      <c r="V1051" s="344"/>
      <c r="W1051" s="344"/>
      <c r="X1051" s="344"/>
      <c r="Y1051" s="344"/>
      <c r="Z1051" s="344"/>
    </row>
    <row r="1052">
      <c r="A1052" s="458">
        <v>57.0</v>
      </c>
      <c r="B1052" s="459" t="s">
        <v>800</v>
      </c>
      <c r="C1052" s="460">
        <v>2024.0</v>
      </c>
      <c r="D1052" s="473" t="s">
        <v>1305</v>
      </c>
      <c r="E1052" s="471" t="s">
        <v>1306</v>
      </c>
      <c r="F1052" s="466" t="s">
        <v>1074</v>
      </c>
      <c r="G1052" s="344"/>
      <c r="H1052" s="344"/>
      <c r="I1052" s="344"/>
      <c r="J1052" s="344"/>
      <c r="K1052" s="344"/>
      <c r="L1052" s="344"/>
      <c r="M1052" s="344"/>
      <c r="N1052" s="344"/>
      <c r="O1052" s="344"/>
      <c r="P1052" s="344"/>
      <c r="Q1052" s="344"/>
      <c r="R1052" s="344"/>
      <c r="S1052" s="344"/>
      <c r="T1052" s="344"/>
      <c r="U1052" s="344"/>
      <c r="V1052" s="344"/>
      <c r="W1052" s="344"/>
      <c r="X1052" s="344"/>
      <c r="Y1052" s="344"/>
      <c r="Z1052" s="344"/>
    </row>
    <row r="1053">
      <c r="A1053" s="129"/>
      <c r="B1053" s="9"/>
      <c r="C1053" s="9"/>
      <c r="D1053" s="473" t="s">
        <v>1513</v>
      </c>
      <c r="E1053" s="471" t="s">
        <v>1514</v>
      </c>
      <c r="F1053" s="466" t="s">
        <v>1074</v>
      </c>
      <c r="G1053" s="344"/>
      <c r="H1053" s="344"/>
      <c r="I1053" s="344"/>
      <c r="J1053" s="344"/>
      <c r="K1053" s="344"/>
      <c r="L1053" s="344"/>
      <c r="M1053" s="344"/>
      <c r="N1053" s="344"/>
      <c r="O1053" s="344"/>
      <c r="P1053" s="344"/>
      <c r="Q1053" s="344"/>
      <c r="R1053" s="344"/>
      <c r="S1053" s="344"/>
      <c r="T1053" s="344"/>
      <c r="U1053" s="344"/>
      <c r="V1053" s="344"/>
      <c r="W1053" s="344"/>
      <c r="X1053" s="344"/>
      <c r="Y1053" s="344"/>
      <c r="Z1053" s="344"/>
    </row>
    <row r="1054">
      <c r="A1054" s="129"/>
      <c r="B1054" s="9"/>
      <c r="C1054" s="9"/>
      <c r="D1054" s="473" t="s">
        <v>1579</v>
      </c>
      <c r="E1054" s="471" t="s">
        <v>1580</v>
      </c>
      <c r="F1054" s="466" t="s">
        <v>1074</v>
      </c>
      <c r="G1054" s="344"/>
      <c r="H1054" s="344"/>
      <c r="I1054" s="344"/>
      <c r="J1054" s="344"/>
      <c r="K1054" s="344"/>
      <c r="L1054" s="344"/>
      <c r="M1054" s="344"/>
      <c r="N1054" s="344"/>
      <c r="O1054" s="344"/>
      <c r="P1054" s="344"/>
      <c r="Q1054" s="344"/>
      <c r="R1054" s="344"/>
      <c r="S1054" s="344"/>
      <c r="T1054" s="344"/>
      <c r="U1054" s="344"/>
      <c r="V1054" s="344"/>
      <c r="W1054" s="344"/>
      <c r="X1054" s="344"/>
      <c r="Y1054" s="344"/>
      <c r="Z1054" s="344"/>
    </row>
    <row r="1055">
      <c r="A1055" s="129"/>
      <c r="B1055" s="9"/>
      <c r="C1055" s="9"/>
      <c r="D1055" s="473" t="s">
        <v>1581</v>
      </c>
      <c r="E1055" s="471" t="s">
        <v>1582</v>
      </c>
      <c r="F1055" s="475" t="s">
        <v>1074</v>
      </c>
      <c r="G1055" s="344"/>
      <c r="H1055" s="344"/>
      <c r="I1055" s="344"/>
      <c r="J1055" s="344"/>
      <c r="K1055" s="344"/>
      <c r="L1055" s="344"/>
      <c r="M1055" s="344"/>
      <c r="N1055" s="344"/>
      <c r="O1055" s="344"/>
      <c r="P1055" s="344"/>
      <c r="Q1055" s="344"/>
      <c r="R1055" s="344"/>
      <c r="S1055" s="344"/>
      <c r="T1055" s="344"/>
      <c r="U1055" s="344"/>
      <c r="V1055" s="344"/>
      <c r="W1055" s="344"/>
      <c r="X1055" s="344"/>
      <c r="Y1055" s="344"/>
      <c r="Z1055" s="344"/>
    </row>
    <row r="1056">
      <c r="A1056" s="129"/>
      <c r="B1056" s="9"/>
      <c r="C1056" s="11"/>
      <c r="D1056" s="473" t="s">
        <v>1583</v>
      </c>
      <c r="E1056" s="471" t="s">
        <v>1584</v>
      </c>
      <c r="F1056" s="466" t="s">
        <v>1074</v>
      </c>
      <c r="G1056" s="344"/>
      <c r="H1056" s="344"/>
      <c r="I1056" s="344"/>
      <c r="J1056" s="344"/>
      <c r="K1056" s="344"/>
      <c r="L1056" s="344"/>
      <c r="M1056" s="344"/>
      <c r="N1056" s="344"/>
      <c r="O1056" s="344"/>
      <c r="P1056" s="344"/>
      <c r="Q1056" s="344"/>
      <c r="R1056" s="344"/>
      <c r="S1056" s="344"/>
      <c r="T1056" s="344"/>
      <c r="U1056" s="344"/>
      <c r="V1056" s="344"/>
      <c r="W1056" s="344"/>
      <c r="X1056" s="344"/>
      <c r="Y1056" s="344"/>
      <c r="Z1056" s="344"/>
    </row>
    <row r="1057">
      <c r="A1057" s="129"/>
      <c r="B1057" s="9"/>
      <c r="C1057" s="460">
        <v>2023.0</v>
      </c>
      <c r="D1057" s="473" t="s">
        <v>1234</v>
      </c>
      <c r="E1057" s="471" t="s">
        <v>1235</v>
      </c>
      <c r="F1057" s="466" t="s">
        <v>1074</v>
      </c>
      <c r="G1057" s="344"/>
      <c r="H1057" s="344"/>
      <c r="I1057" s="344"/>
      <c r="J1057" s="344"/>
      <c r="K1057" s="344"/>
      <c r="L1057" s="344"/>
      <c r="M1057" s="344"/>
      <c r="N1057" s="344"/>
      <c r="O1057" s="344"/>
      <c r="P1057" s="344"/>
      <c r="Q1057" s="344"/>
      <c r="R1057" s="344"/>
      <c r="S1057" s="344"/>
      <c r="T1057" s="344"/>
      <c r="U1057" s="344"/>
      <c r="V1057" s="344"/>
      <c r="W1057" s="344"/>
      <c r="X1057" s="344"/>
      <c r="Y1057" s="344"/>
      <c r="Z1057" s="344"/>
    </row>
    <row r="1058">
      <c r="A1058" s="129"/>
      <c r="B1058" s="9"/>
      <c r="C1058" s="9"/>
      <c r="D1058" s="473" t="s">
        <v>1205</v>
      </c>
      <c r="E1058" s="471" t="s">
        <v>1337</v>
      </c>
      <c r="F1058" s="466" t="s">
        <v>1074</v>
      </c>
      <c r="G1058" s="344"/>
      <c r="H1058" s="344"/>
      <c r="I1058" s="344"/>
      <c r="J1058" s="344"/>
      <c r="K1058" s="344"/>
      <c r="L1058" s="344"/>
      <c r="M1058" s="344"/>
      <c r="N1058" s="344"/>
      <c r="O1058" s="344"/>
      <c r="P1058" s="344"/>
      <c r="Q1058" s="344"/>
      <c r="R1058" s="344"/>
      <c r="S1058" s="344"/>
      <c r="T1058" s="344"/>
      <c r="U1058" s="344"/>
      <c r="V1058" s="344"/>
      <c r="W1058" s="344"/>
      <c r="X1058" s="344"/>
      <c r="Y1058" s="344"/>
      <c r="Z1058" s="344"/>
    </row>
    <row r="1059">
      <c r="A1059" s="129"/>
      <c r="B1059" s="9"/>
      <c r="C1059" s="9"/>
      <c r="D1059" s="473" t="s">
        <v>1585</v>
      </c>
      <c r="E1059" s="471" t="s">
        <v>1586</v>
      </c>
      <c r="F1059" s="466" t="s">
        <v>1074</v>
      </c>
      <c r="G1059" s="344"/>
      <c r="H1059" s="344"/>
      <c r="I1059" s="344"/>
      <c r="J1059" s="344"/>
      <c r="K1059" s="344"/>
      <c r="L1059" s="344"/>
      <c r="M1059" s="344"/>
      <c r="N1059" s="344"/>
      <c r="O1059" s="344"/>
      <c r="P1059" s="344"/>
      <c r="Q1059" s="344"/>
      <c r="R1059" s="344"/>
      <c r="S1059" s="344"/>
      <c r="T1059" s="344"/>
      <c r="U1059" s="344"/>
      <c r="V1059" s="344"/>
      <c r="W1059" s="344"/>
      <c r="X1059" s="344"/>
      <c r="Y1059" s="344"/>
      <c r="Z1059" s="344"/>
    </row>
    <row r="1060">
      <c r="A1060" s="129"/>
      <c r="B1060" s="9"/>
      <c r="C1060" s="9"/>
      <c r="D1060" s="473" t="s">
        <v>1210</v>
      </c>
      <c r="E1060" s="471" t="s">
        <v>1374</v>
      </c>
      <c r="F1060" s="466" t="s">
        <v>1074</v>
      </c>
      <c r="G1060" s="344"/>
      <c r="H1060" s="344"/>
      <c r="I1060" s="344"/>
      <c r="J1060" s="344"/>
      <c r="K1060" s="344"/>
      <c r="L1060" s="344"/>
      <c r="M1060" s="344"/>
      <c r="N1060" s="344"/>
      <c r="O1060" s="344"/>
      <c r="P1060" s="344"/>
      <c r="Q1060" s="344"/>
      <c r="R1060" s="344"/>
      <c r="S1060" s="344"/>
      <c r="T1060" s="344"/>
      <c r="U1060" s="344"/>
      <c r="V1060" s="344"/>
      <c r="W1060" s="344"/>
      <c r="X1060" s="344"/>
      <c r="Y1060" s="344"/>
      <c r="Z1060" s="344"/>
    </row>
    <row r="1061">
      <c r="A1061" s="129"/>
      <c r="B1061" s="9"/>
      <c r="C1061" s="9"/>
      <c r="D1061" s="473" t="s">
        <v>1587</v>
      </c>
      <c r="E1061" s="471" t="s">
        <v>1374</v>
      </c>
      <c r="F1061" s="466" t="s">
        <v>1074</v>
      </c>
      <c r="G1061" s="344"/>
      <c r="H1061" s="344"/>
      <c r="I1061" s="344"/>
      <c r="J1061" s="344"/>
      <c r="K1061" s="344"/>
      <c r="L1061" s="344"/>
      <c r="M1061" s="344"/>
      <c r="N1061" s="344"/>
      <c r="O1061" s="344"/>
      <c r="P1061" s="344"/>
      <c r="Q1061" s="344"/>
      <c r="R1061" s="344"/>
      <c r="S1061" s="344"/>
      <c r="T1061" s="344"/>
      <c r="U1061" s="344"/>
      <c r="V1061" s="344"/>
      <c r="W1061" s="344"/>
      <c r="X1061" s="344"/>
      <c r="Y1061" s="344"/>
      <c r="Z1061" s="344"/>
    </row>
    <row r="1062">
      <c r="A1062" s="129"/>
      <c r="B1062" s="9"/>
      <c r="C1062" s="9"/>
      <c r="D1062" s="473" t="s">
        <v>1588</v>
      </c>
      <c r="E1062" s="471" t="s">
        <v>1589</v>
      </c>
      <c r="F1062" s="466" t="s">
        <v>1074</v>
      </c>
      <c r="G1062" s="344"/>
      <c r="H1062" s="344"/>
      <c r="I1062" s="344"/>
      <c r="J1062" s="344"/>
      <c r="K1062" s="344"/>
      <c r="L1062" s="344"/>
      <c r="M1062" s="344"/>
      <c r="N1062" s="344"/>
      <c r="O1062" s="344"/>
      <c r="P1062" s="344"/>
      <c r="Q1062" s="344"/>
      <c r="R1062" s="344"/>
      <c r="S1062" s="344"/>
      <c r="T1062" s="344"/>
      <c r="U1062" s="344"/>
      <c r="V1062" s="344"/>
      <c r="W1062" s="344"/>
      <c r="X1062" s="344"/>
      <c r="Y1062" s="344"/>
      <c r="Z1062" s="344"/>
    </row>
    <row r="1063">
      <c r="A1063" s="129"/>
      <c r="B1063" s="9"/>
      <c r="C1063" s="9"/>
      <c r="D1063" s="473" t="s">
        <v>1590</v>
      </c>
      <c r="E1063" s="471" t="s">
        <v>1376</v>
      </c>
      <c r="F1063" s="466" t="s">
        <v>1074</v>
      </c>
      <c r="G1063" s="344"/>
      <c r="H1063" s="344"/>
      <c r="I1063" s="344"/>
      <c r="J1063" s="344"/>
      <c r="K1063" s="344"/>
      <c r="L1063" s="344"/>
      <c r="M1063" s="344"/>
      <c r="N1063" s="344"/>
      <c r="O1063" s="344"/>
      <c r="P1063" s="344"/>
      <c r="Q1063" s="344"/>
      <c r="R1063" s="344"/>
      <c r="S1063" s="344"/>
      <c r="T1063" s="344"/>
      <c r="U1063" s="344"/>
      <c r="V1063" s="344"/>
      <c r="W1063" s="344"/>
      <c r="X1063" s="344"/>
      <c r="Y1063" s="344"/>
      <c r="Z1063" s="344"/>
    </row>
    <row r="1064">
      <c r="A1064" s="129"/>
      <c r="B1064" s="9"/>
      <c r="C1064" s="9"/>
      <c r="D1064" s="473" t="s">
        <v>1591</v>
      </c>
      <c r="E1064" s="471" t="s">
        <v>1592</v>
      </c>
      <c r="F1064" s="466" t="s">
        <v>1074</v>
      </c>
      <c r="G1064" s="344"/>
      <c r="H1064" s="344"/>
      <c r="I1064" s="344"/>
      <c r="J1064" s="344"/>
      <c r="K1064" s="344"/>
      <c r="L1064" s="344"/>
      <c r="M1064" s="344"/>
      <c r="N1064" s="344"/>
      <c r="O1064" s="344"/>
      <c r="P1064" s="344"/>
      <c r="Q1064" s="344"/>
      <c r="R1064" s="344"/>
      <c r="S1064" s="344"/>
      <c r="T1064" s="344"/>
      <c r="U1064" s="344"/>
      <c r="V1064" s="344"/>
      <c r="W1064" s="344"/>
      <c r="X1064" s="344"/>
      <c r="Y1064" s="344"/>
      <c r="Z1064" s="344"/>
    </row>
    <row r="1065">
      <c r="A1065" s="129"/>
      <c r="B1065" s="9"/>
      <c r="C1065" s="9"/>
      <c r="D1065" s="473" t="s">
        <v>1593</v>
      </c>
      <c r="E1065" s="471" t="s">
        <v>1594</v>
      </c>
      <c r="F1065" s="466" t="s">
        <v>1074</v>
      </c>
      <c r="G1065" s="344"/>
      <c r="H1065" s="344"/>
      <c r="I1065" s="344"/>
      <c r="J1065" s="344"/>
      <c r="K1065" s="344"/>
      <c r="L1065" s="344"/>
      <c r="M1065" s="344"/>
      <c r="N1065" s="344"/>
      <c r="O1065" s="344"/>
      <c r="P1065" s="344"/>
      <c r="Q1065" s="344"/>
      <c r="R1065" s="344"/>
      <c r="S1065" s="344"/>
      <c r="T1065" s="344"/>
      <c r="U1065" s="344"/>
      <c r="V1065" s="344"/>
      <c r="W1065" s="344"/>
      <c r="X1065" s="344"/>
      <c r="Y1065" s="344"/>
      <c r="Z1065" s="344"/>
    </row>
    <row r="1066">
      <c r="A1066" s="129"/>
      <c r="B1066" s="9"/>
      <c r="C1066" s="9"/>
      <c r="D1066" s="473" t="s">
        <v>1595</v>
      </c>
      <c r="E1066" s="471" t="s">
        <v>1184</v>
      </c>
      <c r="F1066" s="466" t="s">
        <v>1074</v>
      </c>
      <c r="G1066" s="344"/>
      <c r="H1066" s="344"/>
      <c r="I1066" s="344"/>
      <c r="J1066" s="344"/>
      <c r="K1066" s="344"/>
      <c r="L1066" s="344"/>
      <c r="M1066" s="344"/>
      <c r="N1066" s="344"/>
      <c r="O1066" s="344"/>
      <c r="P1066" s="344"/>
      <c r="Q1066" s="344"/>
      <c r="R1066" s="344"/>
      <c r="S1066" s="344"/>
      <c r="T1066" s="344"/>
      <c r="U1066" s="344"/>
      <c r="V1066" s="344"/>
      <c r="W1066" s="344"/>
      <c r="X1066" s="344"/>
      <c r="Y1066" s="344"/>
      <c r="Z1066" s="344"/>
    </row>
    <row r="1067">
      <c r="A1067" s="129"/>
      <c r="B1067" s="9"/>
      <c r="C1067" s="11"/>
      <c r="D1067" s="473" t="s">
        <v>1596</v>
      </c>
      <c r="E1067" s="471" t="s">
        <v>1597</v>
      </c>
      <c r="F1067" s="466" t="s">
        <v>1074</v>
      </c>
      <c r="G1067" s="344"/>
      <c r="H1067" s="344"/>
      <c r="I1067" s="344"/>
      <c r="J1067" s="344"/>
      <c r="K1067" s="344"/>
      <c r="L1067" s="344"/>
      <c r="M1067" s="344"/>
      <c r="N1067" s="344"/>
      <c r="O1067" s="344"/>
      <c r="P1067" s="344"/>
      <c r="Q1067" s="344"/>
      <c r="R1067" s="344"/>
      <c r="S1067" s="344"/>
      <c r="T1067" s="344"/>
      <c r="U1067" s="344"/>
      <c r="V1067" s="344"/>
      <c r="W1067" s="344"/>
      <c r="X1067" s="344"/>
      <c r="Y1067" s="344"/>
      <c r="Z1067" s="344"/>
    </row>
    <row r="1068">
      <c r="A1068" s="129"/>
      <c r="B1068" s="9"/>
      <c r="C1068" s="460">
        <v>2022.0</v>
      </c>
      <c r="D1068" s="473" t="s">
        <v>1559</v>
      </c>
      <c r="E1068" s="471" t="s">
        <v>1345</v>
      </c>
      <c r="F1068" s="466" t="s">
        <v>1074</v>
      </c>
      <c r="G1068" s="344"/>
      <c r="H1068" s="344"/>
      <c r="I1068" s="344"/>
      <c r="J1068" s="344"/>
      <c r="K1068" s="344"/>
      <c r="L1068" s="344"/>
      <c r="M1068" s="344"/>
      <c r="N1068" s="344"/>
      <c r="O1068" s="344"/>
      <c r="P1068" s="344"/>
      <c r="Q1068" s="344"/>
      <c r="R1068" s="344"/>
      <c r="S1068" s="344"/>
      <c r="T1068" s="344"/>
      <c r="U1068" s="344"/>
      <c r="V1068" s="344"/>
      <c r="W1068" s="344"/>
      <c r="X1068" s="344"/>
      <c r="Y1068" s="344"/>
      <c r="Z1068" s="344"/>
    </row>
    <row r="1069">
      <c r="A1069" s="129"/>
      <c r="B1069" s="9"/>
      <c r="C1069" s="9"/>
      <c r="D1069" s="473" t="s">
        <v>1245</v>
      </c>
      <c r="E1069" s="471" t="s">
        <v>1149</v>
      </c>
      <c r="F1069" s="466" t="s">
        <v>1074</v>
      </c>
      <c r="G1069" s="344"/>
      <c r="H1069" s="344"/>
      <c r="I1069" s="344"/>
      <c r="J1069" s="344"/>
      <c r="K1069" s="344"/>
      <c r="L1069" s="344"/>
      <c r="M1069" s="344"/>
      <c r="N1069" s="344"/>
      <c r="O1069" s="344"/>
      <c r="P1069" s="344"/>
      <c r="Q1069" s="344"/>
      <c r="R1069" s="344"/>
      <c r="S1069" s="344"/>
      <c r="T1069" s="344"/>
      <c r="U1069" s="344"/>
      <c r="V1069" s="344"/>
      <c r="W1069" s="344"/>
      <c r="X1069" s="344"/>
      <c r="Y1069" s="344"/>
      <c r="Z1069" s="344"/>
    </row>
    <row r="1070">
      <c r="A1070" s="129"/>
      <c r="B1070" s="9"/>
      <c r="C1070" s="9"/>
      <c r="D1070" s="473" t="s">
        <v>1598</v>
      </c>
      <c r="E1070" s="471" t="s">
        <v>1599</v>
      </c>
      <c r="F1070" s="466" t="s">
        <v>1074</v>
      </c>
      <c r="G1070" s="344"/>
      <c r="H1070" s="344"/>
      <c r="I1070" s="344"/>
      <c r="J1070" s="344"/>
      <c r="K1070" s="344"/>
      <c r="L1070" s="344"/>
      <c r="M1070" s="344"/>
      <c r="N1070" s="344"/>
      <c r="O1070" s="344"/>
      <c r="P1070" s="344"/>
      <c r="Q1070" s="344"/>
      <c r="R1070" s="344"/>
      <c r="S1070" s="344"/>
      <c r="T1070" s="344"/>
      <c r="U1070" s="344"/>
      <c r="V1070" s="344"/>
      <c r="W1070" s="344"/>
      <c r="X1070" s="344"/>
      <c r="Y1070" s="344"/>
      <c r="Z1070" s="344"/>
    </row>
    <row r="1071">
      <c r="A1071" s="129"/>
      <c r="B1071" s="9"/>
      <c r="C1071" s="9"/>
      <c r="D1071" s="473" t="s">
        <v>1600</v>
      </c>
      <c r="E1071" s="471" t="s">
        <v>1601</v>
      </c>
      <c r="F1071" s="466" t="s">
        <v>1074</v>
      </c>
      <c r="G1071" s="344"/>
      <c r="H1071" s="344"/>
      <c r="I1071" s="344"/>
      <c r="J1071" s="344"/>
      <c r="K1071" s="344"/>
      <c r="L1071" s="344"/>
      <c r="M1071" s="344"/>
      <c r="N1071" s="344"/>
      <c r="O1071" s="344"/>
      <c r="P1071" s="344"/>
      <c r="Q1071" s="344"/>
      <c r="R1071" s="344"/>
      <c r="S1071" s="344"/>
      <c r="T1071" s="344"/>
      <c r="U1071" s="344"/>
      <c r="V1071" s="344"/>
      <c r="W1071" s="344"/>
      <c r="X1071" s="344"/>
      <c r="Y1071" s="344"/>
      <c r="Z1071" s="344"/>
    </row>
    <row r="1072">
      <c r="A1072" s="129"/>
      <c r="B1072" s="9"/>
      <c r="C1072" s="9"/>
      <c r="D1072" s="473" t="s">
        <v>1602</v>
      </c>
      <c r="E1072" s="471" t="s">
        <v>1603</v>
      </c>
      <c r="F1072" s="466" t="s">
        <v>1074</v>
      </c>
      <c r="G1072" s="344"/>
      <c r="H1072" s="344"/>
      <c r="I1072" s="344"/>
      <c r="J1072" s="344"/>
      <c r="K1072" s="344"/>
      <c r="L1072" s="344"/>
      <c r="M1072" s="344"/>
      <c r="N1072" s="344"/>
      <c r="O1072" s="344"/>
      <c r="P1072" s="344"/>
      <c r="Q1072" s="344"/>
      <c r="R1072" s="344"/>
      <c r="S1072" s="344"/>
      <c r="T1072" s="344"/>
      <c r="U1072" s="344"/>
      <c r="V1072" s="344"/>
      <c r="W1072" s="344"/>
      <c r="X1072" s="344"/>
      <c r="Y1072" s="344"/>
      <c r="Z1072" s="344"/>
    </row>
    <row r="1073">
      <c r="A1073" s="129"/>
      <c r="B1073" s="9"/>
      <c r="C1073" s="9"/>
      <c r="D1073" s="473" t="s">
        <v>1604</v>
      </c>
      <c r="E1073" s="471" t="s">
        <v>1316</v>
      </c>
      <c r="F1073" s="466" t="s">
        <v>1074</v>
      </c>
      <c r="G1073" s="344"/>
      <c r="H1073" s="344"/>
      <c r="I1073" s="344"/>
      <c r="J1073" s="344"/>
      <c r="K1073" s="344"/>
      <c r="L1073" s="344"/>
      <c r="M1073" s="344"/>
      <c r="N1073" s="344"/>
      <c r="O1073" s="344"/>
      <c r="P1073" s="344"/>
      <c r="Q1073" s="344"/>
      <c r="R1073" s="344"/>
      <c r="S1073" s="344"/>
      <c r="T1073" s="344"/>
      <c r="U1073" s="344"/>
      <c r="V1073" s="344"/>
      <c r="W1073" s="344"/>
      <c r="X1073" s="344"/>
      <c r="Y1073" s="344"/>
      <c r="Z1073" s="344"/>
    </row>
    <row r="1074">
      <c r="A1074" s="129"/>
      <c r="B1074" s="9"/>
      <c r="C1074" s="9"/>
      <c r="D1074" s="473" t="s">
        <v>1605</v>
      </c>
      <c r="E1074" s="471" t="s">
        <v>1188</v>
      </c>
      <c r="F1074" s="466" t="s">
        <v>1074</v>
      </c>
      <c r="G1074" s="344"/>
      <c r="H1074" s="344"/>
      <c r="I1074" s="344"/>
      <c r="J1074" s="344"/>
      <c r="K1074" s="344"/>
      <c r="L1074" s="344"/>
      <c r="M1074" s="344"/>
      <c r="N1074" s="344"/>
      <c r="O1074" s="344"/>
      <c r="P1074" s="344"/>
      <c r="Q1074" s="344"/>
      <c r="R1074" s="344"/>
      <c r="S1074" s="344"/>
      <c r="T1074" s="344"/>
      <c r="U1074" s="344"/>
      <c r="V1074" s="344"/>
      <c r="W1074" s="344"/>
      <c r="X1074" s="344"/>
      <c r="Y1074" s="344"/>
      <c r="Z1074" s="344"/>
    </row>
    <row r="1075">
      <c r="A1075" s="129"/>
      <c r="B1075" s="9"/>
      <c r="C1075" s="9"/>
      <c r="D1075" s="473" t="s">
        <v>1606</v>
      </c>
      <c r="E1075" s="471" t="s">
        <v>1188</v>
      </c>
      <c r="F1075" s="466" t="s">
        <v>1074</v>
      </c>
      <c r="G1075" s="344"/>
      <c r="H1075" s="344"/>
      <c r="I1075" s="344"/>
      <c r="J1075" s="344"/>
      <c r="K1075" s="344"/>
      <c r="L1075" s="344"/>
      <c r="M1075" s="344"/>
      <c r="N1075" s="344"/>
      <c r="O1075" s="344"/>
      <c r="P1075" s="344"/>
      <c r="Q1075" s="344"/>
      <c r="R1075" s="344"/>
      <c r="S1075" s="344"/>
      <c r="T1075" s="344"/>
      <c r="U1075" s="344"/>
      <c r="V1075" s="344"/>
      <c r="W1075" s="344"/>
      <c r="X1075" s="344"/>
      <c r="Y1075" s="344"/>
      <c r="Z1075" s="344"/>
    </row>
    <row r="1076">
      <c r="A1076" s="129"/>
      <c r="B1076" s="9"/>
      <c r="C1076" s="9"/>
      <c r="D1076" s="473" t="s">
        <v>1607</v>
      </c>
      <c r="E1076" s="471" t="s">
        <v>1188</v>
      </c>
      <c r="F1076" s="466" t="s">
        <v>1074</v>
      </c>
      <c r="G1076" s="344"/>
      <c r="H1076" s="344"/>
      <c r="I1076" s="344"/>
      <c r="J1076" s="344"/>
      <c r="K1076" s="344"/>
      <c r="L1076" s="344"/>
      <c r="M1076" s="344"/>
      <c r="N1076" s="344"/>
      <c r="O1076" s="344"/>
      <c r="P1076" s="344"/>
      <c r="Q1076" s="344"/>
      <c r="R1076" s="344"/>
      <c r="S1076" s="344"/>
      <c r="T1076" s="344"/>
      <c r="U1076" s="344"/>
      <c r="V1076" s="344"/>
      <c r="W1076" s="344"/>
      <c r="X1076" s="344"/>
      <c r="Y1076" s="344"/>
      <c r="Z1076" s="344"/>
    </row>
    <row r="1077">
      <c r="A1077" s="129"/>
      <c r="B1077" s="9"/>
      <c r="C1077" s="9"/>
      <c r="D1077" s="473" t="s">
        <v>1608</v>
      </c>
      <c r="E1077" s="471" t="s">
        <v>1609</v>
      </c>
      <c r="F1077" s="466" t="s">
        <v>1074</v>
      </c>
      <c r="G1077" s="344"/>
      <c r="H1077" s="344"/>
      <c r="I1077" s="344"/>
      <c r="J1077" s="344"/>
      <c r="K1077" s="344"/>
      <c r="L1077" s="344"/>
      <c r="M1077" s="344"/>
      <c r="N1077" s="344"/>
      <c r="O1077" s="344"/>
      <c r="P1077" s="344"/>
      <c r="Q1077" s="344"/>
      <c r="R1077" s="344"/>
      <c r="S1077" s="344"/>
      <c r="T1077" s="344"/>
      <c r="U1077" s="344"/>
      <c r="V1077" s="344"/>
      <c r="W1077" s="344"/>
      <c r="X1077" s="344"/>
      <c r="Y1077" s="344"/>
      <c r="Z1077" s="344"/>
    </row>
    <row r="1078">
      <c r="A1078" s="129"/>
      <c r="B1078" s="9"/>
      <c r="C1078" s="9"/>
      <c r="D1078" s="473" t="s">
        <v>1610</v>
      </c>
      <c r="E1078" s="471" t="s">
        <v>1611</v>
      </c>
      <c r="F1078" s="466" t="s">
        <v>1074</v>
      </c>
      <c r="G1078" s="344"/>
      <c r="H1078" s="344"/>
      <c r="I1078" s="344"/>
      <c r="J1078" s="344"/>
      <c r="K1078" s="344"/>
      <c r="L1078" s="344"/>
      <c r="M1078" s="344"/>
      <c r="N1078" s="344"/>
      <c r="O1078" s="344"/>
      <c r="P1078" s="344"/>
      <c r="Q1078" s="344"/>
      <c r="R1078" s="344"/>
      <c r="S1078" s="344"/>
      <c r="T1078" s="344"/>
      <c r="U1078" s="344"/>
      <c r="V1078" s="344"/>
      <c r="W1078" s="344"/>
      <c r="X1078" s="344"/>
      <c r="Y1078" s="344"/>
      <c r="Z1078" s="344"/>
    </row>
    <row r="1079">
      <c r="A1079" s="129"/>
      <c r="B1079" s="9"/>
      <c r="C1079" s="9"/>
      <c r="D1079" s="473" t="s">
        <v>1612</v>
      </c>
      <c r="E1079" s="471" t="s">
        <v>1613</v>
      </c>
      <c r="F1079" s="466" t="s">
        <v>1074</v>
      </c>
      <c r="G1079" s="344"/>
      <c r="H1079" s="344"/>
      <c r="I1079" s="344"/>
      <c r="J1079" s="344"/>
      <c r="K1079" s="344"/>
      <c r="L1079" s="344"/>
      <c r="M1079" s="344"/>
      <c r="N1079" s="344"/>
      <c r="O1079" s="344"/>
      <c r="P1079" s="344"/>
      <c r="Q1079" s="344"/>
      <c r="R1079" s="344"/>
      <c r="S1079" s="344"/>
      <c r="T1079" s="344"/>
      <c r="U1079" s="344"/>
      <c r="V1079" s="344"/>
      <c r="W1079" s="344"/>
      <c r="X1079" s="344"/>
      <c r="Y1079" s="344"/>
      <c r="Z1079" s="344"/>
    </row>
    <row r="1080">
      <c r="A1080" s="129"/>
      <c r="B1080" s="9"/>
      <c r="C1080" s="9"/>
      <c r="D1080" s="473" t="s">
        <v>1387</v>
      </c>
      <c r="E1080" s="471" t="s">
        <v>1388</v>
      </c>
      <c r="F1080" s="466" t="s">
        <v>1074</v>
      </c>
      <c r="G1080" s="344"/>
      <c r="H1080" s="344"/>
      <c r="I1080" s="344"/>
      <c r="J1080" s="344"/>
      <c r="K1080" s="344"/>
      <c r="L1080" s="344"/>
      <c r="M1080" s="344"/>
      <c r="N1080" s="344"/>
      <c r="O1080" s="344"/>
      <c r="P1080" s="344"/>
      <c r="Q1080" s="344"/>
      <c r="R1080" s="344"/>
      <c r="S1080" s="344"/>
      <c r="T1080" s="344"/>
      <c r="U1080" s="344"/>
      <c r="V1080" s="344"/>
      <c r="W1080" s="344"/>
      <c r="X1080" s="344"/>
      <c r="Y1080" s="344"/>
      <c r="Z1080" s="344"/>
    </row>
    <row r="1081">
      <c r="A1081" s="129"/>
      <c r="B1081" s="9"/>
      <c r="C1081" s="9"/>
      <c r="D1081" s="473" t="s">
        <v>1614</v>
      </c>
      <c r="E1081" s="471" t="s">
        <v>1615</v>
      </c>
      <c r="F1081" s="466" t="s">
        <v>1074</v>
      </c>
      <c r="G1081" s="344"/>
      <c r="H1081" s="344"/>
      <c r="I1081" s="344"/>
      <c r="J1081" s="344"/>
      <c r="K1081" s="344"/>
      <c r="L1081" s="344"/>
      <c r="M1081" s="344"/>
      <c r="N1081" s="344"/>
      <c r="O1081" s="344"/>
      <c r="P1081" s="344"/>
      <c r="Q1081" s="344"/>
      <c r="R1081" s="344"/>
      <c r="S1081" s="344"/>
      <c r="T1081" s="344"/>
      <c r="U1081" s="344"/>
      <c r="V1081" s="344"/>
      <c r="W1081" s="344"/>
      <c r="X1081" s="344"/>
      <c r="Y1081" s="344"/>
      <c r="Z1081" s="344"/>
    </row>
    <row r="1082">
      <c r="A1082" s="129"/>
      <c r="B1082" s="9"/>
      <c r="C1082" s="9"/>
      <c r="D1082" s="473" t="s">
        <v>1542</v>
      </c>
      <c r="E1082" s="471" t="s">
        <v>1543</v>
      </c>
      <c r="F1082" s="466" t="s">
        <v>1074</v>
      </c>
      <c r="G1082" s="344"/>
      <c r="H1082" s="344"/>
      <c r="I1082" s="344"/>
      <c r="J1082" s="344"/>
      <c r="K1082" s="344"/>
      <c r="L1082" s="344"/>
      <c r="M1082" s="344"/>
      <c r="N1082" s="344"/>
      <c r="O1082" s="344"/>
      <c r="P1082" s="344"/>
      <c r="Q1082" s="344"/>
      <c r="R1082" s="344"/>
      <c r="S1082" s="344"/>
      <c r="T1082" s="344"/>
      <c r="U1082" s="344"/>
      <c r="V1082" s="344"/>
      <c r="W1082" s="344"/>
      <c r="X1082" s="344"/>
      <c r="Y1082" s="344"/>
      <c r="Z1082" s="344"/>
    </row>
    <row r="1083">
      <c r="A1083" s="56"/>
      <c r="B1083" s="11"/>
      <c r="C1083" s="11"/>
      <c r="D1083" s="473" t="s">
        <v>1261</v>
      </c>
      <c r="E1083" s="471" t="s">
        <v>1262</v>
      </c>
      <c r="F1083" s="466" t="s">
        <v>1074</v>
      </c>
      <c r="G1083" s="344"/>
      <c r="H1083" s="344"/>
      <c r="I1083" s="344"/>
      <c r="J1083" s="344"/>
      <c r="K1083" s="344"/>
      <c r="L1083" s="344"/>
      <c r="M1083" s="344"/>
      <c r="N1083" s="344"/>
      <c r="O1083" s="344"/>
      <c r="P1083" s="344"/>
      <c r="Q1083" s="344"/>
      <c r="R1083" s="344"/>
      <c r="S1083" s="344"/>
      <c r="T1083" s="344"/>
      <c r="U1083" s="344"/>
      <c r="V1083" s="344"/>
      <c r="W1083" s="344"/>
      <c r="X1083" s="344"/>
      <c r="Y1083" s="344"/>
      <c r="Z1083" s="344"/>
    </row>
    <row r="1084">
      <c r="A1084" s="458">
        <v>58.0</v>
      </c>
      <c r="B1084" s="459" t="s">
        <v>803</v>
      </c>
      <c r="C1084" s="460">
        <v>2024.0</v>
      </c>
      <c r="D1084" s="473" t="s">
        <v>1117</v>
      </c>
      <c r="E1084" s="471" t="s">
        <v>1118</v>
      </c>
      <c r="F1084" s="466" t="s">
        <v>1074</v>
      </c>
      <c r="G1084" s="344"/>
      <c r="H1084" s="344"/>
      <c r="I1084" s="344"/>
      <c r="J1084" s="344"/>
      <c r="K1084" s="344"/>
      <c r="L1084" s="344"/>
      <c r="M1084" s="344"/>
      <c r="N1084" s="344"/>
      <c r="O1084" s="344"/>
      <c r="P1084" s="344"/>
      <c r="Q1084" s="344"/>
      <c r="R1084" s="344"/>
      <c r="S1084" s="344"/>
      <c r="T1084" s="344"/>
      <c r="U1084" s="344"/>
      <c r="V1084" s="344"/>
      <c r="W1084" s="344"/>
      <c r="X1084" s="344"/>
      <c r="Y1084" s="344"/>
      <c r="Z1084" s="344"/>
    </row>
    <row r="1085">
      <c r="A1085" s="129"/>
      <c r="B1085" s="9"/>
      <c r="C1085" s="11"/>
      <c r="D1085" s="473" t="s">
        <v>1616</v>
      </c>
      <c r="E1085" s="471" t="s">
        <v>1404</v>
      </c>
      <c r="F1085" s="466" t="s">
        <v>1074</v>
      </c>
      <c r="G1085" s="344"/>
      <c r="H1085" s="344"/>
      <c r="I1085" s="344"/>
      <c r="J1085" s="344"/>
      <c r="K1085" s="344"/>
      <c r="L1085" s="344"/>
      <c r="M1085" s="344"/>
      <c r="N1085" s="344"/>
      <c r="O1085" s="344"/>
      <c r="P1085" s="344"/>
      <c r="Q1085" s="344"/>
      <c r="R1085" s="344"/>
      <c r="S1085" s="344"/>
      <c r="T1085" s="344"/>
      <c r="U1085" s="344"/>
      <c r="V1085" s="344"/>
      <c r="W1085" s="344"/>
      <c r="X1085" s="344"/>
      <c r="Y1085" s="344"/>
      <c r="Z1085" s="344"/>
    </row>
    <row r="1086">
      <c r="A1086" s="129"/>
      <c r="B1086" s="9"/>
      <c r="C1086" s="460">
        <v>2023.0</v>
      </c>
      <c r="D1086" s="473" t="s">
        <v>1526</v>
      </c>
      <c r="E1086" s="471" t="s">
        <v>1525</v>
      </c>
      <c r="F1086" s="466" t="s">
        <v>1074</v>
      </c>
      <c r="G1086" s="344"/>
      <c r="H1086" s="344"/>
      <c r="I1086" s="344"/>
      <c r="J1086" s="344"/>
      <c r="K1086" s="344"/>
      <c r="L1086" s="344"/>
      <c r="M1086" s="344"/>
      <c r="N1086" s="344"/>
      <c r="O1086" s="344"/>
      <c r="P1086" s="344"/>
      <c r="Q1086" s="344"/>
      <c r="R1086" s="344"/>
      <c r="S1086" s="344"/>
      <c r="T1086" s="344"/>
      <c r="U1086" s="344"/>
      <c r="V1086" s="344"/>
      <c r="W1086" s="344"/>
      <c r="X1086" s="344"/>
      <c r="Y1086" s="344"/>
      <c r="Z1086" s="344"/>
    </row>
    <row r="1087">
      <c r="A1087" s="129"/>
      <c r="B1087" s="9"/>
      <c r="C1087" s="9"/>
      <c r="D1087" s="473" t="s">
        <v>1617</v>
      </c>
      <c r="E1087" s="471" t="s">
        <v>1618</v>
      </c>
      <c r="F1087" s="466" t="s">
        <v>1074</v>
      </c>
      <c r="G1087" s="344"/>
      <c r="H1087" s="344"/>
      <c r="I1087" s="344"/>
      <c r="J1087" s="344"/>
      <c r="K1087" s="344"/>
      <c r="L1087" s="344"/>
      <c r="M1087" s="344"/>
      <c r="N1087" s="344"/>
      <c r="O1087" s="344"/>
      <c r="P1087" s="344"/>
      <c r="Q1087" s="344"/>
      <c r="R1087" s="344"/>
      <c r="S1087" s="344"/>
      <c r="T1087" s="344"/>
      <c r="U1087" s="344"/>
      <c r="V1087" s="344"/>
      <c r="W1087" s="344"/>
      <c r="X1087" s="344"/>
      <c r="Y1087" s="344"/>
      <c r="Z1087" s="344"/>
    </row>
    <row r="1088">
      <c r="A1088" s="129"/>
      <c r="B1088" s="9"/>
      <c r="C1088" s="9"/>
      <c r="D1088" s="473" t="s">
        <v>1619</v>
      </c>
      <c r="E1088" s="471" t="s">
        <v>1620</v>
      </c>
      <c r="F1088" s="466" t="s">
        <v>1074</v>
      </c>
      <c r="G1088" s="344"/>
      <c r="H1088" s="344"/>
      <c r="I1088" s="344"/>
      <c r="J1088" s="344"/>
      <c r="K1088" s="344"/>
      <c r="L1088" s="344"/>
      <c r="M1088" s="344"/>
      <c r="N1088" s="344"/>
      <c r="O1088" s="344"/>
      <c r="P1088" s="344"/>
      <c r="Q1088" s="344"/>
      <c r="R1088" s="344"/>
      <c r="S1088" s="344"/>
      <c r="T1088" s="344"/>
      <c r="U1088" s="344"/>
      <c r="V1088" s="344"/>
      <c r="W1088" s="344"/>
      <c r="X1088" s="344"/>
      <c r="Y1088" s="344"/>
      <c r="Z1088" s="344"/>
    </row>
    <row r="1089">
      <c r="A1089" s="129"/>
      <c r="B1089" s="9"/>
      <c r="C1089" s="9"/>
      <c r="D1089" s="473" t="s">
        <v>1125</v>
      </c>
      <c r="E1089" s="471" t="s">
        <v>1621</v>
      </c>
      <c r="F1089" s="466" t="s">
        <v>1074</v>
      </c>
      <c r="G1089" s="344"/>
      <c r="H1089" s="344"/>
      <c r="I1089" s="344"/>
      <c r="J1089" s="344"/>
      <c r="K1089" s="344"/>
      <c r="L1089" s="344"/>
      <c r="M1089" s="344"/>
      <c r="N1089" s="344"/>
      <c r="O1089" s="344"/>
      <c r="P1089" s="344"/>
      <c r="Q1089" s="344"/>
      <c r="R1089" s="344"/>
      <c r="S1089" s="344"/>
      <c r="T1089" s="344"/>
      <c r="U1089" s="344"/>
      <c r="V1089" s="344"/>
      <c r="W1089" s="344"/>
      <c r="X1089" s="344"/>
      <c r="Y1089" s="344"/>
      <c r="Z1089" s="344"/>
    </row>
    <row r="1090">
      <c r="A1090" s="129"/>
      <c r="B1090" s="9"/>
      <c r="C1090" s="11"/>
      <c r="D1090" s="473" t="s">
        <v>1622</v>
      </c>
      <c r="E1090" s="471" t="s">
        <v>1623</v>
      </c>
      <c r="F1090" s="466" t="s">
        <v>1074</v>
      </c>
      <c r="G1090" s="344"/>
      <c r="H1090" s="344"/>
      <c r="I1090" s="344"/>
      <c r="J1090" s="344"/>
      <c r="K1090" s="344"/>
      <c r="L1090" s="344"/>
      <c r="M1090" s="344"/>
      <c r="N1090" s="344"/>
      <c r="O1090" s="344"/>
      <c r="P1090" s="344"/>
      <c r="Q1090" s="344"/>
      <c r="R1090" s="344"/>
      <c r="S1090" s="344"/>
      <c r="T1090" s="344"/>
      <c r="U1090" s="344"/>
      <c r="V1090" s="344"/>
      <c r="W1090" s="344"/>
      <c r="X1090" s="344"/>
      <c r="Y1090" s="344"/>
      <c r="Z1090" s="344"/>
    </row>
    <row r="1091">
      <c r="A1091" s="129"/>
      <c r="B1091" s="9"/>
      <c r="C1091" s="460">
        <v>2022.0</v>
      </c>
      <c r="D1091" s="473" t="s">
        <v>1624</v>
      </c>
      <c r="E1091" s="471" t="s">
        <v>1188</v>
      </c>
      <c r="F1091" s="466" t="s">
        <v>1074</v>
      </c>
      <c r="G1091" s="344"/>
      <c r="H1091" s="344"/>
      <c r="I1091" s="344"/>
      <c r="J1091" s="344"/>
      <c r="K1091" s="344"/>
      <c r="L1091" s="344"/>
      <c r="M1091" s="344"/>
      <c r="N1091" s="344"/>
      <c r="O1091" s="344"/>
      <c r="P1091" s="344"/>
      <c r="Q1091" s="344"/>
      <c r="R1091" s="344"/>
      <c r="S1091" s="344"/>
      <c r="T1091" s="344"/>
      <c r="U1091" s="344"/>
      <c r="V1091" s="344"/>
      <c r="W1091" s="344"/>
      <c r="X1091" s="344"/>
      <c r="Y1091" s="344"/>
      <c r="Z1091" s="344"/>
    </row>
    <row r="1092">
      <c r="A1092" s="56"/>
      <c r="B1092" s="11"/>
      <c r="C1092" s="11"/>
      <c r="D1092" s="473" t="s">
        <v>1625</v>
      </c>
      <c r="E1092" s="471" t="s">
        <v>1626</v>
      </c>
      <c r="F1092" s="466" t="s">
        <v>1074</v>
      </c>
      <c r="G1092" s="344"/>
      <c r="H1092" s="344"/>
      <c r="I1092" s="344"/>
      <c r="J1092" s="344"/>
      <c r="K1092" s="344"/>
      <c r="L1092" s="344"/>
      <c r="M1092" s="344"/>
      <c r="N1092" s="344"/>
      <c r="O1092" s="344"/>
      <c r="P1092" s="344"/>
      <c r="Q1092" s="344"/>
      <c r="R1092" s="344"/>
      <c r="S1092" s="344"/>
      <c r="T1092" s="344"/>
      <c r="U1092" s="344"/>
      <c r="V1092" s="344"/>
      <c r="W1092" s="344"/>
      <c r="X1092" s="344"/>
      <c r="Y1092" s="344"/>
      <c r="Z1092" s="344"/>
    </row>
    <row r="1093">
      <c r="A1093" s="458">
        <v>59.0</v>
      </c>
      <c r="B1093" s="459" t="s">
        <v>805</v>
      </c>
      <c r="C1093" s="465">
        <v>2024.0</v>
      </c>
      <c r="D1093" s="473" t="s">
        <v>1627</v>
      </c>
      <c r="E1093" s="471" t="s">
        <v>1628</v>
      </c>
      <c r="F1093" s="466" t="s">
        <v>1074</v>
      </c>
      <c r="G1093" s="344"/>
      <c r="H1093" s="344"/>
      <c r="I1093" s="344"/>
      <c r="J1093" s="344"/>
      <c r="K1093" s="344"/>
      <c r="L1093" s="344"/>
      <c r="M1093" s="344"/>
      <c r="N1093" s="344"/>
      <c r="O1093" s="344"/>
      <c r="P1093" s="344"/>
      <c r="Q1093" s="344"/>
      <c r="R1093" s="344"/>
      <c r="S1093" s="344"/>
      <c r="T1093" s="344"/>
      <c r="U1093" s="344"/>
      <c r="V1093" s="344"/>
      <c r="W1093" s="344"/>
      <c r="X1093" s="344"/>
      <c r="Y1093" s="344"/>
      <c r="Z1093" s="344"/>
    </row>
    <row r="1094">
      <c r="A1094" s="129"/>
      <c r="B1094" s="9"/>
      <c r="C1094" s="460">
        <v>2023.0</v>
      </c>
      <c r="D1094" s="473" t="s">
        <v>1154</v>
      </c>
      <c r="E1094" s="471" t="s">
        <v>1155</v>
      </c>
      <c r="F1094" s="466" t="s">
        <v>1074</v>
      </c>
      <c r="G1094" s="344"/>
      <c r="H1094" s="344"/>
      <c r="I1094" s="344"/>
      <c r="J1094" s="344"/>
      <c r="K1094" s="344"/>
      <c r="L1094" s="344"/>
      <c r="M1094" s="344"/>
      <c r="N1094" s="344"/>
      <c r="O1094" s="344"/>
      <c r="P1094" s="344"/>
      <c r="Q1094" s="344"/>
      <c r="R1094" s="344"/>
      <c r="S1094" s="344"/>
      <c r="T1094" s="344"/>
      <c r="U1094" s="344"/>
      <c r="V1094" s="344"/>
      <c r="W1094" s="344"/>
      <c r="X1094" s="344"/>
      <c r="Y1094" s="344"/>
      <c r="Z1094" s="344"/>
    </row>
    <row r="1095">
      <c r="A1095" s="129"/>
      <c r="B1095" s="9"/>
      <c r="C1095" s="11"/>
      <c r="D1095" s="473" t="s">
        <v>1164</v>
      </c>
      <c r="E1095" s="471" t="s">
        <v>1556</v>
      </c>
      <c r="F1095" s="466" t="s">
        <v>1074</v>
      </c>
      <c r="G1095" s="344"/>
      <c r="H1095" s="344"/>
      <c r="I1095" s="344"/>
      <c r="J1095" s="344"/>
      <c r="K1095" s="344"/>
      <c r="L1095" s="344"/>
      <c r="M1095" s="344"/>
      <c r="N1095" s="344"/>
      <c r="O1095" s="344"/>
      <c r="P1095" s="344"/>
      <c r="Q1095" s="344"/>
      <c r="R1095" s="344"/>
      <c r="S1095" s="344"/>
      <c r="T1095" s="344"/>
      <c r="U1095" s="344"/>
      <c r="V1095" s="344"/>
      <c r="W1095" s="344"/>
      <c r="X1095" s="344"/>
      <c r="Y1095" s="344"/>
      <c r="Z1095" s="344"/>
    </row>
    <row r="1096">
      <c r="A1096" s="129"/>
      <c r="B1096" s="9"/>
      <c r="C1096" s="460">
        <v>2022.0</v>
      </c>
      <c r="D1096" s="473" t="s">
        <v>1191</v>
      </c>
      <c r="E1096" s="471" t="s">
        <v>1192</v>
      </c>
      <c r="F1096" s="466" t="s">
        <v>1074</v>
      </c>
      <c r="G1096" s="344"/>
      <c r="H1096" s="344"/>
      <c r="I1096" s="344"/>
      <c r="J1096" s="344"/>
      <c r="K1096" s="344"/>
      <c r="L1096" s="344"/>
      <c r="M1096" s="344"/>
      <c r="N1096" s="344"/>
      <c r="O1096" s="344"/>
      <c r="P1096" s="344"/>
      <c r="Q1096" s="344"/>
      <c r="R1096" s="344"/>
      <c r="S1096" s="344"/>
      <c r="T1096" s="344"/>
      <c r="U1096" s="344"/>
      <c r="V1096" s="344"/>
      <c r="W1096" s="344"/>
      <c r="X1096" s="344"/>
      <c r="Y1096" s="344"/>
      <c r="Z1096" s="344"/>
    </row>
    <row r="1097">
      <c r="A1097" s="129"/>
      <c r="B1097" s="9"/>
      <c r="C1097" s="9"/>
      <c r="D1097" s="473" t="s">
        <v>1193</v>
      </c>
      <c r="E1097" s="471" t="s">
        <v>1194</v>
      </c>
      <c r="F1097" s="466" t="s">
        <v>1074</v>
      </c>
      <c r="G1097" s="344"/>
      <c r="H1097" s="344"/>
      <c r="I1097" s="344"/>
      <c r="J1097" s="344"/>
      <c r="K1097" s="344"/>
      <c r="L1097" s="344"/>
      <c r="M1097" s="344"/>
      <c r="N1097" s="344"/>
      <c r="O1097" s="344"/>
      <c r="P1097" s="344"/>
      <c r="Q1097" s="344"/>
      <c r="R1097" s="344"/>
      <c r="S1097" s="344"/>
      <c r="T1097" s="344"/>
      <c r="U1097" s="344"/>
      <c r="V1097" s="344"/>
      <c r="W1097" s="344"/>
      <c r="X1097" s="344"/>
      <c r="Y1097" s="344"/>
      <c r="Z1097" s="344"/>
    </row>
    <row r="1098">
      <c r="A1098" s="56"/>
      <c r="B1098" s="11"/>
      <c r="C1098" s="11"/>
      <c r="D1098" s="473" t="s">
        <v>1629</v>
      </c>
      <c r="E1098" s="471" t="s">
        <v>1630</v>
      </c>
      <c r="F1098" s="466" t="s">
        <v>1074</v>
      </c>
      <c r="G1098" s="344"/>
      <c r="H1098" s="344"/>
      <c r="I1098" s="344"/>
      <c r="J1098" s="344"/>
      <c r="K1098" s="344"/>
      <c r="L1098" s="344"/>
      <c r="M1098" s="344"/>
      <c r="N1098" s="344"/>
      <c r="O1098" s="344"/>
      <c r="P1098" s="344"/>
      <c r="Q1098" s="344"/>
      <c r="R1098" s="344"/>
      <c r="S1098" s="344"/>
      <c r="T1098" s="344"/>
      <c r="U1098" s="344"/>
      <c r="V1098" s="344"/>
      <c r="W1098" s="344"/>
      <c r="X1098" s="344"/>
      <c r="Y1098" s="344"/>
      <c r="Z1098" s="344"/>
    </row>
    <row r="1099">
      <c r="A1099" s="458">
        <v>60.0</v>
      </c>
      <c r="B1099" s="459" t="s">
        <v>806</v>
      </c>
      <c r="C1099" s="460">
        <v>2023.0</v>
      </c>
      <c r="D1099" s="473" t="s">
        <v>1238</v>
      </c>
      <c r="E1099" s="471" t="s">
        <v>1235</v>
      </c>
      <c r="F1099" s="466" t="s">
        <v>1074</v>
      </c>
      <c r="G1099" s="344"/>
      <c r="H1099" s="344"/>
      <c r="I1099" s="344"/>
      <c r="J1099" s="344"/>
      <c r="K1099" s="344"/>
      <c r="L1099" s="344"/>
      <c r="M1099" s="344"/>
      <c r="N1099" s="344"/>
      <c r="O1099" s="344"/>
      <c r="P1099" s="344"/>
      <c r="Q1099" s="344"/>
      <c r="R1099" s="344"/>
      <c r="S1099" s="344"/>
      <c r="T1099" s="344"/>
      <c r="U1099" s="344"/>
      <c r="V1099" s="344"/>
      <c r="W1099" s="344"/>
      <c r="X1099" s="344"/>
      <c r="Y1099" s="344"/>
      <c r="Z1099" s="344"/>
    </row>
    <row r="1100">
      <c r="A1100" s="129"/>
      <c r="B1100" s="9"/>
      <c r="C1100" s="9"/>
      <c r="D1100" s="473" t="s">
        <v>1631</v>
      </c>
      <c r="E1100" s="471" t="s">
        <v>1632</v>
      </c>
      <c r="F1100" s="466" t="s">
        <v>1074</v>
      </c>
      <c r="G1100" s="344"/>
      <c r="H1100" s="344"/>
      <c r="I1100" s="344"/>
      <c r="J1100" s="344"/>
      <c r="K1100" s="344"/>
      <c r="L1100" s="344"/>
      <c r="M1100" s="344"/>
      <c r="N1100" s="344"/>
      <c r="O1100" s="344"/>
      <c r="P1100" s="344"/>
      <c r="Q1100" s="344"/>
      <c r="R1100" s="344"/>
      <c r="S1100" s="344"/>
      <c r="T1100" s="344"/>
      <c r="U1100" s="344"/>
      <c r="V1100" s="344"/>
      <c r="W1100" s="344"/>
      <c r="X1100" s="344"/>
      <c r="Y1100" s="344"/>
      <c r="Z1100" s="344"/>
    </row>
    <row r="1101">
      <c r="A1101" s="129"/>
      <c r="B1101" s="9"/>
      <c r="C1101" s="9"/>
      <c r="D1101" s="473" t="s">
        <v>1350</v>
      </c>
      <c r="E1101" s="471" t="s">
        <v>1351</v>
      </c>
      <c r="F1101" s="466" t="s">
        <v>1074</v>
      </c>
      <c r="G1101" s="344"/>
      <c r="H1101" s="344"/>
      <c r="I1101" s="344"/>
      <c r="J1101" s="344"/>
      <c r="K1101" s="344"/>
      <c r="L1101" s="344"/>
      <c r="M1101" s="344"/>
      <c r="N1101" s="344"/>
      <c r="O1101" s="344"/>
      <c r="P1101" s="344"/>
      <c r="Q1101" s="344"/>
      <c r="R1101" s="344"/>
      <c r="S1101" s="344"/>
      <c r="T1101" s="344"/>
      <c r="U1101" s="344"/>
      <c r="V1101" s="344"/>
      <c r="W1101" s="344"/>
      <c r="X1101" s="344"/>
      <c r="Y1101" s="344"/>
      <c r="Z1101" s="344"/>
    </row>
    <row r="1102">
      <c r="A1102" s="129"/>
      <c r="B1102" s="9"/>
      <c r="C1102" s="9"/>
      <c r="D1102" s="473" t="s">
        <v>1411</v>
      </c>
      <c r="E1102" s="471" t="s">
        <v>1412</v>
      </c>
      <c r="F1102" s="466" t="s">
        <v>1074</v>
      </c>
      <c r="G1102" s="344"/>
      <c r="H1102" s="344"/>
      <c r="I1102" s="344"/>
      <c r="J1102" s="344"/>
      <c r="K1102" s="344"/>
      <c r="L1102" s="344"/>
      <c r="M1102" s="344"/>
      <c r="N1102" s="344"/>
      <c r="O1102" s="344"/>
      <c r="P1102" s="344"/>
      <c r="Q1102" s="344"/>
      <c r="R1102" s="344"/>
      <c r="S1102" s="344"/>
      <c r="T1102" s="344"/>
      <c r="U1102" s="344"/>
      <c r="V1102" s="344"/>
      <c r="W1102" s="344"/>
      <c r="X1102" s="344"/>
      <c r="Y1102" s="344"/>
      <c r="Z1102" s="344"/>
    </row>
    <row r="1103">
      <c r="A1103" s="129"/>
      <c r="B1103" s="9"/>
      <c r="C1103" s="11"/>
      <c r="D1103" s="473" t="s">
        <v>1088</v>
      </c>
      <c r="E1103" s="471" t="s">
        <v>1089</v>
      </c>
      <c r="F1103" s="466" t="s">
        <v>1074</v>
      </c>
      <c r="G1103" s="344"/>
      <c r="H1103" s="344"/>
      <c r="I1103" s="344"/>
      <c r="J1103" s="344"/>
      <c r="K1103" s="344"/>
      <c r="L1103" s="344"/>
      <c r="M1103" s="344"/>
      <c r="N1103" s="344"/>
      <c r="O1103" s="344"/>
      <c r="P1103" s="344"/>
      <c r="Q1103" s="344"/>
      <c r="R1103" s="344"/>
      <c r="S1103" s="344"/>
      <c r="T1103" s="344"/>
      <c r="U1103" s="344"/>
      <c r="V1103" s="344"/>
      <c r="W1103" s="344"/>
      <c r="X1103" s="344"/>
      <c r="Y1103" s="344"/>
      <c r="Z1103" s="344"/>
    </row>
    <row r="1104">
      <c r="A1104" s="129"/>
      <c r="B1104" s="9"/>
      <c r="C1104" s="460">
        <v>2022.0</v>
      </c>
      <c r="D1104" s="473" t="s">
        <v>1267</v>
      </c>
      <c r="E1104" s="471" t="s">
        <v>1268</v>
      </c>
      <c r="F1104" s="466" t="s">
        <v>1074</v>
      </c>
      <c r="G1104" s="344"/>
      <c r="H1104" s="344"/>
      <c r="I1104" s="344"/>
      <c r="J1104" s="344"/>
      <c r="K1104" s="344"/>
      <c r="L1104" s="344"/>
      <c r="M1104" s="344"/>
      <c r="N1104" s="344"/>
      <c r="O1104" s="344"/>
      <c r="P1104" s="344"/>
      <c r="Q1104" s="344"/>
      <c r="R1104" s="344"/>
      <c r="S1104" s="344"/>
      <c r="T1104" s="344"/>
      <c r="U1104" s="344"/>
      <c r="V1104" s="344"/>
      <c r="W1104" s="344"/>
      <c r="X1104" s="344"/>
      <c r="Y1104" s="344"/>
      <c r="Z1104" s="344"/>
    </row>
    <row r="1105">
      <c r="A1105" s="129"/>
      <c r="B1105" s="9"/>
      <c r="C1105" s="9"/>
      <c r="D1105" s="473" t="s">
        <v>1130</v>
      </c>
      <c r="E1105" s="471" t="s">
        <v>1131</v>
      </c>
      <c r="F1105" s="466" t="s">
        <v>1074</v>
      </c>
      <c r="G1105" s="344"/>
      <c r="H1105" s="344"/>
      <c r="I1105" s="344"/>
      <c r="J1105" s="344"/>
      <c r="K1105" s="344"/>
      <c r="L1105" s="344"/>
      <c r="M1105" s="344"/>
      <c r="N1105" s="344"/>
      <c r="O1105" s="344"/>
      <c r="P1105" s="344"/>
      <c r="Q1105" s="344"/>
      <c r="R1105" s="344"/>
      <c r="S1105" s="344"/>
      <c r="T1105" s="344"/>
      <c r="U1105" s="344"/>
      <c r="V1105" s="344"/>
      <c r="W1105" s="344"/>
      <c r="X1105" s="344"/>
      <c r="Y1105" s="344"/>
      <c r="Z1105" s="344"/>
    </row>
    <row r="1106">
      <c r="A1106" s="56"/>
      <c r="B1106" s="11"/>
      <c r="C1106" s="11"/>
      <c r="D1106" s="473" t="s">
        <v>1505</v>
      </c>
      <c r="E1106" s="471" t="s">
        <v>1506</v>
      </c>
      <c r="F1106" s="466" t="s">
        <v>1074</v>
      </c>
      <c r="G1106" s="344"/>
      <c r="H1106" s="344"/>
      <c r="I1106" s="344"/>
      <c r="J1106" s="344"/>
      <c r="K1106" s="344"/>
      <c r="L1106" s="344"/>
      <c r="M1106" s="344"/>
      <c r="N1106" s="344"/>
      <c r="O1106" s="344"/>
      <c r="P1106" s="344"/>
      <c r="Q1106" s="344"/>
      <c r="R1106" s="344"/>
      <c r="S1106" s="344"/>
      <c r="T1106" s="344"/>
      <c r="U1106" s="344"/>
      <c r="V1106" s="344"/>
      <c r="W1106" s="344"/>
      <c r="X1106" s="344"/>
      <c r="Y1106" s="344"/>
      <c r="Z1106" s="344"/>
    </row>
    <row r="1107">
      <c r="A1107" s="464">
        <v>61.0</v>
      </c>
      <c r="B1107" s="471" t="s">
        <v>600</v>
      </c>
      <c r="C1107" s="465" t="s">
        <v>290</v>
      </c>
      <c r="D1107" s="461"/>
      <c r="E1107" s="461"/>
      <c r="F1107" s="465"/>
      <c r="G1107" s="344"/>
      <c r="H1107" s="344"/>
      <c r="I1107" s="344"/>
      <c r="J1107" s="344"/>
      <c r="K1107" s="344"/>
      <c r="L1107" s="344"/>
      <c r="M1107" s="344"/>
      <c r="N1107" s="344"/>
      <c r="O1107" s="344"/>
      <c r="P1107" s="344"/>
      <c r="Q1107" s="344"/>
      <c r="R1107" s="344"/>
      <c r="S1107" s="344"/>
      <c r="T1107" s="344"/>
      <c r="U1107" s="344"/>
      <c r="V1107" s="344"/>
      <c r="W1107" s="344"/>
      <c r="X1107" s="344"/>
      <c r="Y1107" s="344"/>
      <c r="Z1107" s="344"/>
    </row>
    <row r="1108">
      <c r="A1108" s="458">
        <v>62.0</v>
      </c>
      <c r="B1108" s="459" t="s">
        <v>712</v>
      </c>
      <c r="C1108" s="460">
        <v>2024.0</v>
      </c>
      <c r="D1108" s="473" t="s">
        <v>1544</v>
      </c>
      <c r="E1108" s="471" t="s">
        <v>1545</v>
      </c>
      <c r="F1108" s="466" t="s">
        <v>1074</v>
      </c>
      <c r="G1108" s="344"/>
      <c r="H1108" s="344"/>
      <c r="I1108" s="344"/>
      <c r="J1108" s="344"/>
      <c r="K1108" s="344"/>
      <c r="L1108" s="344"/>
      <c r="M1108" s="344"/>
      <c r="N1108" s="344"/>
      <c r="O1108" s="344"/>
      <c r="P1108" s="344"/>
      <c r="Q1108" s="344"/>
      <c r="R1108" s="344"/>
      <c r="S1108" s="344"/>
      <c r="T1108" s="344"/>
      <c r="U1108" s="344"/>
      <c r="V1108" s="344"/>
      <c r="W1108" s="344"/>
      <c r="X1108" s="344"/>
      <c r="Y1108" s="344"/>
      <c r="Z1108" s="344"/>
    </row>
    <row r="1109">
      <c r="A1109" s="129"/>
      <c r="B1109" s="9"/>
      <c r="C1109" s="9"/>
      <c r="D1109" s="473" t="s">
        <v>1546</v>
      </c>
      <c r="E1109" s="471" t="s">
        <v>1547</v>
      </c>
      <c r="F1109" s="466" t="s">
        <v>1074</v>
      </c>
      <c r="G1109" s="344"/>
      <c r="H1109" s="344"/>
      <c r="I1109" s="344"/>
      <c r="J1109" s="344"/>
      <c r="K1109" s="344"/>
      <c r="L1109" s="344"/>
      <c r="M1109" s="344"/>
      <c r="N1109" s="344"/>
      <c r="O1109" s="344"/>
      <c r="P1109" s="344"/>
      <c r="Q1109" s="344"/>
      <c r="R1109" s="344"/>
      <c r="S1109" s="344"/>
      <c r="T1109" s="344"/>
      <c r="U1109" s="344"/>
      <c r="V1109" s="344"/>
      <c r="W1109" s="344"/>
      <c r="X1109" s="344"/>
      <c r="Y1109" s="344"/>
      <c r="Z1109" s="344"/>
    </row>
    <row r="1110">
      <c r="A1110" s="129"/>
      <c r="B1110" s="9"/>
      <c r="C1110" s="11"/>
      <c r="D1110" s="473" t="s">
        <v>1548</v>
      </c>
      <c r="E1110" s="471" t="s">
        <v>1522</v>
      </c>
      <c r="F1110" s="466" t="s">
        <v>1074</v>
      </c>
      <c r="G1110" s="344"/>
      <c r="H1110" s="344"/>
      <c r="I1110" s="344"/>
      <c r="J1110" s="344"/>
      <c r="K1110" s="344"/>
      <c r="L1110" s="344"/>
      <c r="M1110" s="344"/>
      <c r="N1110" s="344"/>
      <c r="O1110" s="344"/>
      <c r="P1110" s="344"/>
      <c r="Q1110" s="344"/>
      <c r="R1110" s="344"/>
      <c r="S1110" s="344"/>
      <c r="T1110" s="344"/>
      <c r="U1110" s="344"/>
      <c r="V1110" s="344"/>
      <c r="W1110" s="344"/>
      <c r="X1110" s="344"/>
      <c r="Y1110" s="344"/>
      <c r="Z1110" s="344"/>
    </row>
    <row r="1111">
      <c r="A1111" s="129"/>
      <c r="B1111" s="9"/>
      <c r="C1111" s="476"/>
      <c r="D1111" s="473" t="s">
        <v>1633</v>
      </c>
      <c r="E1111" s="471" t="s">
        <v>1634</v>
      </c>
      <c r="F1111" s="466" t="s">
        <v>1074</v>
      </c>
      <c r="G1111" s="344"/>
      <c r="H1111" s="344"/>
      <c r="I1111" s="344"/>
      <c r="J1111" s="344"/>
      <c r="K1111" s="344"/>
      <c r="L1111" s="344"/>
      <c r="M1111" s="344"/>
      <c r="N1111" s="344"/>
      <c r="O1111" s="344"/>
      <c r="P1111" s="344"/>
      <c r="Q1111" s="344"/>
      <c r="R1111" s="344"/>
      <c r="S1111" s="344"/>
      <c r="T1111" s="344"/>
      <c r="U1111" s="344"/>
      <c r="V1111" s="344"/>
      <c r="W1111" s="344"/>
      <c r="X1111" s="344"/>
      <c r="Y1111" s="344"/>
      <c r="Z1111" s="344"/>
    </row>
    <row r="1112">
      <c r="A1112" s="129"/>
      <c r="B1112" s="9"/>
      <c r="C1112" s="9"/>
      <c r="D1112" s="473" t="s">
        <v>1432</v>
      </c>
      <c r="E1112" s="471" t="s">
        <v>1433</v>
      </c>
      <c r="F1112" s="466" t="s">
        <v>1074</v>
      </c>
      <c r="G1112" s="344"/>
      <c r="H1112" s="344"/>
      <c r="I1112" s="344"/>
      <c r="J1112" s="344"/>
      <c r="K1112" s="344"/>
      <c r="L1112" s="344"/>
      <c r="M1112" s="344"/>
      <c r="N1112" s="344"/>
      <c r="O1112" s="344"/>
      <c r="P1112" s="344"/>
      <c r="Q1112" s="344"/>
      <c r="R1112" s="344"/>
      <c r="S1112" s="344"/>
      <c r="T1112" s="344"/>
      <c r="U1112" s="344"/>
      <c r="V1112" s="344"/>
      <c r="W1112" s="344"/>
      <c r="X1112" s="344"/>
      <c r="Y1112" s="344"/>
      <c r="Z1112" s="344"/>
    </row>
    <row r="1113">
      <c r="A1113" s="129"/>
      <c r="B1113" s="9"/>
      <c r="C1113" s="9"/>
      <c r="D1113" s="473" t="s">
        <v>1421</v>
      </c>
      <c r="E1113" s="471" t="s">
        <v>1141</v>
      </c>
      <c r="F1113" s="466" t="s">
        <v>1074</v>
      </c>
      <c r="G1113" s="344"/>
      <c r="H1113" s="344"/>
      <c r="I1113" s="344"/>
      <c r="J1113" s="344"/>
      <c r="K1113" s="344"/>
      <c r="L1113" s="344"/>
      <c r="M1113" s="344"/>
      <c r="N1113" s="344"/>
      <c r="O1113" s="344"/>
      <c r="P1113" s="344"/>
      <c r="Q1113" s="344"/>
      <c r="R1113" s="344"/>
      <c r="S1113" s="344"/>
      <c r="T1113" s="344"/>
      <c r="U1113" s="344"/>
      <c r="V1113" s="344"/>
      <c r="W1113" s="344"/>
      <c r="X1113" s="344"/>
      <c r="Y1113" s="344"/>
      <c r="Z1113" s="344"/>
    </row>
    <row r="1114">
      <c r="A1114" s="129"/>
      <c r="B1114" s="9"/>
      <c r="C1114" s="11"/>
      <c r="D1114" s="473" t="s">
        <v>1635</v>
      </c>
      <c r="E1114" s="471" t="s">
        <v>1636</v>
      </c>
      <c r="F1114" s="466" t="s">
        <v>1074</v>
      </c>
      <c r="G1114" s="344"/>
      <c r="H1114" s="344"/>
      <c r="I1114" s="344"/>
      <c r="J1114" s="344"/>
      <c r="K1114" s="344"/>
      <c r="L1114" s="344"/>
      <c r="M1114" s="344"/>
      <c r="N1114" s="344"/>
      <c r="O1114" s="344"/>
      <c r="P1114" s="344"/>
      <c r="Q1114" s="344"/>
      <c r="R1114" s="344"/>
      <c r="S1114" s="344"/>
      <c r="T1114" s="344"/>
      <c r="U1114" s="344"/>
      <c r="V1114" s="344"/>
      <c r="W1114" s="344"/>
      <c r="X1114" s="344"/>
      <c r="Y1114" s="344"/>
      <c r="Z1114" s="344"/>
    </row>
    <row r="1115">
      <c r="A1115" s="56"/>
      <c r="B1115" s="11"/>
      <c r="C1115" s="465">
        <v>2022.0</v>
      </c>
      <c r="D1115" s="473" t="s">
        <v>1637</v>
      </c>
      <c r="E1115" s="471" t="s">
        <v>1638</v>
      </c>
      <c r="F1115" s="466" t="s">
        <v>1074</v>
      </c>
      <c r="G1115" s="344"/>
      <c r="H1115" s="344"/>
      <c r="I1115" s="344"/>
      <c r="J1115" s="344"/>
      <c r="K1115" s="344"/>
      <c r="L1115" s="344"/>
      <c r="M1115" s="344"/>
      <c r="N1115" s="344"/>
      <c r="O1115" s="344"/>
      <c r="P1115" s="344"/>
      <c r="Q1115" s="344"/>
      <c r="R1115" s="344"/>
      <c r="S1115" s="344"/>
      <c r="T1115" s="344"/>
      <c r="U1115" s="344"/>
      <c r="V1115" s="344"/>
      <c r="W1115" s="344"/>
      <c r="X1115" s="344"/>
      <c r="Y1115" s="344"/>
      <c r="Z1115" s="344"/>
    </row>
    <row r="1116">
      <c r="A1116" s="458">
        <v>63.0</v>
      </c>
      <c r="B1116" s="459" t="s">
        <v>807</v>
      </c>
      <c r="C1116" s="460">
        <v>2024.0</v>
      </c>
      <c r="D1116" s="473" t="s">
        <v>1639</v>
      </c>
      <c r="E1116" s="471" t="s">
        <v>1640</v>
      </c>
      <c r="F1116" s="466" t="s">
        <v>1074</v>
      </c>
      <c r="G1116" s="344"/>
      <c r="H1116" s="344"/>
      <c r="I1116" s="344"/>
      <c r="J1116" s="344"/>
      <c r="K1116" s="344"/>
      <c r="L1116" s="344"/>
      <c r="M1116" s="344"/>
      <c r="N1116" s="344"/>
      <c r="O1116" s="344"/>
      <c r="P1116" s="344"/>
      <c r="Q1116" s="344"/>
      <c r="R1116" s="344"/>
      <c r="S1116" s="344"/>
      <c r="T1116" s="344"/>
      <c r="U1116" s="344"/>
      <c r="V1116" s="344"/>
      <c r="W1116" s="344"/>
      <c r="X1116" s="344"/>
      <c r="Y1116" s="344"/>
      <c r="Z1116" s="344"/>
    </row>
    <row r="1117">
      <c r="A1117" s="129"/>
      <c r="B1117" s="9"/>
      <c r="C1117" s="476"/>
      <c r="D1117" s="473" t="s">
        <v>1513</v>
      </c>
      <c r="E1117" s="471" t="s">
        <v>1514</v>
      </c>
      <c r="F1117" s="466" t="s">
        <v>1074</v>
      </c>
      <c r="G1117" s="344"/>
      <c r="H1117" s="344"/>
      <c r="I1117" s="344"/>
      <c r="J1117" s="344"/>
      <c r="K1117" s="344"/>
      <c r="L1117" s="344"/>
      <c r="M1117" s="344"/>
      <c r="N1117" s="344"/>
      <c r="O1117" s="344"/>
      <c r="P1117" s="344"/>
      <c r="Q1117" s="344"/>
      <c r="R1117" s="344"/>
      <c r="S1117" s="344"/>
      <c r="T1117" s="344"/>
      <c r="U1117" s="344"/>
      <c r="V1117" s="344"/>
      <c r="W1117" s="344"/>
      <c r="X1117" s="344"/>
      <c r="Y1117" s="344"/>
      <c r="Z1117" s="344"/>
    </row>
    <row r="1118">
      <c r="A1118" s="129"/>
      <c r="B1118" s="9"/>
      <c r="C1118" s="461"/>
      <c r="D1118" s="473" t="s">
        <v>1641</v>
      </c>
      <c r="E1118" s="471" t="s">
        <v>1642</v>
      </c>
      <c r="F1118" s="466" t="s">
        <v>1074</v>
      </c>
      <c r="G1118" s="344"/>
      <c r="H1118" s="344"/>
      <c r="I1118" s="344"/>
      <c r="J1118" s="344"/>
      <c r="K1118" s="344"/>
      <c r="L1118" s="344"/>
      <c r="M1118" s="344"/>
      <c r="N1118" s="344"/>
      <c r="O1118" s="344"/>
      <c r="P1118" s="344"/>
      <c r="Q1118" s="344"/>
      <c r="R1118" s="344"/>
      <c r="S1118" s="344"/>
      <c r="T1118" s="344"/>
      <c r="U1118" s="344"/>
      <c r="V1118" s="344"/>
      <c r="W1118" s="344"/>
      <c r="X1118" s="344"/>
      <c r="Y1118" s="344"/>
      <c r="Z1118" s="344"/>
    </row>
    <row r="1119">
      <c r="A1119" s="129"/>
      <c r="B1119" s="9"/>
      <c r="C1119" s="460">
        <v>2023.0</v>
      </c>
      <c r="D1119" s="473" t="s">
        <v>1643</v>
      </c>
      <c r="E1119" s="471" t="s">
        <v>1644</v>
      </c>
      <c r="F1119" s="466" t="s">
        <v>1074</v>
      </c>
      <c r="G1119" s="344"/>
      <c r="H1119" s="344"/>
      <c r="I1119" s="344"/>
      <c r="J1119" s="344"/>
      <c r="K1119" s="344"/>
      <c r="L1119" s="344"/>
      <c r="M1119" s="344"/>
      <c r="N1119" s="344"/>
      <c r="O1119" s="344"/>
      <c r="P1119" s="344"/>
      <c r="Q1119" s="344"/>
      <c r="R1119" s="344"/>
      <c r="S1119" s="344"/>
      <c r="T1119" s="344"/>
      <c r="U1119" s="344"/>
      <c r="V1119" s="344"/>
      <c r="W1119" s="344"/>
      <c r="X1119" s="344"/>
      <c r="Y1119" s="344"/>
      <c r="Z1119" s="344"/>
    </row>
    <row r="1120">
      <c r="A1120" s="129"/>
      <c r="B1120" s="9"/>
      <c r="C1120" s="9"/>
      <c r="D1120" s="473" t="s">
        <v>1645</v>
      </c>
      <c r="E1120" s="471" t="s">
        <v>1646</v>
      </c>
      <c r="F1120" s="466" t="s">
        <v>1074</v>
      </c>
      <c r="G1120" s="344"/>
      <c r="H1120" s="344"/>
      <c r="I1120" s="344"/>
      <c r="J1120" s="344"/>
      <c r="K1120" s="344"/>
      <c r="L1120" s="344"/>
      <c r="M1120" s="344"/>
      <c r="N1120" s="344"/>
      <c r="O1120" s="344"/>
      <c r="P1120" s="344"/>
      <c r="Q1120" s="344"/>
      <c r="R1120" s="344"/>
      <c r="S1120" s="344"/>
      <c r="T1120" s="344"/>
      <c r="U1120" s="344"/>
      <c r="V1120" s="344"/>
      <c r="W1120" s="344"/>
      <c r="X1120" s="344"/>
      <c r="Y1120" s="344"/>
      <c r="Z1120" s="344"/>
    </row>
    <row r="1121">
      <c r="A1121" s="129"/>
      <c r="B1121" s="9"/>
      <c r="C1121" s="9"/>
      <c r="D1121" s="473" t="s">
        <v>1647</v>
      </c>
      <c r="E1121" s="471" t="s">
        <v>1648</v>
      </c>
      <c r="F1121" s="466" t="s">
        <v>1074</v>
      </c>
      <c r="G1121" s="344"/>
      <c r="H1121" s="344"/>
      <c r="I1121" s="344"/>
      <c r="J1121" s="344"/>
      <c r="K1121" s="344"/>
      <c r="L1121" s="344"/>
      <c r="M1121" s="344"/>
      <c r="N1121" s="344"/>
      <c r="O1121" s="344"/>
      <c r="P1121" s="344"/>
      <c r="Q1121" s="344"/>
      <c r="R1121" s="344"/>
      <c r="S1121" s="344"/>
      <c r="T1121" s="344"/>
      <c r="U1121" s="344"/>
      <c r="V1121" s="344"/>
      <c r="W1121" s="344"/>
      <c r="X1121" s="344"/>
      <c r="Y1121" s="344"/>
      <c r="Z1121" s="344"/>
    </row>
    <row r="1122">
      <c r="A1122" s="129"/>
      <c r="B1122" s="9"/>
      <c r="C1122" s="9"/>
      <c r="D1122" s="473" t="s">
        <v>1484</v>
      </c>
      <c r="E1122" s="471" t="s">
        <v>1485</v>
      </c>
      <c r="F1122" s="466" t="s">
        <v>1074</v>
      </c>
      <c r="G1122" s="344"/>
      <c r="H1122" s="344"/>
      <c r="I1122" s="344"/>
      <c r="J1122" s="344"/>
      <c r="K1122" s="344"/>
      <c r="L1122" s="344"/>
      <c r="M1122" s="344"/>
      <c r="N1122" s="344"/>
      <c r="O1122" s="344"/>
      <c r="P1122" s="344"/>
      <c r="Q1122" s="344"/>
      <c r="R1122" s="344"/>
      <c r="S1122" s="344"/>
      <c r="T1122" s="344"/>
      <c r="U1122" s="344"/>
      <c r="V1122" s="344"/>
      <c r="W1122" s="344"/>
      <c r="X1122" s="344"/>
      <c r="Y1122" s="344"/>
      <c r="Z1122" s="344"/>
    </row>
    <row r="1123">
      <c r="A1123" s="129"/>
      <c r="B1123" s="9"/>
      <c r="C1123" s="11"/>
      <c r="D1123" s="473" t="s">
        <v>1649</v>
      </c>
      <c r="E1123" s="471" t="s">
        <v>1650</v>
      </c>
      <c r="F1123" s="466" t="s">
        <v>1074</v>
      </c>
      <c r="G1123" s="344"/>
      <c r="H1123" s="344"/>
      <c r="I1123" s="344"/>
      <c r="J1123" s="344"/>
      <c r="K1123" s="344"/>
      <c r="L1123" s="344"/>
      <c r="M1123" s="344"/>
      <c r="N1123" s="344"/>
      <c r="O1123" s="344"/>
      <c r="P1123" s="344"/>
      <c r="Q1123" s="344"/>
      <c r="R1123" s="344"/>
      <c r="S1123" s="344"/>
      <c r="T1123" s="344"/>
      <c r="U1123" s="344"/>
      <c r="V1123" s="344"/>
      <c r="W1123" s="344"/>
      <c r="X1123" s="344"/>
      <c r="Y1123" s="344"/>
      <c r="Z1123" s="344"/>
    </row>
    <row r="1124">
      <c r="A1124" s="129"/>
      <c r="B1124" s="9"/>
      <c r="C1124" s="460">
        <v>2022.0</v>
      </c>
      <c r="D1124" s="473" t="s">
        <v>1499</v>
      </c>
      <c r="E1124" s="471" t="s">
        <v>1651</v>
      </c>
      <c r="F1124" s="466" t="s">
        <v>1074</v>
      </c>
      <c r="G1124" s="344"/>
      <c r="H1124" s="344"/>
      <c r="I1124" s="344"/>
      <c r="J1124" s="344"/>
      <c r="K1124" s="344"/>
      <c r="L1124" s="344"/>
      <c r="M1124" s="344"/>
      <c r="N1124" s="344"/>
      <c r="O1124" s="344"/>
      <c r="P1124" s="344"/>
      <c r="Q1124" s="344"/>
      <c r="R1124" s="344"/>
      <c r="S1124" s="344"/>
      <c r="T1124" s="344"/>
      <c r="U1124" s="344"/>
      <c r="V1124" s="344"/>
      <c r="W1124" s="344"/>
      <c r="X1124" s="344"/>
      <c r="Y1124" s="344"/>
      <c r="Z1124" s="344"/>
    </row>
    <row r="1125">
      <c r="A1125" s="129"/>
      <c r="B1125" s="9"/>
      <c r="C1125" s="9"/>
      <c r="D1125" s="473" t="s">
        <v>1517</v>
      </c>
      <c r="E1125" s="471" t="s">
        <v>1188</v>
      </c>
      <c r="F1125" s="466" t="s">
        <v>1074</v>
      </c>
      <c r="G1125" s="344"/>
      <c r="H1125" s="344"/>
      <c r="I1125" s="344"/>
      <c r="J1125" s="344"/>
      <c r="K1125" s="344"/>
      <c r="L1125" s="344"/>
      <c r="M1125" s="344"/>
      <c r="N1125" s="344"/>
      <c r="O1125" s="344"/>
      <c r="P1125" s="344"/>
      <c r="Q1125" s="344"/>
      <c r="R1125" s="344"/>
      <c r="S1125" s="344"/>
      <c r="T1125" s="344"/>
      <c r="U1125" s="344"/>
      <c r="V1125" s="344"/>
      <c r="W1125" s="344"/>
      <c r="X1125" s="344"/>
      <c r="Y1125" s="344"/>
      <c r="Z1125" s="344"/>
    </row>
    <row r="1126">
      <c r="A1126" s="56"/>
      <c r="B1126" s="11"/>
      <c r="C1126" s="11"/>
      <c r="D1126" s="473" t="s">
        <v>1652</v>
      </c>
      <c r="E1126" s="471" t="s">
        <v>1653</v>
      </c>
      <c r="F1126" s="466" t="s">
        <v>1074</v>
      </c>
      <c r="G1126" s="344"/>
      <c r="H1126" s="344"/>
      <c r="I1126" s="344"/>
      <c r="J1126" s="344"/>
      <c r="K1126" s="344"/>
      <c r="L1126" s="344"/>
      <c r="M1126" s="344"/>
      <c r="N1126" s="344"/>
      <c r="O1126" s="344"/>
      <c r="P1126" s="344"/>
      <c r="Q1126" s="344"/>
      <c r="R1126" s="344"/>
      <c r="S1126" s="344"/>
      <c r="T1126" s="344"/>
      <c r="U1126" s="344"/>
      <c r="V1126" s="344"/>
      <c r="W1126" s="344"/>
      <c r="X1126" s="344"/>
      <c r="Y1126" s="344"/>
      <c r="Z1126" s="344"/>
    </row>
    <row r="1127">
      <c r="A1127" s="458">
        <v>64.0</v>
      </c>
      <c r="B1127" s="459" t="s">
        <v>809</v>
      </c>
      <c r="C1127" s="465">
        <v>2024.0</v>
      </c>
      <c r="D1127" s="473" t="s">
        <v>1117</v>
      </c>
      <c r="E1127" s="471" t="s">
        <v>1118</v>
      </c>
      <c r="F1127" s="466" t="s">
        <v>1074</v>
      </c>
      <c r="G1127" s="344"/>
      <c r="H1127" s="344"/>
      <c r="I1127" s="344"/>
      <c r="J1127" s="344"/>
      <c r="K1127" s="344"/>
      <c r="L1127" s="344"/>
      <c r="M1127" s="344"/>
      <c r="N1127" s="344"/>
      <c r="O1127" s="344"/>
      <c r="P1127" s="344"/>
      <c r="Q1127" s="344"/>
      <c r="R1127" s="344"/>
      <c r="S1127" s="344"/>
      <c r="T1127" s="344"/>
      <c r="U1127" s="344"/>
      <c r="V1127" s="344"/>
      <c r="W1127" s="344"/>
      <c r="X1127" s="344"/>
      <c r="Y1127" s="344"/>
      <c r="Z1127" s="344"/>
    </row>
    <row r="1128">
      <c r="A1128" s="129"/>
      <c r="B1128" s="9"/>
      <c r="C1128" s="460">
        <v>2023.0</v>
      </c>
      <c r="D1128" s="473" t="s">
        <v>1154</v>
      </c>
      <c r="E1128" s="471" t="s">
        <v>1155</v>
      </c>
      <c r="F1128" s="466" t="s">
        <v>1074</v>
      </c>
      <c r="G1128" s="344"/>
      <c r="H1128" s="344"/>
      <c r="I1128" s="344"/>
      <c r="J1128" s="344"/>
      <c r="K1128" s="344"/>
      <c r="L1128" s="344"/>
      <c r="M1128" s="344"/>
      <c r="N1128" s="344"/>
      <c r="O1128" s="344"/>
      <c r="P1128" s="344"/>
      <c r="Q1128" s="344"/>
      <c r="R1128" s="344"/>
      <c r="S1128" s="344"/>
      <c r="T1128" s="344"/>
      <c r="U1128" s="344"/>
      <c r="V1128" s="344"/>
      <c r="W1128" s="344"/>
      <c r="X1128" s="344"/>
      <c r="Y1128" s="344"/>
      <c r="Z1128" s="344"/>
    </row>
    <row r="1129">
      <c r="A1129" s="129"/>
      <c r="B1129" s="9"/>
      <c r="C1129" s="9"/>
      <c r="D1129" s="473" t="s">
        <v>1350</v>
      </c>
      <c r="E1129" s="471" t="s">
        <v>1351</v>
      </c>
      <c r="F1129" s="466" t="s">
        <v>1074</v>
      </c>
      <c r="G1129" s="344"/>
      <c r="H1129" s="344"/>
      <c r="I1129" s="344"/>
      <c r="J1129" s="344"/>
      <c r="K1129" s="344"/>
      <c r="L1129" s="344"/>
      <c r="M1129" s="344"/>
      <c r="N1129" s="344"/>
      <c r="O1129" s="344"/>
      <c r="P1129" s="344"/>
      <c r="Q1129" s="344"/>
      <c r="R1129" s="344"/>
      <c r="S1129" s="344"/>
      <c r="T1129" s="344"/>
      <c r="U1129" s="344"/>
      <c r="V1129" s="344"/>
      <c r="W1129" s="344"/>
      <c r="X1129" s="344"/>
      <c r="Y1129" s="344"/>
      <c r="Z1129" s="344"/>
    </row>
    <row r="1130">
      <c r="A1130" s="129"/>
      <c r="B1130" s="9"/>
      <c r="C1130" s="9"/>
      <c r="D1130" s="473" t="s">
        <v>1560</v>
      </c>
      <c r="E1130" s="471" t="s">
        <v>1561</v>
      </c>
      <c r="F1130" s="466" t="s">
        <v>1074</v>
      </c>
      <c r="G1130" s="344"/>
      <c r="H1130" s="344"/>
      <c r="I1130" s="344"/>
      <c r="J1130" s="344"/>
      <c r="K1130" s="344"/>
      <c r="L1130" s="344"/>
      <c r="M1130" s="344"/>
      <c r="N1130" s="344"/>
      <c r="O1130" s="344"/>
      <c r="P1130" s="344"/>
      <c r="Q1130" s="344"/>
      <c r="R1130" s="344"/>
      <c r="S1130" s="344"/>
      <c r="T1130" s="344"/>
      <c r="U1130" s="344"/>
      <c r="V1130" s="344"/>
      <c r="W1130" s="344"/>
      <c r="X1130" s="344"/>
      <c r="Y1130" s="344"/>
      <c r="Z1130" s="344"/>
    </row>
    <row r="1131">
      <c r="A1131" s="129"/>
      <c r="B1131" s="9"/>
      <c r="C1131" s="11"/>
      <c r="D1131" s="473" t="s">
        <v>1164</v>
      </c>
      <c r="E1131" s="471" t="s">
        <v>1556</v>
      </c>
      <c r="F1131" s="466" t="s">
        <v>1074</v>
      </c>
      <c r="G1131" s="344"/>
      <c r="H1131" s="344"/>
      <c r="I1131" s="344"/>
      <c r="J1131" s="344"/>
      <c r="K1131" s="344"/>
      <c r="L1131" s="344"/>
      <c r="M1131" s="344"/>
      <c r="N1131" s="344"/>
      <c r="O1131" s="344"/>
      <c r="P1131" s="344"/>
      <c r="Q1131" s="344"/>
      <c r="R1131" s="344"/>
      <c r="S1131" s="344"/>
      <c r="T1131" s="344"/>
      <c r="U1131" s="344"/>
      <c r="V1131" s="344"/>
      <c r="W1131" s="344"/>
      <c r="X1131" s="344"/>
      <c r="Y1131" s="344"/>
      <c r="Z1131" s="344"/>
    </row>
    <row r="1132">
      <c r="A1132" s="129"/>
      <c r="B1132" s="9"/>
      <c r="C1132" s="460">
        <v>2022.0</v>
      </c>
      <c r="D1132" s="473" t="s">
        <v>1654</v>
      </c>
      <c r="E1132" s="471" t="s">
        <v>1188</v>
      </c>
      <c r="F1132" s="466" t="s">
        <v>1074</v>
      </c>
      <c r="G1132" s="344"/>
      <c r="H1132" s="344"/>
      <c r="I1132" s="344"/>
      <c r="J1132" s="344"/>
      <c r="K1132" s="344"/>
      <c r="L1132" s="344"/>
      <c r="M1132" s="344"/>
      <c r="N1132" s="344"/>
      <c r="O1132" s="344"/>
      <c r="P1132" s="344"/>
      <c r="Q1132" s="344"/>
      <c r="R1132" s="344"/>
      <c r="S1132" s="344"/>
      <c r="T1132" s="344"/>
      <c r="U1132" s="344"/>
      <c r="V1132" s="344"/>
      <c r="W1132" s="344"/>
      <c r="X1132" s="344"/>
      <c r="Y1132" s="344"/>
      <c r="Z1132" s="344"/>
    </row>
    <row r="1133">
      <c r="A1133" s="129"/>
      <c r="B1133" s="9"/>
      <c r="C1133" s="9"/>
      <c r="D1133" s="473" t="s">
        <v>1655</v>
      </c>
      <c r="E1133" s="471" t="s">
        <v>1656</v>
      </c>
      <c r="F1133" s="466" t="s">
        <v>1074</v>
      </c>
      <c r="G1133" s="344"/>
      <c r="H1133" s="344"/>
      <c r="I1133" s="344"/>
      <c r="J1133" s="344"/>
      <c r="K1133" s="344"/>
      <c r="L1133" s="344"/>
      <c r="M1133" s="344"/>
      <c r="N1133" s="344"/>
      <c r="O1133" s="344"/>
      <c r="P1133" s="344"/>
      <c r="Q1133" s="344"/>
      <c r="R1133" s="344"/>
      <c r="S1133" s="344"/>
      <c r="T1133" s="344"/>
      <c r="U1133" s="344"/>
      <c r="V1133" s="344"/>
      <c r="W1133" s="344"/>
      <c r="X1133" s="344"/>
      <c r="Y1133" s="344"/>
      <c r="Z1133" s="344"/>
    </row>
    <row r="1134">
      <c r="A1134" s="56"/>
      <c r="B1134" s="11"/>
      <c r="C1134" s="11"/>
      <c r="D1134" s="473" t="s">
        <v>1657</v>
      </c>
      <c r="E1134" s="471" t="s">
        <v>1658</v>
      </c>
      <c r="F1134" s="466" t="s">
        <v>1074</v>
      </c>
      <c r="G1134" s="344"/>
      <c r="H1134" s="344"/>
      <c r="I1134" s="344"/>
      <c r="J1134" s="344"/>
      <c r="K1134" s="344"/>
      <c r="L1134" s="344"/>
      <c r="M1134" s="344"/>
      <c r="N1134" s="344"/>
      <c r="O1134" s="344"/>
      <c r="P1134" s="344"/>
      <c r="Q1134" s="344"/>
      <c r="R1134" s="344"/>
      <c r="S1134" s="344"/>
      <c r="T1134" s="344"/>
      <c r="U1134" s="344"/>
      <c r="V1134" s="344"/>
      <c r="W1134" s="344"/>
      <c r="X1134" s="344"/>
      <c r="Y1134" s="344"/>
      <c r="Z1134" s="344"/>
    </row>
    <row r="1135">
      <c r="A1135" s="458">
        <v>65.0</v>
      </c>
      <c r="B1135" s="459" t="s">
        <v>811</v>
      </c>
      <c r="C1135" s="465">
        <v>2024.0</v>
      </c>
      <c r="D1135" s="473" t="s">
        <v>1659</v>
      </c>
      <c r="E1135" s="471" t="s">
        <v>1660</v>
      </c>
      <c r="F1135" s="466" t="s">
        <v>1074</v>
      </c>
      <c r="G1135" s="344"/>
      <c r="H1135" s="344"/>
      <c r="I1135" s="344"/>
      <c r="J1135" s="344"/>
      <c r="K1135" s="344"/>
      <c r="L1135" s="344"/>
      <c r="M1135" s="344"/>
      <c r="N1135" s="344"/>
      <c r="O1135" s="344"/>
      <c r="P1135" s="344"/>
      <c r="Q1135" s="344"/>
      <c r="R1135" s="344"/>
      <c r="S1135" s="344"/>
      <c r="T1135" s="344"/>
      <c r="U1135" s="344"/>
      <c r="V1135" s="344"/>
      <c r="W1135" s="344"/>
      <c r="X1135" s="344"/>
      <c r="Y1135" s="344"/>
      <c r="Z1135" s="344"/>
    </row>
    <row r="1136">
      <c r="A1136" s="129"/>
      <c r="B1136" s="9"/>
      <c r="C1136" s="460">
        <v>2023.0</v>
      </c>
      <c r="D1136" s="473" t="s">
        <v>1661</v>
      </c>
      <c r="E1136" s="471" t="s">
        <v>1662</v>
      </c>
      <c r="F1136" s="466" t="s">
        <v>1074</v>
      </c>
      <c r="G1136" s="344"/>
      <c r="H1136" s="344"/>
      <c r="I1136" s="344"/>
      <c r="J1136" s="344"/>
      <c r="K1136" s="344"/>
      <c r="L1136" s="344"/>
      <c r="M1136" s="344"/>
      <c r="N1136" s="344"/>
      <c r="O1136" s="344"/>
      <c r="P1136" s="344"/>
      <c r="Q1136" s="344"/>
      <c r="R1136" s="344"/>
      <c r="S1136" s="344"/>
      <c r="T1136" s="344"/>
      <c r="U1136" s="344"/>
      <c r="V1136" s="344"/>
      <c r="W1136" s="344"/>
      <c r="X1136" s="344"/>
      <c r="Y1136" s="344"/>
      <c r="Z1136" s="344"/>
    </row>
    <row r="1137">
      <c r="A1137" s="129"/>
      <c r="B1137" s="9"/>
      <c r="C1137" s="11"/>
      <c r="D1137" s="473" t="s">
        <v>1524</v>
      </c>
      <c r="E1137" s="471" t="s">
        <v>1528</v>
      </c>
      <c r="F1137" s="466" t="s">
        <v>1074</v>
      </c>
      <c r="G1137" s="344"/>
      <c r="H1137" s="344"/>
      <c r="I1137" s="344"/>
      <c r="J1137" s="344"/>
      <c r="K1137" s="344"/>
      <c r="L1137" s="344"/>
      <c r="M1137" s="344"/>
      <c r="N1137" s="344"/>
      <c r="O1137" s="344"/>
      <c r="P1137" s="344"/>
      <c r="Q1137" s="344"/>
      <c r="R1137" s="344"/>
      <c r="S1137" s="344"/>
      <c r="T1137" s="344"/>
      <c r="U1137" s="344"/>
      <c r="V1137" s="344"/>
      <c r="W1137" s="344"/>
      <c r="X1137" s="344"/>
      <c r="Y1137" s="344"/>
      <c r="Z1137" s="344"/>
    </row>
    <row r="1138">
      <c r="A1138" s="56"/>
      <c r="B1138" s="11"/>
      <c r="C1138" s="465">
        <v>2022.0</v>
      </c>
      <c r="D1138" s="473" t="s">
        <v>1663</v>
      </c>
      <c r="E1138" s="471" t="s">
        <v>1664</v>
      </c>
      <c r="F1138" s="466" t="s">
        <v>1074</v>
      </c>
      <c r="G1138" s="344"/>
      <c r="H1138" s="344"/>
      <c r="I1138" s="344"/>
      <c r="J1138" s="344"/>
      <c r="K1138" s="344"/>
      <c r="L1138" s="344"/>
      <c r="M1138" s="344"/>
      <c r="N1138" s="344"/>
      <c r="O1138" s="344"/>
      <c r="P1138" s="344"/>
      <c r="Q1138" s="344"/>
      <c r="R1138" s="344"/>
      <c r="S1138" s="344"/>
      <c r="T1138" s="344"/>
      <c r="U1138" s="344"/>
      <c r="V1138" s="344"/>
      <c r="W1138" s="344"/>
      <c r="X1138" s="344"/>
      <c r="Y1138" s="344"/>
      <c r="Z1138" s="344"/>
    </row>
    <row r="1139">
      <c r="A1139" s="458">
        <v>66.0</v>
      </c>
      <c r="B1139" s="459" t="s">
        <v>813</v>
      </c>
      <c r="C1139" s="460">
        <v>2024.0</v>
      </c>
      <c r="D1139" s="473" t="s">
        <v>1480</v>
      </c>
      <c r="E1139" s="471" t="s">
        <v>1481</v>
      </c>
      <c r="F1139" s="466" t="s">
        <v>1074</v>
      </c>
      <c r="G1139" s="344"/>
      <c r="H1139" s="344"/>
      <c r="I1139" s="344"/>
      <c r="J1139" s="344"/>
      <c r="K1139" s="344"/>
      <c r="L1139" s="344"/>
      <c r="M1139" s="344"/>
      <c r="N1139" s="344"/>
      <c r="O1139" s="344"/>
      <c r="P1139" s="344"/>
      <c r="Q1139" s="344"/>
      <c r="R1139" s="344"/>
      <c r="S1139" s="344"/>
      <c r="T1139" s="344"/>
      <c r="U1139" s="344"/>
      <c r="V1139" s="344"/>
      <c r="W1139" s="344"/>
      <c r="X1139" s="344"/>
      <c r="Y1139" s="344"/>
      <c r="Z1139" s="344"/>
    </row>
    <row r="1140">
      <c r="A1140" s="129"/>
      <c r="B1140" s="9"/>
      <c r="C1140" s="9"/>
      <c r="D1140" s="473" t="s">
        <v>1115</v>
      </c>
      <c r="E1140" s="471" t="s">
        <v>1116</v>
      </c>
      <c r="F1140" s="466" t="s">
        <v>1074</v>
      </c>
      <c r="G1140" s="344"/>
      <c r="H1140" s="344"/>
      <c r="I1140" s="344"/>
      <c r="J1140" s="344"/>
      <c r="K1140" s="344"/>
      <c r="L1140" s="344"/>
      <c r="M1140" s="344"/>
      <c r="N1140" s="344"/>
      <c r="O1140" s="344"/>
      <c r="P1140" s="344"/>
      <c r="Q1140" s="344"/>
      <c r="R1140" s="344"/>
      <c r="S1140" s="344"/>
      <c r="T1140" s="344"/>
      <c r="U1140" s="344"/>
      <c r="V1140" s="344"/>
      <c r="W1140" s="344"/>
      <c r="X1140" s="344"/>
      <c r="Y1140" s="344"/>
      <c r="Z1140" s="344"/>
    </row>
    <row r="1141">
      <c r="A1141" s="129"/>
      <c r="B1141" s="9"/>
      <c r="C1141" s="11"/>
      <c r="D1141" s="473" t="s">
        <v>1521</v>
      </c>
      <c r="E1141" s="471" t="s">
        <v>1522</v>
      </c>
      <c r="F1141" s="466" t="s">
        <v>1074</v>
      </c>
      <c r="G1141" s="344"/>
      <c r="H1141" s="344"/>
      <c r="I1141" s="344"/>
      <c r="J1141" s="344"/>
      <c r="K1141" s="344"/>
      <c r="L1141" s="344"/>
      <c r="M1141" s="344"/>
      <c r="N1141" s="344"/>
      <c r="O1141" s="344"/>
      <c r="P1141" s="344"/>
      <c r="Q1141" s="344"/>
      <c r="R1141" s="344"/>
      <c r="S1141" s="344"/>
      <c r="T1141" s="344"/>
      <c r="U1141" s="344"/>
      <c r="V1141" s="344"/>
      <c r="W1141" s="344"/>
      <c r="X1141" s="344"/>
      <c r="Y1141" s="344"/>
      <c r="Z1141" s="344"/>
    </row>
    <row r="1142">
      <c r="A1142" s="129"/>
      <c r="B1142" s="9"/>
      <c r="C1142" s="460">
        <v>2023.0</v>
      </c>
      <c r="D1142" s="473" t="s">
        <v>1121</v>
      </c>
      <c r="E1142" s="471" t="s">
        <v>1467</v>
      </c>
      <c r="F1142" s="466" t="s">
        <v>1074</v>
      </c>
      <c r="G1142" s="344"/>
      <c r="H1142" s="344"/>
      <c r="I1142" s="344"/>
      <c r="J1142" s="344"/>
      <c r="K1142" s="344"/>
      <c r="L1142" s="344"/>
      <c r="M1142" s="344"/>
      <c r="N1142" s="344"/>
      <c r="O1142" s="344"/>
      <c r="P1142" s="344"/>
      <c r="Q1142" s="344"/>
      <c r="R1142" s="344"/>
      <c r="S1142" s="344"/>
      <c r="T1142" s="344"/>
      <c r="U1142" s="344"/>
      <c r="V1142" s="344"/>
      <c r="W1142" s="344"/>
      <c r="X1142" s="344"/>
      <c r="Y1142" s="344"/>
      <c r="Z1142" s="344"/>
    </row>
    <row r="1143">
      <c r="A1143" s="129"/>
      <c r="B1143" s="9"/>
      <c r="C1143" s="9"/>
      <c r="D1143" s="473" t="s">
        <v>1468</v>
      </c>
      <c r="E1143" s="471" t="s">
        <v>1469</v>
      </c>
      <c r="F1143" s="466" t="s">
        <v>1074</v>
      </c>
      <c r="G1143" s="344"/>
      <c r="H1143" s="344"/>
      <c r="I1143" s="344"/>
      <c r="J1143" s="344"/>
      <c r="K1143" s="344"/>
      <c r="L1143" s="344"/>
      <c r="M1143" s="344"/>
      <c r="N1143" s="344"/>
      <c r="O1143" s="344"/>
      <c r="P1143" s="344"/>
      <c r="Q1143" s="344"/>
      <c r="R1143" s="344"/>
      <c r="S1143" s="344"/>
      <c r="T1143" s="344"/>
      <c r="U1143" s="344"/>
      <c r="V1143" s="344"/>
      <c r="W1143" s="344"/>
      <c r="X1143" s="344"/>
      <c r="Y1143" s="344"/>
      <c r="Z1143" s="344"/>
    </row>
    <row r="1144">
      <c r="A1144" s="129"/>
      <c r="B1144" s="9"/>
      <c r="C1144" s="9"/>
      <c r="D1144" s="473" t="s">
        <v>1119</v>
      </c>
      <c r="E1144" s="471" t="s">
        <v>1254</v>
      </c>
      <c r="F1144" s="466" t="s">
        <v>1074</v>
      </c>
      <c r="G1144" s="344"/>
      <c r="H1144" s="344"/>
      <c r="I1144" s="344"/>
      <c r="J1144" s="344"/>
      <c r="K1144" s="344"/>
      <c r="L1144" s="344"/>
      <c r="M1144" s="344"/>
      <c r="N1144" s="344"/>
      <c r="O1144" s="344"/>
      <c r="P1144" s="344"/>
      <c r="Q1144" s="344"/>
      <c r="R1144" s="344"/>
      <c r="S1144" s="344"/>
      <c r="T1144" s="344"/>
      <c r="U1144" s="344"/>
      <c r="V1144" s="344"/>
      <c r="W1144" s="344"/>
      <c r="X1144" s="344"/>
      <c r="Y1144" s="344"/>
      <c r="Z1144" s="344"/>
    </row>
    <row r="1145">
      <c r="A1145" s="129"/>
      <c r="B1145" s="9"/>
      <c r="C1145" s="9"/>
      <c r="D1145" s="473" t="s">
        <v>1665</v>
      </c>
      <c r="E1145" s="471" t="s">
        <v>1374</v>
      </c>
      <c r="F1145" s="466" t="s">
        <v>1074</v>
      </c>
      <c r="G1145" s="344"/>
      <c r="H1145" s="344"/>
      <c r="I1145" s="344"/>
      <c r="J1145" s="344"/>
      <c r="K1145" s="344"/>
      <c r="L1145" s="344"/>
      <c r="M1145" s="344"/>
      <c r="N1145" s="344"/>
      <c r="O1145" s="344"/>
      <c r="P1145" s="344"/>
      <c r="Q1145" s="344"/>
      <c r="R1145" s="344"/>
      <c r="S1145" s="344"/>
      <c r="T1145" s="344"/>
      <c r="U1145" s="344"/>
      <c r="V1145" s="344"/>
      <c r="W1145" s="344"/>
      <c r="X1145" s="344"/>
      <c r="Y1145" s="344"/>
      <c r="Z1145" s="344"/>
    </row>
    <row r="1146">
      <c r="A1146" s="129"/>
      <c r="B1146" s="9"/>
      <c r="C1146" s="9"/>
      <c r="D1146" s="473" t="s">
        <v>1666</v>
      </c>
      <c r="E1146" s="471" t="s">
        <v>1667</v>
      </c>
      <c r="F1146" s="466" t="s">
        <v>1074</v>
      </c>
      <c r="G1146" s="344"/>
      <c r="H1146" s="344"/>
      <c r="I1146" s="344"/>
      <c r="J1146" s="344"/>
      <c r="K1146" s="344"/>
      <c r="L1146" s="344"/>
      <c r="M1146" s="344"/>
      <c r="N1146" s="344"/>
      <c r="O1146" s="344"/>
      <c r="P1146" s="344"/>
      <c r="Q1146" s="344"/>
      <c r="R1146" s="344"/>
      <c r="S1146" s="344"/>
      <c r="T1146" s="344"/>
      <c r="U1146" s="344"/>
      <c r="V1146" s="344"/>
      <c r="W1146" s="344"/>
      <c r="X1146" s="344"/>
      <c r="Y1146" s="344"/>
      <c r="Z1146" s="344"/>
    </row>
    <row r="1147">
      <c r="A1147" s="129"/>
      <c r="B1147" s="9"/>
      <c r="C1147" s="9"/>
      <c r="D1147" s="473" t="s">
        <v>1529</v>
      </c>
      <c r="E1147" s="471" t="s">
        <v>1530</v>
      </c>
      <c r="F1147" s="466" t="s">
        <v>1074</v>
      </c>
      <c r="G1147" s="344"/>
      <c r="H1147" s="344"/>
      <c r="I1147" s="344"/>
      <c r="J1147" s="344"/>
      <c r="K1147" s="344"/>
      <c r="L1147" s="344"/>
      <c r="M1147" s="344"/>
      <c r="N1147" s="344"/>
      <c r="O1147" s="344"/>
      <c r="P1147" s="344"/>
      <c r="Q1147" s="344"/>
      <c r="R1147" s="344"/>
      <c r="S1147" s="344"/>
      <c r="T1147" s="344"/>
      <c r="U1147" s="344"/>
      <c r="V1147" s="344"/>
      <c r="W1147" s="344"/>
      <c r="X1147" s="344"/>
      <c r="Y1147" s="344"/>
      <c r="Z1147" s="344"/>
    </row>
    <row r="1148">
      <c r="A1148" s="129"/>
      <c r="B1148" s="9"/>
      <c r="C1148" s="9"/>
      <c r="D1148" s="473" t="s">
        <v>1127</v>
      </c>
      <c r="E1148" s="471" t="s">
        <v>1668</v>
      </c>
      <c r="F1148" s="466" t="s">
        <v>1074</v>
      </c>
      <c r="G1148" s="344"/>
      <c r="H1148" s="344"/>
      <c r="I1148" s="344"/>
      <c r="J1148" s="344"/>
      <c r="K1148" s="344"/>
      <c r="L1148" s="344"/>
      <c r="M1148" s="344"/>
      <c r="N1148" s="344"/>
      <c r="O1148" s="344"/>
      <c r="P1148" s="344"/>
      <c r="Q1148" s="344"/>
      <c r="R1148" s="344"/>
      <c r="S1148" s="344"/>
      <c r="T1148" s="344"/>
      <c r="U1148" s="344"/>
      <c r="V1148" s="344"/>
      <c r="W1148" s="344"/>
      <c r="X1148" s="344"/>
      <c r="Y1148" s="344"/>
      <c r="Z1148" s="344"/>
    </row>
    <row r="1149">
      <c r="A1149" s="129"/>
      <c r="B1149" s="9"/>
      <c r="C1149" s="11"/>
      <c r="D1149" s="473" t="s">
        <v>1338</v>
      </c>
      <c r="E1149" s="471" t="s">
        <v>1339</v>
      </c>
      <c r="F1149" s="466" t="s">
        <v>1074</v>
      </c>
      <c r="G1149" s="344"/>
      <c r="H1149" s="344"/>
      <c r="I1149" s="344"/>
      <c r="J1149" s="344"/>
      <c r="K1149" s="344"/>
      <c r="L1149" s="344"/>
      <c r="M1149" s="344"/>
      <c r="N1149" s="344"/>
      <c r="O1149" s="344"/>
      <c r="P1149" s="344"/>
      <c r="Q1149" s="344"/>
      <c r="R1149" s="344"/>
      <c r="S1149" s="344"/>
      <c r="T1149" s="344"/>
      <c r="U1149" s="344"/>
      <c r="V1149" s="344"/>
      <c r="W1149" s="344"/>
      <c r="X1149" s="344"/>
      <c r="Y1149" s="344"/>
      <c r="Z1149" s="344"/>
    </row>
    <row r="1150">
      <c r="A1150" s="129"/>
      <c r="B1150" s="9"/>
      <c r="C1150" s="460">
        <v>2022.0</v>
      </c>
      <c r="D1150" s="473" t="s">
        <v>1488</v>
      </c>
      <c r="E1150" s="471" t="s">
        <v>1149</v>
      </c>
      <c r="F1150" s="466" t="s">
        <v>1074</v>
      </c>
      <c r="G1150" s="344"/>
      <c r="H1150" s="344"/>
      <c r="I1150" s="344"/>
      <c r="J1150" s="344"/>
      <c r="K1150" s="344"/>
      <c r="L1150" s="344"/>
      <c r="M1150" s="344"/>
      <c r="N1150" s="344"/>
      <c r="O1150" s="344"/>
      <c r="P1150" s="344"/>
      <c r="Q1150" s="344"/>
      <c r="R1150" s="344"/>
      <c r="S1150" s="344"/>
      <c r="T1150" s="344"/>
      <c r="U1150" s="344"/>
      <c r="V1150" s="344"/>
      <c r="W1150" s="344"/>
      <c r="X1150" s="344"/>
      <c r="Y1150" s="344"/>
      <c r="Z1150" s="344"/>
    </row>
    <row r="1151">
      <c r="A1151" s="129"/>
      <c r="B1151" s="9"/>
      <c r="C1151" s="9"/>
      <c r="D1151" s="473" t="s">
        <v>1134</v>
      </c>
      <c r="E1151" s="471" t="s">
        <v>1188</v>
      </c>
      <c r="F1151" s="466" t="s">
        <v>1074</v>
      </c>
      <c r="G1151" s="344"/>
      <c r="H1151" s="344"/>
      <c r="I1151" s="344"/>
      <c r="J1151" s="344"/>
      <c r="K1151" s="344"/>
      <c r="L1151" s="344"/>
      <c r="M1151" s="344"/>
      <c r="N1151" s="344"/>
      <c r="O1151" s="344"/>
      <c r="P1151" s="344"/>
      <c r="Q1151" s="344"/>
      <c r="R1151" s="344"/>
      <c r="S1151" s="344"/>
      <c r="T1151" s="344"/>
      <c r="U1151" s="344"/>
      <c r="V1151" s="344"/>
      <c r="W1151" s="344"/>
      <c r="X1151" s="344"/>
      <c r="Y1151" s="344"/>
      <c r="Z1151" s="344"/>
    </row>
    <row r="1152">
      <c r="A1152" s="56"/>
      <c r="B1152" s="11"/>
      <c r="C1152" s="11"/>
      <c r="D1152" s="473" t="s">
        <v>1537</v>
      </c>
      <c r="E1152" s="471" t="s">
        <v>1188</v>
      </c>
      <c r="F1152" s="466" t="s">
        <v>1074</v>
      </c>
      <c r="G1152" s="344"/>
      <c r="H1152" s="344"/>
      <c r="I1152" s="344"/>
      <c r="J1152" s="344"/>
      <c r="K1152" s="344"/>
      <c r="L1152" s="344"/>
      <c r="M1152" s="344"/>
      <c r="N1152" s="344"/>
      <c r="O1152" s="344"/>
      <c r="P1152" s="344"/>
      <c r="Q1152" s="344"/>
      <c r="R1152" s="344"/>
      <c r="S1152" s="344"/>
      <c r="T1152" s="344"/>
      <c r="U1152" s="344"/>
      <c r="V1152" s="344"/>
      <c r="W1152" s="344"/>
      <c r="X1152" s="344"/>
      <c r="Y1152" s="344"/>
      <c r="Z1152" s="344"/>
    </row>
    <row r="1153">
      <c r="A1153" s="464">
        <v>67.0</v>
      </c>
      <c r="B1153" s="471" t="s">
        <v>814</v>
      </c>
      <c r="C1153" s="465" t="s">
        <v>290</v>
      </c>
      <c r="D1153" s="471"/>
      <c r="E1153" s="461"/>
      <c r="F1153" s="465"/>
      <c r="G1153" s="344"/>
      <c r="H1153" s="344"/>
      <c r="I1153" s="344"/>
      <c r="J1153" s="344"/>
      <c r="K1153" s="344"/>
      <c r="L1153" s="344"/>
      <c r="M1153" s="344"/>
      <c r="N1153" s="344"/>
      <c r="O1153" s="344"/>
      <c r="P1153" s="344"/>
      <c r="Q1153" s="344"/>
      <c r="R1153" s="344"/>
      <c r="S1153" s="344"/>
      <c r="T1153" s="344"/>
      <c r="U1153" s="344"/>
      <c r="V1153" s="344"/>
      <c r="W1153" s="344"/>
      <c r="X1153" s="344"/>
      <c r="Y1153" s="344"/>
      <c r="Z1153" s="344"/>
    </row>
    <row r="1154">
      <c r="A1154" s="458">
        <v>68.0</v>
      </c>
      <c r="B1154" s="459" t="s">
        <v>606</v>
      </c>
      <c r="C1154" s="460">
        <v>2024.0</v>
      </c>
      <c r="D1154" s="473" t="s">
        <v>1569</v>
      </c>
      <c r="E1154" s="471" t="s">
        <v>1570</v>
      </c>
      <c r="F1154" s="466" t="s">
        <v>1074</v>
      </c>
      <c r="G1154" s="344"/>
      <c r="H1154" s="344"/>
      <c r="I1154" s="344"/>
      <c r="J1154" s="344"/>
      <c r="K1154" s="344"/>
      <c r="L1154" s="344"/>
      <c r="M1154" s="344"/>
      <c r="N1154" s="344"/>
      <c r="O1154" s="344"/>
      <c r="P1154" s="344"/>
      <c r="Q1154" s="344"/>
      <c r="R1154" s="344"/>
      <c r="S1154" s="344"/>
      <c r="T1154" s="344"/>
      <c r="U1154" s="344"/>
      <c r="V1154" s="344"/>
      <c r="W1154" s="344"/>
      <c r="X1154" s="344"/>
      <c r="Y1154" s="344"/>
      <c r="Z1154" s="344"/>
    </row>
    <row r="1155">
      <c r="A1155" s="129"/>
      <c r="B1155" s="9"/>
      <c r="C1155" s="9"/>
      <c r="D1155" s="473" t="s">
        <v>1669</v>
      </c>
      <c r="E1155" s="471" t="s">
        <v>1670</v>
      </c>
      <c r="F1155" s="466" t="s">
        <v>1074</v>
      </c>
      <c r="G1155" s="344"/>
      <c r="H1155" s="344"/>
      <c r="I1155" s="344"/>
      <c r="J1155" s="344"/>
      <c r="K1155" s="344"/>
      <c r="L1155" s="344"/>
      <c r="M1155" s="344"/>
      <c r="N1155" s="344"/>
      <c r="O1155" s="344"/>
      <c r="P1155" s="344"/>
      <c r="Q1155" s="344"/>
      <c r="R1155" s="344"/>
      <c r="S1155" s="344"/>
      <c r="T1155" s="344"/>
      <c r="U1155" s="344"/>
      <c r="V1155" s="344"/>
      <c r="W1155" s="344"/>
      <c r="X1155" s="344"/>
      <c r="Y1155" s="344"/>
      <c r="Z1155" s="344"/>
    </row>
    <row r="1156">
      <c r="A1156" s="129"/>
      <c r="B1156" s="9"/>
      <c r="C1156" s="9"/>
      <c r="D1156" s="473" t="s">
        <v>1168</v>
      </c>
      <c r="E1156" s="471" t="s">
        <v>1671</v>
      </c>
      <c r="F1156" s="466" t="s">
        <v>1074</v>
      </c>
      <c r="G1156" s="344"/>
      <c r="H1156" s="344"/>
      <c r="I1156" s="344"/>
      <c r="J1156" s="344"/>
      <c r="K1156" s="344"/>
      <c r="L1156" s="344"/>
      <c r="M1156" s="344"/>
      <c r="N1156" s="344"/>
      <c r="O1156" s="344"/>
      <c r="P1156" s="344"/>
      <c r="Q1156" s="344"/>
      <c r="R1156" s="344"/>
      <c r="S1156" s="344"/>
      <c r="T1156" s="344"/>
      <c r="U1156" s="344"/>
      <c r="V1156" s="344"/>
      <c r="W1156" s="344"/>
      <c r="X1156" s="344"/>
      <c r="Y1156" s="344"/>
      <c r="Z1156" s="344"/>
    </row>
    <row r="1157">
      <c r="A1157" s="129"/>
      <c r="B1157" s="9"/>
      <c r="C1157" s="11"/>
      <c r="D1157" s="473" t="s">
        <v>1309</v>
      </c>
      <c r="E1157" s="471" t="s">
        <v>1310</v>
      </c>
      <c r="F1157" s="466" t="s">
        <v>1074</v>
      </c>
      <c r="G1157" s="344"/>
      <c r="H1157" s="344"/>
      <c r="I1157" s="344"/>
      <c r="J1157" s="344"/>
      <c r="K1157" s="344"/>
      <c r="L1157" s="344"/>
      <c r="M1157" s="344"/>
      <c r="N1157" s="344"/>
      <c r="O1157" s="344"/>
      <c r="P1157" s="344"/>
      <c r="Q1157" s="344"/>
      <c r="R1157" s="344"/>
      <c r="S1157" s="344"/>
      <c r="T1157" s="344"/>
      <c r="U1157" s="344"/>
      <c r="V1157" s="344"/>
      <c r="W1157" s="344"/>
      <c r="X1157" s="344"/>
      <c r="Y1157" s="344"/>
      <c r="Z1157" s="344"/>
    </row>
    <row r="1158">
      <c r="A1158" s="129"/>
      <c r="B1158" s="9"/>
      <c r="C1158" s="460">
        <v>2023.0</v>
      </c>
      <c r="D1158" s="473" t="s">
        <v>1172</v>
      </c>
      <c r="E1158" s="471" t="s">
        <v>1672</v>
      </c>
      <c r="F1158" s="466" t="s">
        <v>1074</v>
      </c>
      <c r="G1158" s="344"/>
      <c r="H1158" s="344"/>
      <c r="I1158" s="344"/>
      <c r="J1158" s="344"/>
      <c r="K1158" s="344"/>
      <c r="L1158" s="344"/>
      <c r="M1158" s="344"/>
      <c r="N1158" s="344"/>
      <c r="O1158" s="344"/>
      <c r="P1158" s="344"/>
      <c r="Q1158" s="344"/>
      <c r="R1158" s="344"/>
      <c r="S1158" s="344"/>
      <c r="T1158" s="344"/>
      <c r="U1158" s="344"/>
      <c r="V1158" s="344"/>
      <c r="W1158" s="344"/>
      <c r="X1158" s="344"/>
      <c r="Y1158" s="344"/>
      <c r="Z1158" s="344"/>
    </row>
    <row r="1159">
      <c r="A1159" s="129"/>
      <c r="B1159" s="9"/>
      <c r="C1159" s="11"/>
      <c r="D1159" s="473" t="s">
        <v>1471</v>
      </c>
      <c r="E1159" s="471" t="s">
        <v>1472</v>
      </c>
      <c r="F1159" s="466" t="s">
        <v>1074</v>
      </c>
      <c r="G1159" s="344"/>
      <c r="H1159" s="344"/>
      <c r="I1159" s="344"/>
      <c r="J1159" s="344"/>
      <c r="K1159" s="344"/>
      <c r="L1159" s="344"/>
      <c r="M1159" s="344"/>
      <c r="N1159" s="344"/>
      <c r="O1159" s="344"/>
      <c r="P1159" s="344"/>
      <c r="Q1159" s="344"/>
      <c r="R1159" s="344"/>
      <c r="S1159" s="344"/>
      <c r="T1159" s="344"/>
      <c r="U1159" s="344"/>
      <c r="V1159" s="344"/>
      <c r="W1159" s="344"/>
      <c r="X1159" s="344"/>
      <c r="Y1159" s="344"/>
      <c r="Z1159" s="344"/>
    </row>
    <row r="1160">
      <c r="A1160" s="129"/>
      <c r="B1160" s="9"/>
      <c r="C1160" s="460">
        <v>2022.0</v>
      </c>
      <c r="D1160" s="473" t="s">
        <v>1451</v>
      </c>
      <c r="E1160" s="471" t="s">
        <v>1188</v>
      </c>
      <c r="F1160" s="466" t="s">
        <v>1074</v>
      </c>
      <c r="G1160" s="344"/>
      <c r="H1160" s="344"/>
      <c r="I1160" s="344"/>
      <c r="J1160" s="344"/>
      <c r="K1160" s="344"/>
      <c r="L1160" s="344"/>
      <c r="M1160" s="344"/>
      <c r="N1160" s="344"/>
      <c r="O1160" s="344"/>
      <c r="P1160" s="344"/>
      <c r="Q1160" s="344"/>
      <c r="R1160" s="344"/>
      <c r="S1160" s="344"/>
      <c r="T1160" s="344"/>
      <c r="U1160" s="344"/>
      <c r="V1160" s="344"/>
      <c r="W1160" s="344"/>
      <c r="X1160" s="344"/>
      <c r="Y1160" s="344"/>
      <c r="Z1160" s="344"/>
    </row>
    <row r="1161">
      <c r="A1161" s="56"/>
      <c r="B1161" s="11"/>
      <c r="C1161" s="11"/>
      <c r="D1161" s="473" t="s">
        <v>1263</v>
      </c>
      <c r="E1161" s="471" t="s">
        <v>1264</v>
      </c>
      <c r="F1161" s="466" t="s">
        <v>1074</v>
      </c>
      <c r="G1161" s="344"/>
      <c r="H1161" s="344"/>
      <c r="I1161" s="344"/>
      <c r="J1161" s="344"/>
      <c r="K1161" s="344"/>
      <c r="L1161" s="344"/>
      <c r="M1161" s="344"/>
      <c r="N1161" s="344"/>
      <c r="O1161" s="344"/>
      <c r="P1161" s="344"/>
      <c r="Q1161" s="344"/>
      <c r="R1161" s="344"/>
      <c r="S1161" s="344"/>
      <c r="T1161" s="344"/>
      <c r="U1161" s="344"/>
      <c r="V1161" s="344"/>
      <c r="W1161" s="344"/>
      <c r="X1161" s="344"/>
      <c r="Y1161" s="344"/>
      <c r="Z1161" s="344"/>
    </row>
    <row r="1162">
      <c r="A1162" s="458">
        <v>69.0</v>
      </c>
      <c r="B1162" s="459" t="s">
        <v>815</v>
      </c>
      <c r="C1162" s="460">
        <v>2024.0</v>
      </c>
      <c r="D1162" s="473" t="s">
        <v>1673</v>
      </c>
      <c r="E1162" s="471" t="s">
        <v>1674</v>
      </c>
      <c r="F1162" s="466" t="s">
        <v>1074</v>
      </c>
      <c r="G1162" s="344"/>
      <c r="H1162" s="344"/>
      <c r="I1162" s="344"/>
      <c r="J1162" s="344"/>
      <c r="K1162" s="344"/>
      <c r="L1162" s="344"/>
      <c r="M1162" s="344"/>
      <c r="N1162" s="344"/>
      <c r="O1162" s="344"/>
      <c r="P1162" s="344"/>
      <c r="Q1162" s="344"/>
      <c r="R1162" s="344"/>
      <c r="S1162" s="344"/>
      <c r="T1162" s="344"/>
      <c r="U1162" s="344"/>
      <c r="V1162" s="344"/>
      <c r="W1162" s="344"/>
      <c r="X1162" s="344"/>
      <c r="Y1162" s="344"/>
      <c r="Z1162" s="344"/>
    </row>
    <row r="1163">
      <c r="A1163" s="129"/>
      <c r="B1163" s="9"/>
      <c r="C1163" s="9"/>
      <c r="D1163" s="473" t="s">
        <v>1544</v>
      </c>
      <c r="E1163" s="471" t="s">
        <v>1545</v>
      </c>
      <c r="F1163" s="466" t="s">
        <v>1074</v>
      </c>
      <c r="G1163" s="344"/>
      <c r="H1163" s="344"/>
      <c r="I1163" s="344"/>
      <c r="J1163" s="344"/>
      <c r="K1163" s="344"/>
      <c r="L1163" s="344"/>
      <c r="M1163" s="344"/>
      <c r="N1163" s="344"/>
      <c r="O1163" s="344"/>
      <c r="P1163" s="344"/>
      <c r="Q1163" s="344"/>
      <c r="R1163" s="344"/>
      <c r="S1163" s="344"/>
      <c r="T1163" s="344"/>
      <c r="U1163" s="344"/>
      <c r="V1163" s="344"/>
      <c r="W1163" s="344"/>
      <c r="X1163" s="344"/>
      <c r="Y1163" s="344"/>
      <c r="Z1163" s="344"/>
    </row>
    <row r="1164">
      <c r="A1164" s="129"/>
      <c r="B1164" s="9"/>
      <c r="C1164" s="9"/>
      <c r="D1164" s="473" t="s">
        <v>1675</v>
      </c>
      <c r="E1164" s="471" t="s">
        <v>1676</v>
      </c>
      <c r="F1164" s="466" t="s">
        <v>1074</v>
      </c>
      <c r="G1164" s="344"/>
      <c r="H1164" s="344"/>
      <c r="I1164" s="344"/>
      <c r="J1164" s="344"/>
      <c r="K1164" s="344"/>
      <c r="L1164" s="344"/>
      <c r="M1164" s="344"/>
      <c r="N1164" s="344"/>
      <c r="O1164" s="344"/>
      <c r="P1164" s="344"/>
      <c r="Q1164" s="344"/>
      <c r="R1164" s="344"/>
      <c r="S1164" s="344"/>
      <c r="T1164" s="344"/>
      <c r="U1164" s="344"/>
      <c r="V1164" s="344"/>
      <c r="W1164" s="344"/>
      <c r="X1164" s="344"/>
      <c r="Y1164" s="344"/>
      <c r="Z1164" s="344"/>
    </row>
    <row r="1165">
      <c r="A1165" s="129"/>
      <c r="B1165" s="9"/>
      <c r="C1165" s="9"/>
      <c r="D1165" s="473" t="s">
        <v>1546</v>
      </c>
      <c r="E1165" s="471" t="s">
        <v>1547</v>
      </c>
      <c r="F1165" s="466" t="s">
        <v>1074</v>
      </c>
      <c r="G1165" s="344"/>
      <c r="H1165" s="344"/>
      <c r="I1165" s="344"/>
      <c r="J1165" s="344"/>
      <c r="K1165" s="344"/>
      <c r="L1165" s="344"/>
      <c r="M1165" s="344"/>
      <c r="N1165" s="344"/>
      <c r="O1165" s="344"/>
      <c r="P1165" s="344"/>
      <c r="Q1165" s="344"/>
      <c r="R1165" s="344"/>
      <c r="S1165" s="344"/>
      <c r="T1165" s="344"/>
      <c r="U1165" s="344"/>
      <c r="V1165" s="344"/>
      <c r="W1165" s="344"/>
      <c r="X1165" s="344"/>
      <c r="Y1165" s="344"/>
      <c r="Z1165" s="344"/>
    </row>
    <row r="1166">
      <c r="A1166" s="129"/>
      <c r="B1166" s="9"/>
      <c r="C1166" s="9"/>
      <c r="D1166" s="473" t="s">
        <v>1548</v>
      </c>
      <c r="E1166" s="471" t="s">
        <v>1522</v>
      </c>
      <c r="F1166" s="466" t="s">
        <v>1074</v>
      </c>
      <c r="G1166" s="344"/>
      <c r="H1166" s="344"/>
      <c r="I1166" s="344"/>
      <c r="J1166" s="344"/>
      <c r="K1166" s="344"/>
      <c r="L1166" s="344"/>
      <c r="M1166" s="344"/>
      <c r="N1166" s="344"/>
      <c r="O1166" s="344"/>
      <c r="P1166" s="344"/>
      <c r="Q1166" s="344"/>
      <c r="R1166" s="344"/>
      <c r="S1166" s="344"/>
      <c r="T1166" s="344"/>
      <c r="U1166" s="344"/>
      <c r="V1166" s="344"/>
      <c r="W1166" s="344"/>
      <c r="X1166" s="344"/>
      <c r="Y1166" s="344"/>
      <c r="Z1166" s="344"/>
    </row>
    <row r="1167">
      <c r="A1167" s="129"/>
      <c r="B1167" s="9"/>
      <c r="C1167" s="9"/>
      <c r="D1167" s="473" t="s">
        <v>1523</v>
      </c>
      <c r="E1167" s="471" t="s">
        <v>1522</v>
      </c>
      <c r="F1167" s="466" t="s">
        <v>1074</v>
      </c>
      <c r="G1167" s="344"/>
      <c r="H1167" s="344"/>
      <c r="I1167" s="344"/>
      <c r="J1167" s="344"/>
      <c r="K1167" s="344"/>
      <c r="L1167" s="344"/>
      <c r="M1167" s="344"/>
      <c r="N1167" s="344"/>
      <c r="O1167" s="344"/>
      <c r="P1167" s="344"/>
      <c r="Q1167" s="344"/>
      <c r="R1167" s="344"/>
      <c r="S1167" s="344"/>
      <c r="T1167" s="344"/>
      <c r="U1167" s="344"/>
      <c r="V1167" s="344"/>
      <c r="W1167" s="344"/>
      <c r="X1167" s="344"/>
      <c r="Y1167" s="344"/>
      <c r="Z1167" s="344"/>
    </row>
    <row r="1168">
      <c r="A1168" s="129"/>
      <c r="B1168" s="9"/>
      <c r="C1168" s="9"/>
      <c r="D1168" s="473" t="s">
        <v>1521</v>
      </c>
      <c r="E1168" s="471" t="s">
        <v>1522</v>
      </c>
      <c r="F1168" s="466" t="s">
        <v>1074</v>
      </c>
      <c r="G1168" s="344"/>
      <c r="H1168" s="344"/>
      <c r="I1168" s="344"/>
      <c r="J1168" s="344"/>
      <c r="K1168" s="344"/>
      <c r="L1168" s="344"/>
      <c r="M1168" s="344"/>
      <c r="N1168" s="344"/>
      <c r="O1168" s="344"/>
      <c r="P1168" s="344"/>
      <c r="Q1168" s="344"/>
      <c r="R1168" s="344"/>
      <c r="S1168" s="344"/>
      <c r="T1168" s="344"/>
      <c r="U1168" s="344"/>
      <c r="V1168" s="344"/>
      <c r="W1168" s="344"/>
      <c r="X1168" s="344"/>
      <c r="Y1168" s="344"/>
      <c r="Z1168" s="344"/>
    </row>
    <row r="1169">
      <c r="A1169" s="129"/>
      <c r="B1169" s="9"/>
      <c r="C1169" s="9"/>
      <c r="D1169" s="473" t="s">
        <v>1417</v>
      </c>
      <c r="E1169" s="471" t="s">
        <v>1418</v>
      </c>
      <c r="F1169" s="466" t="s">
        <v>1074</v>
      </c>
      <c r="G1169" s="344"/>
      <c r="H1169" s="344"/>
      <c r="I1169" s="344"/>
      <c r="J1169" s="344"/>
      <c r="K1169" s="344"/>
      <c r="L1169" s="344"/>
      <c r="M1169" s="344"/>
      <c r="N1169" s="344"/>
      <c r="O1169" s="344"/>
      <c r="P1169" s="344"/>
      <c r="Q1169" s="344"/>
      <c r="R1169" s="344"/>
      <c r="S1169" s="344"/>
      <c r="T1169" s="344"/>
      <c r="U1169" s="344"/>
      <c r="V1169" s="344"/>
      <c r="W1169" s="344"/>
      <c r="X1169" s="344"/>
      <c r="Y1169" s="344"/>
      <c r="Z1169" s="344"/>
    </row>
    <row r="1170">
      <c r="A1170" s="129"/>
      <c r="B1170" s="9"/>
      <c r="C1170" s="11"/>
      <c r="D1170" s="473" t="s">
        <v>1677</v>
      </c>
      <c r="E1170" s="471" t="s">
        <v>1678</v>
      </c>
      <c r="F1170" s="466" t="s">
        <v>1074</v>
      </c>
      <c r="G1170" s="344"/>
      <c r="H1170" s="344"/>
      <c r="I1170" s="344"/>
      <c r="J1170" s="344"/>
      <c r="K1170" s="344"/>
      <c r="L1170" s="344"/>
      <c r="M1170" s="344"/>
      <c r="N1170" s="344"/>
      <c r="O1170" s="344"/>
      <c r="P1170" s="344"/>
      <c r="Q1170" s="344"/>
      <c r="R1170" s="344"/>
      <c r="S1170" s="344"/>
      <c r="T1170" s="344"/>
      <c r="U1170" s="344"/>
      <c r="V1170" s="344"/>
      <c r="W1170" s="344"/>
      <c r="X1170" s="344"/>
      <c r="Y1170" s="344"/>
      <c r="Z1170" s="344"/>
    </row>
    <row r="1171">
      <c r="A1171" s="129"/>
      <c r="B1171" s="9"/>
      <c r="C1171" s="460">
        <v>2023.0</v>
      </c>
      <c r="D1171" s="473" t="s">
        <v>1679</v>
      </c>
      <c r="E1171" s="471" t="s">
        <v>1680</v>
      </c>
      <c r="F1171" s="466" t="s">
        <v>1074</v>
      </c>
      <c r="G1171" s="344"/>
      <c r="H1171" s="344"/>
      <c r="I1171" s="344"/>
      <c r="J1171" s="344"/>
      <c r="K1171" s="344"/>
      <c r="L1171" s="344"/>
      <c r="M1171" s="344"/>
      <c r="N1171" s="344"/>
      <c r="O1171" s="344"/>
      <c r="P1171" s="344"/>
      <c r="Q1171" s="344"/>
      <c r="R1171" s="344"/>
      <c r="S1171" s="344"/>
      <c r="T1171" s="344"/>
      <c r="U1171" s="344"/>
      <c r="V1171" s="344"/>
      <c r="W1171" s="344"/>
      <c r="X1171" s="344"/>
      <c r="Y1171" s="344"/>
      <c r="Z1171" s="344"/>
    </row>
    <row r="1172">
      <c r="A1172" s="129"/>
      <c r="B1172" s="9"/>
      <c r="C1172" s="9"/>
      <c r="D1172" s="473" t="s">
        <v>1633</v>
      </c>
      <c r="E1172" s="471" t="s">
        <v>1634</v>
      </c>
      <c r="F1172" s="466" t="s">
        <v>1074</v>
      </c>
      <c r="G1172" s="344"/>
      <c r="H1172" s="344"/>
      <c r="I1172" s="344"/>
      <c r="J1172" s="344"/>
      <c r="K1172" s="344"/>
      <c r="L1172" s="344"/>
      <c r="M1172" s="344"/>
      <c r="N1172" s="344"/>
      <c r="O1172" s="344"/>
      <c r="P1172" s="344"/>
      <c r="Q1172" s="344"/>
      <c r="R1172" s="344"/>
      <c r="S1172" s="344"/>
      <c r="T1172" s="344"/>
      <c r="U1172" s="344"/>
      <c r="V1172" s="344"/>
      <c r="W1172" s="344"/>
      <c r="X1172" s="344"/>
      <c r="Y1172" s="344"/>
      <c r="Z1172" s="344"/>
    </row>
    <row r="1173">
      <c r="A1173" s="129"/>
      <c r="B1173" s="9"/>
      <c r="C1173" s="9"/>
      <c r="D1173" s="473" t="s">
        <v>1515</v>
      </c>
      <c r="E1173" s="471" t="s">
        <v>1516</v>
      </c>
      <c r="F1173" s="466" t="s">
        <v>1074</v>
      </c>
      <c r="G1173" s="344"/>
      <c r="H1173" s="344"/>
      <c r="I1173" s="344"/>
      <c r="J1173" s="344"/>
      <c r="K1173" s="344"/>
      <c r="L1173" s="344"/>
      <c r="M1173" s="344"/>
      <c r="N1173" s="344"/>
      <c r="O1173" s="344"/>
      <c r="P1173" s="344"/>
      <c r="Q1173" s="344"/>
      <c r="R1173" s="344"/>
      <c r="S1173" s="344"/>
      <c r="T1173" s="344"/>
      <c r="U1173" s="344"/>
      <c r="V1173" s="344"/>
      <c r="W1173" s="344"/>
      <c r="X1173" s="344"/>
      <c r="Y1173" s="344"/>
      <c r="Z1173" s="344"/>
    </row>
    <row r="1174">
      <c r="A1174" s="129"/>
      <c r="B1174" s="9"/>
      <c r="C1174" s="9"/>
      <c r="D1174" s="473" t="s">
        <v>1421</v>
      </c>
      <c r="E1174" s="471" t="s">
        <v>1141</v>
      </c>
      <c r="F1174" s="466" t="s">
        <v>1074</v>
      </c>
      <c r="G1174" s="344"/>
      <c r="H1174" s="344"/>
      <c r="I1174" s="344"/>
      <c r="J1174" s="344"/>
      <c r="K1174" s="344"/>
      <c r="L1174" s="344"/>
      <c r="M1174" s="344"/>
      <c r="N1174" s="344"/>
      <c r="O1174" s="344"/>
      <c r="P1174" s="344"/>
      <c r="Q1174" s="344"/>
      <c r="R1174" s="344"/>
      <c r="S1174" s="344"/>
      <c r="T1174" s="344"/>
      <c r="U1174" s="344"/>
      <c r="V1174" s="344"/>
      <c r="W1174" s="344"/>
      <c r="X1174" s="344"/>
      <c r="Y1174" s="344"/>
      <c r="Z1174" s="344"/>
    </row>
    <row r="1175">
      <c r="A1175" s="129"/>
      <c r="B1175" s="9"/>
      <c r="C1175" s="9"/>
      <c r="D1175" s="473" t="s">
        <v>1681</v>
      </c>
      <c r="E1175" s="471" t="s">
        <v>1141</v>
      </c>
      <c r="F1175" s="466" t="s">
        <v>1074</v>
      </c>
      <c r="G1175" s="344"/>
      <c r="H1175" s="344"/>
      <c r="I1175" s="344"/>
      <c r="J1175" s="344"/>
      <c r="K1175" s="344"/>
      <c r="L1175" s="344"/>
      <c r="M1175" s="344"/>
      <c r="N1175" s="344"/>
      <c r="O1175" s="344"/>
      <c r="P1175" s="344"/>
      <c r="Q1175" s="344"/>
      <c r="R1175" s="344"/>
      <c r="S1175" s="344"/>
      <c r="T1175" s="344"/>
      <c r="U1175" s="344"/>
      <c r="V1175" s="344"/>
      <c r="W1175" s="344"/>
      <c r="X1175" s="344"/>
      <c r="Y1175" s="344"/>
      <c r="Z1175" s="344"/>
    </row>
    <row r="1176">
      <c r="A1176" s="129"/>
      <c r="B1176" s="9"/>
      <c r="C1176" s="9"/>
      <c r="D1176" s="473" t="s">
        <v>1682</v>
      </c>
      <c r="E1176" s="471" t="s">
        <v>1141</v>
      </c>
      <c r="F1176" s="466" t="s">
        <v>1074</v>
      </c>
      <c r="G1176" s="344"/>
      <c r="H1176" s="344"/>
      <c r="I1176" s="344"/>
      <c r="J1176" s="344"/>
      <c r="K1176" s="344"/>
      <c r="L1176" s="344"/>
      <c r="M1176" s="344"/>
      <c r="N1176" s="344"/>
      <c r="O1176" s="344"/>
      <c r="P1176" s="344"/>
      <c r="Q1176" s="344"/>
      <c r="R1176" s="344"/>
      <c r="S1176" s="344"/>
      <c r="T1176" s="344"/>
      <c r="U1176" s="344"/>
      <c r="V1176" s="344"/>
      <c r="W1176" s="344"/>
      <c r="X1176" s="344"/>
      <c r="Y1176" s="344"/>
      <c r="Z1176" s="344"/>
    </row>
    <row r="1177">
      <c r="A1177" s="129"/>
      <c r="B1177" s="9"/>
      <c r="C1177" s="9"/>
      <c r="D1177" s="473" t="s">
        <v>1549</v>
      </c>
      <c r="E1177" s="471" t="s">
        <v>1141</v>
      </c>
      <c r="F1177" s="466" t="s">
        <v>1074</v>
      </c>
      <c r="G1177" s="344"/>
      <c r="H1177" s="344"/>
      <c r="I1177" s="344"/>
      <c r="J1177" s="344"/>
      <c r="K1177" s="344"/>
      <c r="L1177" s="344"/>
      <c r="M1177" s="344"/>
      <c r="N1177" s="344"/>
      <c r="O1177" s="344"/>
      <c r="P1177" s="344"/>
      <c r="Q1177" s="344"/>
      <c r="R1177" s="344"/>
      <c r="S1177" s="344"/>
      <c r="T1177" s="344"/>
      <c r="U1177" s="344"/>
      <c r="V1177" s="344"/>
      <c r="W1177" s="344"/>
      <c r="X1177" s="344"/>
      <c r="Y1177" s="344"/>
      <c r="Z1177" s="344"/>
    </row>
    <row r="1178">
      <c r="A1178" s="129"/>
      <c r="B1178" s="9"/>
      <c r="C1178" s="9"/>
      <c r="D1178" s="473" t="s">
        <v>1683</v>
      </c>
      <c r="E1178" s="471" t="s">
        <v>1684</v>
      </c>
      <c r="F1178" s="466" t="s">
        <v>1074</v>
      </c>
      <c r="G1178" s="344"/>
      <c r="H1178" s="344"/>
      <c r="I1178" s="344"/>
      <c r="J1178" s="344"/>
      <c r="K1178" s="344"/>
      <c r="L1178" s="344"/>
      <c r="M1178" s="344"/>
      <c r="N1178" s="344"/>
      <c r="O1178" s="344"/>
      <c r="P1178" s="344"/>
      <c r="Q1178" s="344"/>
      <c r="R1178" s="344"/>
      <c r="S1178" s="344"/>
      <c r="T1178" s="344"/>
      <c r="U1178" s="344"/>
      <c r="V1178" s="344"/>
      <c r="W1178" s="344"/>
      <c r="X1178" s="344"/>
      <c r="Y1178" s="344"/>
      <c r="Z1178" s="344"/>
    </row>
    <row r="1179">
      <c r="A1179" s="129"/>
      <c r="B1179" s="9"/>
      <c r="C1179" s="9"/>
      <c r="D1179" s="473" t="s">
        <v>1645</v>
      </c>
      <c r="E1179" s="471" t="s">
        <v>1646</v>
      </c>
      <c r="F1179" s="466" t="s">
        <v>1074</v>
      </c>
      <c r="G1179" s="344"/>
      <c r="H1179" s="344"/>
      <c r="I1179" s="344"/>
      <c r="J1179" s="344"/>
      <c r="K1179" s="344"/>
      <c r="L1179" s="344"/>
      <c r="M1179" s="344"/>
      <c r="N1179" s="344"/>
      <c r="O1179" s="344"/>
      <c r="P1179" s="344"/>
      <c r="Q1179" s="344"/>
      <c r="R1179" s="344"/>
      <c r="S1179" s="344"/>
      <c r="T1179" s="344"/>
      <c r="U1179" s="344"/>
      <c r="V1179" s="344"/>
      <c r="W1179" s="344"/>
      <c r="X1179" s="344"/>
      <c r="Y1179" s="344"/>
      <c r="Z1179" s="344"/>
    </row>
    <row r="1180">
      <c r="A1180" s="129"/>
      <c r="B1180" s="9"/>
      <c r="C1180" s="9"/>
      <c r="D1180" s="473" t="s">
        <v>1524</v>
      </c>
      <c r="E1180" s="471" t="s">
        <v>1525</v>
      </c>
      <c r="F1180" s="466" t="s">
        <v>1074</v>
      </c>
      <c r="G1180" s="344"/>
      <c r="H1180" s="344"/>
      <c r="I1180" s="344"/>
      <c r="J1180" s="344"/>
      <c r="K1180" s="344"/>
      <c r="L1180" s="344"/>
      <c r="M1180" s="344"/>
      <c r="N1180" s="344"/>
      <c r="O1180" s="344"/>
      <c r="P1180" s="344"/>
      <c r="Q1180" s="344"/>
      <c r="R1180" s="344"/>
      <c r="S1180" s="344"/>
      <c r="T1180" s="344"/>
      <c r="U1180" s="344"/>
      <c r="V1180" s="344"/>
      <c r="W1180" s="344"/>
      <c r="X1180" s="344"/>
      <c r="Y1180" s="344"/>
      <c r="Z1180" s="344"/>
    </row>
    <row r="1181">
      <c r="A1181" s="129"/>
      <c r="B1181" s="9"/>
      <c r="C1181" s="9"/>
      <c r="D1181" s="473" t="s">
        <v>1526</v>
      </c>
      <c r="E1181" s="471" t="s">
        <v>1525</v>
      </c>
      <c r="F1181" s="466" t="s">
        <v>1074</v>
      </c>
      <c r="G1181" s="344"/>
      <c r="H1181" s="344"/>
      <c r="I1181" s="344"/>
      <c r="J1181" s="344"/>
      <c r="K1181" s="344"/>
      <c r="L1181" s="344"/>
      <c r="M1181" s="344"/>
      <c r="N1181" s="344"/>
      <c r="O1181" s="344"/>
      <c r="P1181" s="344"/>
      <c r="Q1181" s="344"/>
      <c r="R1181" s="344"/>
      <c r="S1181" s="344"/>
      <c r="T1181" s="344"/>
      <c r="U1181" s="344"/>
      <c r="V1181" s="344"/>
      <c r="W1181" s="344"/>
      <c r="X1181" s="344"/>
      <c r="Y1181" s="344"/>
      <c r="Z1181" s="344"/>
    </row>
    <row r="1182">
      <c r="A1182" s="129"/>
      <c r="B1182" s="9"/>
      <c r="C1182" s="9"/>
      <c r="D1182" s="473" t="s">
        <v>1685</v>
      </c>
      <c r="E1182" s="471" t="s">
        <v>1686</v>
      </c>
      <c r="F1182" s="466" t="s">
        <v>1074</v>
      </c>
      <c r="G1182" s="344"/>
      <c r="H1182" s="344"/>
      <c r="I1182" s="344"/>
      <c r="J1182" s="344"/>
      <c r="K1182" s="344"/>
      <c r="L1182" s="344"/>
      <c r="M1182" s="344"/>
      <c r="N1182" s="344"/>
      <c r="O1182" s="344"/>
      <c r="P1182" s="344"/>
      <c r="Q1182" s="344"/>
      <c r="R1182" s="344"/>
      <c r="S1182" s="344"/>
      <c r="T1182" s="344"/>
      <c r="U1182" s="344"/>
      <c r="V1182" s="344"/>
      <c r="W1182" s="344"/>
      <c r="X1182" s="344"/>
      <c r="Y1182" s="344"/>
      <c r="Z1182" s="344"/>
    </row>
    <row r="1183">
      <c r="A1183" s="129"/>
      <c r="B1183" s="9"/>
      <c r="C1183" s="9"/>
      <c r="D1183" s="473" t="s">
        <v>1422</v>
      </c>
      <c r="E1183" s="471" t="s">
        <v>1423</v>
      </c>
      <c r="F1183" s="466" t="s">
        <v>1074</v>
      </c>
      <c r="G1183" s="344"/>
      <c r="H1183" s="344"/>
      <c r="I1183" s="344"/>
      <c r="J1183" s="344"/>
      <c r="K1183" s="344"/>
      <c r="L1183" s="344"/>
      <c r="M1183" s="344"/>
      <c r="N1183" s="344"/>
      <c r="O1183" s="344"/>
      <c r="P1183" s="344"/>
      <c r="Q1183" s="344"/>
      <c r="R1183" s="344"/>
      <c r="S1183" s="344"/>
      <c r="T1183" s="344"/>
      <c r="U1183" s="344"/>
      <c r="V1183" s="344"/>
      <c r="W1183" s="344"/>
      <c r="X1183" s="344"/>
      <c r="Y1183" s="344"/>
      <c r="Z1183" s="344"/>
    </row>
    <row r="1184">
      <c r="A1184" s="129"/>
      <c r="B1184" s="9"/>
      <c r="C1184" s="9"/>
      <c r="D1184" s="473" t="s">
        <v>1687</v>
      </c>
      <c r="E1184" s="471" t="s">
        <v>1688</v>
      </c>
      <c r="F1184" s="466" t="s">
        <v>1074</v>
      </c>
      <c r="G1184" s="344"/>
      <c r="H1184" s="344"/>
      <c r="I1184" s="344"/>
      <c r="J1184" s="344"/>
      <c r="K1184" s="344"/>
      <c r="L1184" s="344"/>
      <c r="M1184" s="344"/>
      <c r="N1184" s="344"/>
      <c r="O1184" s="344"/>
      <c r="P1184" s="344"/>
      <c r="Q1184" s="344"/>
      <c r="R1184" s="344"/>
      <c r="S1184" s="344"/>
      <c r="T1184" s="344"/>
      <c r="U1184" s="344"/>
      <c r="V1184" s="344"/>
      <c r="W1184" s="344"/>
      <c r="X1184" s="344"/>
      <c r="Y1184" s="344"/>
      <c r="Z1184" s="344"/>
    </row>
    <row r="1185">
      <c r="A1185" s="129"/>
      <c r="B1185" s="9"/>
      <c r="C1185" s="9"/>
      <c r="D1185" s="473" t="s">
        <v>1550</v>
      </c>
      <c r="E1185" s="471" t="s">
        <v>1551</v>
      </c>
      <c r="F1185" s="466" t="s">
        <v>1074</v>
      </c>
      <c r="G1185" s="344"/>
      <c r="H1185" s="344"/>
      <c r="I1185" s="344"/>
      <c r="J1185" s="344"/>
      <c r="K1185" s="344"/>
      <c r="L1185" s="344"/>
      <c r="M1185" s="344"/>
      <c r="N1185" s="344"/>
      <c r="O1185" s="344"/>
      <c r="P1185" s="344"/>
      <c r="Q1185" s="344"/>
      <c r="R1185" s="344"/>
      <c r="S1185" s="344"/>
      <c r="T1185" s="344"/>
      <c r="U1185" s="344"/>
      <c r="V1185" s="344"/>
      <c r="W1185" s="344"/>
      <c r="X1185" s="344"/>
      <c r="Y1185" s="344"/>
      <c r="Z1185" s="344"/>
    </row>
    <row r="1186">
      <c r="A1186" s="129"/>
      <c r="B1186" s="9"/>
      <c r="C1186" s="9"/>
      <c r="D1186" s="473" t="s">
        <v>1527</v>
      </c>
      <c r="E1186" s="471" t="s">
        <v>1528</v>
      </c>
      <c r="F1186" s="466" t="s">
        <v>1074</v>
      </c>
      <c r="G1186" s="344"/>
      <c r="H1186" s="344"/>
      <c r="I1186" s="344"/>
      <c r="J1186" s="344"/>
      <c r="K1186" s="344"/>
      <c r="L1186" s="344"/>
      <c r="M1186" s="344"/>
      <c r="N1186" s="344"/>
      <c r="O1186" s="344"/>
      <c r="P1186" s="344"/>
      <c r="Q1186" s="344"/>
      <c r="R1186" s="344"/>
      <c r="S1186" s="344"/>
      <c r="T1186" s="344"/>
      <c r="U1186" s="344"/>
      <c r="V1186" s="344"/>
      <c r="W1186" s="344"/>
      <c r="X1186" s="344"/>
      <c r="Y1186" s="344"/>
      <c r="Z1186" s="344"/>
    </row>
    <row r="1187">
      <c r="A1187" s="129"/>
      <c r="B1187" s="9"/>
      <c r="C1187" s="9"/>
      <c r="D1187" s="473" t="s">
        <v>1622</v>
      </c>
      <c r="E1187" s="471" t="s">
        <v>1623</v>
      </c>
      <c r="F1187" s="466" t="s">
        <v>1074</v>
      </c>
      <c r="G1187" s="344"/>
      <c r="H1187" s="344"/>
      <c r="I1187" s="344"/>
      <c r="J1187" s="344"/>
      <c r="K1187" s="344"/>
      <c r="L1187" s="344"/>
      <c r="M1187" s="344"/>
      <c r="N1187" s="344"/>
      <c r="O1187" s="344"/>
      <c r="P1187" s="344"/>
      <c r="Q1187" s="344"/>
      <c r="R1187" s="344"/>
      <c r="S1187" s="344"/>
      <c r="T1187" s="344"/>
      <c r="U1187" s="344"/>
      <c r="V1187" s="344"/>
      <c r="W1187" s="344"/>
      <c r="X1187" s="344"/>
      <c r="Y1187" s="344"/>
      <c r="Z1187" s="344"/>
    </row>
    <row r="1188">
      <c r="A1188" s="129"/>
      <c r="B1188" s="9"/>
      <c r="C1188" s="11"/>
      <c r="D1188" s="473" t="s">
        <v>1164</v>
      </c>
      <c r="E1188" s="471" t="s">
        <v>1556</v>
      </c>
      <c r="F1188" s="466" t="s">
        <v>1074</v>
      </c>
      <c r="G1188" s="344"/>
      <c r="H1188" s="344"/>
      <c r="I1188" s="344"/>
      <c r="J1188" s="344"/>
      <c r="K1188" s="344"/>
      <c r="L1188" s="344"/>
      <c r="M1188" s="344"/>
      <c r="N1188" s="344"/>
      <c r="O1188" s="344"/>
      <c r="P1188" s="344"/>
      <c r="Q1188" s="344"/>
      <c r="R1188" s="344"/>
      <c r="S1188" s="344"/>
      <c r="T1188" s="344"/>
      <c r="U1188" s="344"/>
      <c r="V1188" s="344"/>
      <c r="W1188" s="344"/>
      <c r="X1188" s="344"/>
      <c r="Y1188" s="344"/>
      <c r="Z1188" s="344"/>
    </row>
    <row r="1189">
      <c r="A1189" s="129"/>
      <c r="B1189" s="9"/>
      <c r="C1189" s="460">
        <v>2022.0</v>
      </c>
      <c r="D1189" s="473" t="s">
        <v>1689</v>
      </c>
      <c r="E1189" s="471" t="s">
        <v>1690</v>
      </c>
      <c r="F1189" s="466" t="s">
        <v>1074</v>
      </c>
      <c r="G1189" s="344"/>
      <c r="H1189" s="344"/>
      <c r="I1189" s="344"/>
      <c r="J1189" s="344"/>
      <c r="K1189" s="344"/>
      <c r="L1189" s="344"/>
      <c r="M1189" s="344"/>
      <c r="N1189" s="344"/>
      <c r="O1189" s="344"/>
      <c r="P1189" s="344"/>
      <c r="Q1189" s="344"/>
      <c r="R1189" s="344"/>
      <c r="S1189" s="344"/>
      <c r="T1189" s="344"/>
      <c r="U1189" s="344"/>
      <c r="V1189" s="344"/>
      <c r="W1189" s="344"/>
      <c r="X1189" s="344"/>
      <c r="Y1189" s="344"/>
      <c r="Z1189" s="344"/>
    </row>
    <row r="1190">
      <c r="A1190" s="129"/>
      <c r="B1190" s="9"/>
      <c r="C1190" s="9"/>
      <c r="D1190" s="473" t="s">
        <v>1691</v>
      </c>
      <c r="E1190" s="471" t="s">
        <v>1692</v>
      </c>
      <c r="F1190" s="466" t="s">
        <v>1074</v>
      </c>
      <c r="G1190" s="344"/>
      <c r="H1190" s="344"/>
      <c r="I1190" s="344"/>
      <c r="J1190" s="344"/>
      <c r="K1190" s="344"/>
      <c r="L1190" s="344"/>
      <c r="M1190" s="344"/>
      <c r="N1190" s="344"/>
      <c r="O1190" s="344"/>
      <c r="P1190" s="344"/>
      <c r="Q1190" s="344"/>
      <c r="R1190" s="344"/>
      <c r="S1190" s="344"/>
      <c r="T1190" s="344"/>
      <c r="U1190" s="344"/>
      <c r="V1190" s="344"/>
      <c r="W1190" s="344"/>
      <c r="X1190" s="344"/>
      <c r="Y1190" s="344"/>
      <c r="Z1190" s="344"/>
    </row>
    <row r="1191">
      <c r="A1191" s="129"/>
      <c r="B1191" s="9"/>
      <c r="C1191" s="9"/>
      <c r="D1191" s="473" t="s">
        <v>1693</v>
      </c>
      <c r="E1191" s="471" t="s">
        <v>1694</v>
      </c>
      <c r="F1191" s="466" t="s">
        <v>1074</v>
      </c>
      <c r="G1191" s="344"/>
      <c r="H1191" s="344"/>
      <c r="I1191" s="344"/>
      <c r="J1191" s="344"/>
      <c r="K1191" s="344"/>
      <c r="L1191" s="344"/>
      <c r="M1191" s="344"/>
      <c r="N1191" s="344"/>
      <c r="O1191" s="344"/>
      <c r="P1191" s="344"/>
      <c r="Q1191" s="344"/>
      <c r="R1191" s="344"/>
      <c r="S1191" s="344"/>
      <c r="T1191" s="344"/>
      <c r="U1191" s="344"/>
      <c r="V1191" s="344"/>
      <c r="W1191" s="344"/>
      <c r="X1191" s="344"/>
      <c r="Y1191" s="344"/>
      <c r="Z1191" s="344"/>
    </row>
    <row r="1192">
      <c r="A1192" s="129"/>
      <c r="B1192" s="9"/>
      <c r="C1192" s="9"/>
      <c r="D1192" s="473" t="s">
        <v>1654</v>
      </c>
      <c r="E1192" s="471" t="s">
        <v>1188</v>
      </c>
      <c r="F1192" s="466" t="s">
        <v>1074</v>
      </c>
      <c r="G1192" s="344"/>
      <c r="H1192" s="344"/>
      <c r="I1192" s="344"/>
      <c r="J1192" s="344"/>
      <c r="K1192" s="344"/>
      <c r="L1192" s="344"/>
      <c r="M1192" s="344"/>
      <c r="N1192" s="344"/>
      <c r="O1192" s="344"/>
      <c r="P1192" s="344"/>
      <c r="Q1192" s="344"/>
      <c r="R1192" s="344"/>
      <c r="S1192" s="344"/>
      <c r="T1192" s="344"/>
      <c r="U1192" s="344"/>
      <c r="V1192" s="344"/>
      <c r="W1192" s="344"/>
      <c r="X1192" s="344"/>
      <c r="Y1192" s="344"/>
      <c r="Z1192" s="344"/>
    </row>
    <row r="1193">
      <c r="A1193" s="129"/>
      <c r="B1193" s="9"/>
      <c r="C1193" s="9"/>
      <c r="D1193" s="473" t="s">
        <v>1695</v>
      </c>
      <c r="E1193" s="471" t="s">
        <v>1518</v>
      </c>
      <c r="F1193" s="466" t="s">
        <v>1074</v>
      </c>
      <c r="G1193" s="344"/>
      <c r="H1193" s="344"/>
      <c r="I1193" s="344"/>
      <c r="J1193" s="344"/>
      <c r="K1193" s="344"/>
      <c r="L1193" s="344"/>
      <c r="M1193" s="344"/>
      <c r="N1193" s="344"/>
      <c r="O1193" s="344"/>
      <c r="P1193" s="344"/>
      <c r="Q1193" s="344"/>
      <c r="R1193" s="344"/>
      <c r="S1193" s="344"/>
      <c r="T1193" s="344"/>
      <c r="U1193" s="344"/>
      <c r="V1193" s="344"/>
      <c r="W1193" s="344"/>
      <c r="X1193" s="344"/>
      <c r="Y1193" s="344"/>
      <c r="Z1193" s="344"/>
    </row>
    <row r="1194">
      <c r="A1194" s="129"/>
      <c r="B1194" s="9"/>
      <c r="C1194" s="9"/>
      <c r="D1194" s="473" t="s">
        <v>1696</v>
      </c>
      <c r="E1194" s="471" t="s">
        <v>1697</v>
      </c>
      <c r="F1194" s="466" t="s">
        <v>1074</v>
      </c>
      <c r="G1194" s="344"/>
      <c r="H1194" s="344"/>
      <c r="I1194" s="344"/>
      <c r="J1194" s="344"/>
      <c r="K1194" s="344"/>
      <c r="L1194" s="344"/>
      <c r="M1194" s="344"/>
      <c r="N1194" s="344"/>
      <c r="O1194" s="344"/>
      <c r="P1194" s="344"/>
      <c r="Q1194" s="344"/>
      <c r="R1194" s="344"/>
      <c r="S1194" s="344"/>
      <c r="T1194" s="344"/>
      <c r="U1194" s="344"/>
      <c r="V1194" s="344"/>
      <c r="W1194" s="344"/>
      <c r="X1194" s="344"/>
      <c r="Y1194" s="344"/>
      <c r="Z1194" s="344"/>
    </row>
    <row r="1195">
      <c r="A1195" s="129"/>
      <c r="B1195" s="9"/>
      <c r="C1195" s="9"/>
      <c r="D1195" s="473" t="s">
        <v>1698</v>
      </c>
      <c r="E1195" s="471" t="s">
        <v>1699</v>
      </c>
      <c r="F1195" s="466" t="s">
        <v>1074</v>
      </c>
      <c r="G1195" s="344"/>
      <c r="H1195" s="344"/>
      <c r="I1195" s="344"/>
      <c r="J1195" s="344"/>
      <c r="K1195" s="344"/>
      <c r="L1195" s="344"/>
      <c r="M1195" s="344"/>
      <c r="N1195" s="344"/>
      <c r="O1195" s="344"/>
      <c r="P1195" s="344"/>
      <c r="Q1195" s="344"/>
      <c r="R1195" s="344"/>
      <c r="S1195" s="344"/>
      <c r="T1195" s="344"/>
      <c r="U1195" s="344"/>
      <c r="V1195" s="344"/>
      <c r="W1195" s="344"/>
      <c r="X1195" s="344"/>
      <c r="Y1195" s="344"/>
      <c r="Z1195" s="344"/>
    </row>
    <row r="1196">
      <c r="A1196" s="56"/>
      <c r="B1196" s="11"/>
      <c r="C1196" s="11"/>
      <c r="D1196" s="473" t="s">
        <v>1700</v>
      </c>
      <c r="E1196" s="471" t="s">
        <v>1701</v>
      </c>
      <c r="F1196" s="466" t="s">
        <v>1074</v>
      </c>
      <c r="G1196" s="344"/>
      <c r="H1196" s="344"/>
      <c r="I1196" s="344"/>
      <c r="J1196" s="344"/>
      <c r="K1196" s="344"/>
      <c r="L1196" s="344"/>
      <c r="M1196" s="344"/>
      <c r="N1196" s="344"/>
      <c r="O1196" s="344"/>
      <c r="P1196" s="344"/>
      <c r="Q1196" s="344"/>
      <c r="R1196" s="344"/>
      <c r="S1196" s="344"/>
      <c r="T1196" s="344"/>
      <c r="U1196" s="344"/>
      <c r="V1196" s="344"/>
      <c r="W1196" s="344"/>
      <c r="X1196" s="344"/>
      <c r="Y1196" s="344"/>
      <c r="Z1196" s="344"/>
    </row>
    <row r="1197">
      <c r="A1197" s="458">
        <v>70.0</v>
      </c>
      <c r="B1197" s="459" t="s">
        <v>607</v>
      </c>
      <c r="C1197" s="460">
        <v>2023.0</v>
      </c>
      <c r="D1197" s="473" t="s">
        <v>1702</v>
      </c>
      <c r="E1197" s="471" t="s">
        <v>1703</v>
      </c>
      <c r="F1197" s="466" t="s">
        <v>1074</v>
      </c>
      <c r="G1197" s="344"/>
      <c r="H1197" s="344"/>
      <c r="I1197" s="344"/>
      <c r="J1197" s="344"/>
      <c r="K1197" s="344"/>
      <c r="L1197" s="344"/>
      <c r="M1197" s="344"/>
      <c r="N1197" s="344"/>
      <c r="O1197" s="344"/>
      <c r="P1197" s="344"/>
      <c r="Q1197" s="344"/>
      <c r="R1197" s="344"/>
      <c r="S1197" s="344"/>
      <c r="T1197" s="344"/>
      <c r="U1197" s="344"/>
      <c r="V1197" s="344"/>
      <c r="W1197" s="344"/>
      <c r="X1197" s="344"/>
      <c r="Y1197" s="344"/>
      <c r="Z1197" s="344"/>
    </row>
    <row r="1198">
      <c r="A1198" s="129"/>
      <c r="B1198" s="9"/>
      <c r="C1198" s="9"/>
      <c r="D1198" s="473" t="s">
        <v>1252</v>
      </c>
      <c r="E1198" s="471" t="s">
        <v>1253</v>
      </c>
      <c r="F1198" s="466" t="s">
        <v>1074</v>
      </c>
      <c r="G1198" s="344"/>
      <c r="H1198" s="344"/>
      <c r="I1198" s="344"/>
      <c r="J1198" s="344"/>
      <c r="K1198" s="344"/>
      <c r="L1198" s="344"/>
      <c r="M1198" s="344"/>
      <c r="N1198" s="344"/>
      <c r="O1198" s="344"/>
      <c r="P1198" s="344"/>
      <c r="Q1198" s="344"/>
      <c r="R1198" s="344"/>
      <c r="S1198" s="344"/>
      <c r="T1198" s="344"/>
      <c r="U1198" s="344"/>
      <c r="V1198" s="344"/>
      <c r="W1198" s="344"/>
      <c r="X1198" s="344"/>
      <c r="Y1198" s="344"/>
      <c r="Z1198" s="344"/>
    </row>
    <row r="1199">
      <c r="A1199" s="129"/>
      <c r="B1199" s="9"/>
      <c r="C1199" s="9"/>
      <c r="D1199" s="473" t="s">
        <v>1704</v>
      </c>
      <c r="E1199" s="471" t="s">
        <v>1705</v>
      </c>
      <c r="F1199" s="466" t="s">
        <v>1074</v>
      </c>
      <c r="G1199" s="344"/>
      <c r="H1199" s="344"/>
      <c r="I1199" s="344"/>
      <c r="J1199" s="344"/>
      <c r="K1199" s="344"/>
      <c r="L1199" s="344"/>
      <c r="M1199" s="344"/>
      <c r="N1199" s="344"/>
      <c r="O1199" s="344"/>
      <c r="P1199" s="344"/>
      <c r="Q1199" s="344"/>
      <c r="R1199" s="344"/>
      <c r="S1199" s="344"/>
      <c r="T1199" s="344"/>
      <c r="U1199" s="344"/>
      <c r="V1199" s="344"/>
      <c r="W1199" s="344"/>
      <c r="X1199" s="344"/>
      <c r="Y1199" s="344"/>
      <c r="Z1199" s="344"/>
    </row>
    <row r="1200">
      <c r="A1200" s="129"/>
      <c r="B1200" s="9"/>
      <c r="C1200" s="11"/>
      <c r="D1200" s="473" t="s">
        <v>1706</v>
      </c>
      <c r="E1200" s="471" t="s">
        <v>1707</v>
      </c>
      <c r="F1200" s="466" t="s">
        <v>1074</v>
      </c>
      <c r="G1200" s="344"/>
      <c r="H1200" s="344"/>
      <c r="I1200" s="344"/>
      <c r="J1200" s="344"/>
      <c r="K1200" s="344"/>
      <c r="L1200" s="344"/>
      <c r="M1200" s="344"/>
      <c r="N1200" s="344"/>
      <c r="O1200" s="344"/>
      <c r="P1200" s="344"/>
      <c r="Q1200" s="344"/>
      <c r="R1200" s="344"/>
      <c r="S1200" s="344"/>
      <c r="T1200" s="344"/>
      <c r="U1200" s="344"/>
      <c r="V1200" s="344"/>
      <c r="W1200" s="344"/>
      <c r="X1200" s="344"/>
      <c r="Y1200" s="344"/>
      <c r="Z1200" s="344"/>
    </row>
    <row r="1201">
      <c r="A1201" s="129"/>
      <c r="B1201" s="9"/>
      <c r="C1201" s="460">
        <v>2022.0</v>
      </c>
      <c r="D1201" s="473" t="s">
        <v>1708</v>
      </c>
      <c r="E1201" s="471" t="s">
        <v>1709</v>
      </c>
      <c r="F1201" s="466" t="s">
        <v>1074</v>
      </c>
      <c r="G1201" s="344"/>
      <c r="H1201" s="344"/>
      <c r="I1201" s="344"/>
      <c r="J1201" s="344"/>
      <c r="K1201" s="344"/>
      <c r="L1201" s="344"/>
      <c r="M1201" s="344"/>
      <c r="N1201" s="344"/>
      <c r="O1201" s="344"/>
      <c r="P1201" s="344"/>
      <c r="Q1201" s="344"/>
      <c r="R1201" s="344"/>
      <c r="S1201" s="344"/>
      <c r="T1201" s="344"/>
      <c r="U1201" s="344"/>
      <c r="V1201" s="344"/>
      <c r="W1201" s="344"/>
      <c r="X1201" s="344"/>
      <c r="Y1201" s="344"/>
      <c r="Z1201" s="344"/>
    </row>
    <row r="1202">
      <c r="A1202" s="129"/>
      <c r="B1202" s="9"/>
      <c r="C1202" s="9"/>
      <c r="D1202" s="473" t="s">
        <v>1342</v>
      </c>
      <c r="E1202" s="471" t="s">
        <v>1710</v>
      </c>
      <c r="F1202" s="466" t="s">
        <v>1074</v>
      </c>
      <c r="G1202" s="344"/>
      <c r="H1202" s="344"/>
      <c r="I1202" s="344"/>
      <c r="J1202" s="344"/>
      <c r="K1202" s="344"/>
      <c r="L1202" s="344"/>
      <c r="M1202" s="344"/>
      <c r="N1202" s="344"/>
      <c r="O1202" s="344"/>
      <c r="P1202" s="344"/>
      <c r="Q1202" s="344"/>
      <c r="R1202" s="344"/>
      <c r="S1202" s="344"/>
      <c r="T1202" s="344"/>
      <c r="U1202" s="344"/>
      <c r="V1202" s="344"/>
      <c r="W1202" s="344"/>
      <c r="X1202" s="344"/>
      <c r="Y1202" s="344"/>
      <c r="Z1202" s="344"/>
    </row>
    <row r="1203">
      <c r="A1203" s="129"/>
      <c r="B1203" s="9"/>
      <c r="C1203" s="9"/>
      <c r="D1203" s="473" t="s">
        <v>1711</v>
      </c>
      <c r="E1203" s="471" t="s">
        <v>1712</v>
      </c>
      <c r="F1203" s="466" t="s">
        <v>1074</v>
      </c>
      <c r="G1203" s="344"/>
      <c r="H1203" s="344"/>
      <c r="I1203" s="344"/>
      <c r="J1203" s="344"/>
      <c r="K1203" s="344"/>
      <c r="L1203" s="344"/>
      <c r="M1203" s="344"/>
      <c r="N1203" s="344"/>
      <c r="O1203" s="344"/>
      <c r="P1203" s="344"/>
      <c r="Q1203" s="344"/>
      <c r="R1203" s="344"/>
      <c r="S1203" s="344"/>
      <c r="T1203" s="344"/>
      <c r="U1203" s="344"/>
      <c r="V1203" s="344"/>
      <c r="W1203" s="344"/>
      <c r="X1203" s="344"/>
      <c r="Y1203" s="344"/>
      <c r="Z1203" s="344"/>
    </row>
    <row r="1204">
      <c r="A1204" s="129"/>
      <c r="B1204" s="9"/>
      <c r="C1204" s="9"/>
      <c r="D1204" s="473" t="s">
        <v>1399</v>
      </c>
      <c r="E1204" s="471" t="s">
        <v>1713</v>
      </c>
      <c r="F1204" s="466" t="s">
        <v>1074</v>
      </c>
      <c r="G1204" s="344"/>
      <c r="H1204" s="344"/>
      <c r="I1204" s="344"/>
      <c r="J1204" s="344"/>
      <c r="K1204" s="344"/>
      <c r="L1204" s="344"/>
      <c r="M1204" s="344"/>
      <c r="N1204" s="344"/>
      <c r="O1204" s="344"/>
      <c r="P1204" s="344"/>
      <c r="Q1204" s="344"/>
      <c r="R1204" s="344"/>
      <c r="S1204" s="344"/>
      <c r="T1204" s="344"/>
      <c r="U1204" s="344"/>
      <c r="V1204" s="344"/>
      <c r="W1204" s="344"/>
      <c r="X1204" s="344"/>
      <c r="Y1204" s="344"/>
      <c r="Z1204" s="344"/>
    </row>
    <row r="1205">
      <c r="A1205" s="56"/>
      <c r="B1205" s="11"/>
      <c r="C1205" s="11"/>
      <c r="D1205" s="473" t="s">
        <v>1511</v>
      </c>
      <c r="E1205" s="471" t="s">
        <v>1512</v>
      </c>
      <c r="F1205" s="466" t="s">
        <v>1074</v>
      </c>
      <c r="G1205" s="344"/>
      <c r="H1205" s="344"/>
      <c r="I1205" s="344"/>
      <c r="J1205" s="344"/>
      <c r="K1205" s="344"/>
      <c r="L1205" s="344"/>
      <c r="M1205" s="344"/>
      <c r="N1205" s="344"/>
      <c r="O1205" s="344"/>
      <c r="P1205" s="344"/>
      <c r="Q1205" s="344"/>
      <c r="R1205" s="344"/>
      <c r="S1205" s="344"/>
      <c r="T1205" s="344"/>
      <c r="U1205" s="344"/>
      <c r="V1205" s="344"/>
      <c r="W1205" s="344"/>
      <c r="X1205" s="344"/>
      <c r="Y1205" s="344"/>
      <c r="Z1205" s="344"/>
    </row>
    <row r="1206">
      <c r="A1206" s="458">
        <v>71.0</v>
      </c>
      <c r="B1206" s="459" t="s">
        <v>608</v>
      </c>
      <c r="C1206" s="460">
        <v>2024.0</v>
      </c>
      <c r="D1206" s="473" t="s">
        <v>1714</v>
      </c>
      <c r="E1206" s="471" t="s">
        <v>1715</v>
      </c>
      <c r="F1206" s="466" t="s">
        <v>1074</v>
      </c>
      <c r="G1206" s="344"/>
      <c r="H1206" s="344"/>
      <c r="I1206" s="344"/>
      <c r="J1206" s="344"/>
      <c r="K1206" s="344"/>
      <c r="L1206" s="344"/>
      <c r="M1206" s="344"/>
      <c r="N1206" s="344"/>
      <c r="O1206" s="344"/>
      <c r="P1206" s="344"/>
      <c r="Q1206" s="344"/>
      <c r="R1206" s="344"/>
      <c r="S1206" s="344"/>
      <c r="T1206" s="344"/>
      <c r="U1206" s="344"/>
      <c r="V1206" s="344"/>
      <c r="W1206" s="344"/>
      <c r="X1206" s="344"/>
      <c r="Y1206" s="344"/>
      <c r="Z1206" s="344"/>
    </row>
    <row r="1207">
      <c r="A1207" s="129"/>
      <c r="B1207" s="9"/>
      <c r="C1207" s="11"/>
      <c r="D1207" s="473" t="s">
        <v>1669</v>
      </c>
      <c r="E1207" s="471" t="s">
        <v>1670</v>
      </c>
      <c r="F1207" s="466" t="s">
        <v>1074</v>
      </c>
      <c r="G1207" s="344"/>
      <c r="H1207" s="344"/>
      <c r="I1207" s="344"/>
      <c r="J1207" s="344"/>
      <c r="K1207" s="344"/>
      <c r="L1207" s="344"/>
      <c r="M1207" s="344"/>
      <c r="N1207" s="344"/>
      <c r="O1207" s="344"/>
      <c r="P1207" s="344"/>
      <c r="Q1207" s="344"/>
      <c r="R1207" s="344"/>
      <c r="S1207" s="344"/>
      <c r="T1207" s="344"/>
      <c r="U1207" s="344"/>
      <c r="V1207" s="344"/>
      <c r="W1207" s="344"/>
      <c r="X1207" s="344"/>
      <c r="Y1207" s="344"/>
      <c r="Z1207" s="344"/>
    </row>
    <row r="1208">
      <c r="A1208" s="129"/>
      <c r="B1208" s="9"/>
      <c r="C1208" s="460">
        <v>2023.0</v>
      </c>
      <c r="D1208" s="473" t="s">
        <v>1716</v>
      </c>
      <c r="E1208" s="471" t="s">
        <v>1717</v>
      </c>
      <c r="F1208" s="466" t="s">
        <v>1074</v>
      </c>
      <c r="G1208" s="344"/>
      <c r="H1208" s="344"/>
      <c r="I1208" s="344"/>
      <c r="J1208" s="344"/>
      <c r="K1208" s="344"/>
      <c r="L1208" s="344"/>
      <c r="M1208" s="344"/>
      <c r="N1208" s="344"/>
      <c r="O1208" s="344"/>
      <c r="P1208" s="344"/>
      <c r="Q1208" s="344"/>
      <c r="R1208" s="344"/>
      <c r="S1208" s="344"/>
      <c r="T1208" s="344"/>
      <c r="U1208" s="344"/>
      <c r="V1208" s="344"/>
      <c r="W1208" s="344"/>
      <c r="X1208" s="344"/>
      <c r="Y1208" s="344"/>
      <c r="Z1208" s="344"/>
    </row>
    <row r="1209">
      <c r="A1209" s="129"/>
      <c r="B1209" s="9"/>
      <c r="C1209" s="9"/>
      <c r="D1209" s="473" t="s">
        <v>1573</v>
      </c>
      <c r="E1209" s="471" t="s">
        <v>1574</v>
      </c>
      <c r="F1209" s="466" t="s">
        <v>1074</v>
      </c>
      <c r="G1209" s="344"/>
      <c r="H1209" s="344"/>
      <c r="I1209" s="344"/>
      <c r="J1209" s="344"/>
      <c r="K1209" s="344"/>
      <c r="L1209" s="344"/>
      <c r="M1209" s="344"/>
      <c r="N1209" s="344"/>
      <c r="O1209" s="344"/>
      <c r="P1209" s="344"/>
      <c r="Q1209" s="344"/>
      <c r="R1209" s="344"/>
      <c r="S1209" s="344"/>
      <c r="T1209" s="344"/>
      <c r="U1209" s="344"/>
      <c r="V1209" s="344"/>
      <c r="W1209" s="344"/>
      <c r="X1209" s="344"/>
      <c r="Y1209" s="344"/>
      <c r="Z1209" s="344"/>
    </row>
    <row r="1210">
      <c r="A1210" s="129"/>
      <c r="B1210" s="9"/>
      <c r="C1210" s="9"/>
      <c r="D1210" s="473" t="s">
        <v>1645</v>
      </c>
      <c r="E1210" s="471" t="s">
        <v>1646</v>
      </c>
      <c r="F1210" s="466" t="s">
        <v>1074</v>
      </c>
      <c r="G1210" s="344"/>
      <c r="H1210" s="344"/>
      <c r="I1210" s="344"/>
      <c r="J1210" s="344"/>
      <c r="K1210" s="344"/>
      <c r="L1210" s="344"/>
      <c r="M1210" s="344"/>
      <c r="N1210" s="344"/>
      <c r="O1210" s="344"/>
      <c r="P1210" s="344"/>
      <c r="Q1210" s="344"/>
      <c r="R1210" s="344"/>
      <c r="S1210" s="344"/>
      <c r="T1210" s="344"/>
      <c r="U1210" s="344"/>
      <c r="V1210" s="344"/>
      <c r="W1210" s="344"/>
      <c r="X1210" s="344"/>
      <c r="Y1210" s="344"/>
      <c r="Z1210" s="344"/>
    </row>
    <row r="1211">
      <c r="A1211" s="129"/>
      <c r="B1211" s="9"/>
      <c r="C1211" s="9"/>
      <c r="D1211" s="473" t="s">
        <v>1718</v>
      </c>
      <c r="E1211" s="471" t="s">
        <v>1719</v>
      </c>
      <c r="F1211" s="466" t="s">
        <v>1074</v>
      </c>
      <c r="G1211" s="344"/>
      <c r="H1211" s="344"/>
      <c r="I1211" s="344"/>
      <c r="J1211" s="344"/>
      <c r="K1211" s="344"/>
      <c r="L1211" s="344"/>
      <c r="M1211" s="344"/>
      <c r="N1211" s="344"/>
      <c r="O1211" s="344"/>
      <c r="P1211" s="344"/>
      <c r="Q1211" s="344"/>
      <c r="R1211" s="344"/>
      <c r="S1211" s="344"/>
      <c r="T1211" s="344"/>
      <c r="U1211" s="344"/>
      <c r="V1211" s="344"/>
      <c r="W1211" s="344"/>
      <c r="X1211" s="344"/>
      <c r="Y1211" s="344"/>
      <c r="Z1211" s="344"/>
    </row>
    <row r="1212">
      <c r="A1212" s="129"/>
      <c r="B1212" s="9"/>
      <c r="C1212" s="9"/>
      <c r="D1212" s="473" t="s">
        <v>1181</v>
      </c>
      <c r="E1212" s="471" t="s">
        <v>1223</v>
      </c>
      <c r="F1212" s="466" t="s">
        <v>1074</v>
      </c>
      <c r="G1212" s="344"/>
      <c r="H1212" s="344"/>
      <c r="I1212" s="344"/>
      <c r="J1212" s="344"/>
      <c r="K1212" s="344"/>
      <c r="L1212" s="344"/>
      <c r="M1212" s="344"/>
      <c r="N1212" s="344"/>
      <c r="O1212" s="344"/>
      <c r="P1212" s="344"/>
      <c r="Q1212" s="344"/>
      <c r="R1212" s="344"/>
      <c r="S1212" s="344"/>
      <c r="T1212" s="344"/>
      <c r="U1212" s="344"/>
      <c r="V1212" s="344"/>
      <c r="W1212" s="344"/>
      <c r="X1212" s="344"/>
      <c r="Y1212" s="344"/>
      <c r="Z1212" s="344"/>
    </row>
    <row r="1213">
      <c r="A1213" s="129"/>
      <c r="B1213" s="9"/>
      <c r="C1213" s="9"/>
      <c r="D1213" s="473" t="s">
        <v>1183</v>
      </c>
      <c r="E1213" s="471" t="s">
        <v>1184</v>
      </c>
      <c r="F1213" s="466" t="s">
        <v>1074</v>
      </c>
      <c r="G1213" s="344"/>
      <c r="H1213" s="344"/>
      <c r="I1213" s="344"/>
      <c r="J1213" s="344"/>
      <c r="K1213" s="344"/>
      <c r="L1213" s="344"/>
      <c r="M1213" s="344"/>
      <c r="N1213" s="344"/>
      <c r="O1213" s="344"/>
      <c r="P1213" s="344"/>
      <c r="Q1213" s="344"/>
      <c r="R1213" s="344"/>
      <c r="S1213" s="344"/>
      <c r="T1213" s="344"/>
      <c r="U1213" s="344"/>
      <c r="V1213" s="344"/>
      <c r="W1213" s="344"/>
      <c r="X1213" s="344"/>
      <c r="Y1213" s="344"/>
      <c r="Z1213" s="344"/>
    </row>
    <row r="1214">
      <c r="A1214" s="129"/>
      <c r="B1214" s="9"/>
      <c r="C1214" s="9"/>
      <c r="D1214" s="473" t="s">
        <v>1720</v>
      </c>
      <c r="E1214" s="471" t="s">
        <v>1721</v>
      </c>
      <c r="F1214" s="466" t="s">
        <v>1074</v>
      </c>
      <c r="G1214" s="344"/>
      <c r="H1214" s="344"/>
      <c r="I1214" s="344"/>
      <c r="J1214" s="344"/>
      <c r="K1214" s="344"/>
      <c r="L1214" s="344"/>
      <c r="M1214" s="344"/>
      <c r="N1214" s="344"/>
      <c r="O1214" s="344"/>
      <c r="P1214" s="344"/>
      <c r="Q1214" s="344"/>
      <c r="R1214" s="344"/>
      <c r="S1214" s="344"/>
      <c r="T1214" s="344"/>
      <c r="U1214" s="344"/>
      <c r="V1214" s="344"/>
      <c r="W1214" s="344"/>
      <c r="X1214" s="344"/>
      <c r="Y1214" s="344"/>
      <c r="Z1214" s="344"/>
    </row>
    <row r="1215">
      <c r="A1215" s="129"/>
      <c r="B1215" s="9"/>
      <c r="C1215" s="11"/>
      <c r="D1215" s="473" t="s">
        <v>1722</v>
      </c>
      <c r="E1215" s="471" t="s">
        <v>1723</v>
      </c>
      <c r="F1215" s="466" t="s">
        <v>1074</v>
      </c>
      <c r="G1215" s="344"/>
      <c r="H1215" s="344"/>
      <c r="I1215" s="344"/>
      <c r="J1215" s="344"/>
      <c r="K1215" s="344"/>
      <c r="L1215" s="344"/>
      <c r="M1215" s="344"/>
      <c r="N1215" s="344"/>
      <c r="O1215" s="344"/>
      <c r="P1215" s="344"/>
      <c r="Q1215" s="344"/>
      <c r="R1215" s="344"/>
      <c r="S1215" s="344"/>
      <c r="T1215" s="344"/>
      <c r="U1215" s="344"/>
      <c r="V1215" s="344"/>
      <c r="W1215" s="344"/>
      <c r="X1215" s="344"/>
      <c r="Y1215" s="344"/>
      <c r="Z1215" s="344"/>
    </row>
    <row r="1216">
      <c r="A1216" s="129"/>
      <c r="B1216" s="9"/>
      <c r="C1216" s="460">
        <v>2022.0</v>
      </c>
      <c r="D1216" s="473" t="s">
        <v>1185</v>
      </c>
      <c r="E1216" s="471" t="s">
        <v>1186</v>
      </c>
      <c r="F1216" s="466" t="s">
        <v>1074</v>
      </c>
      <c r="G1216" s="344"/>
      <c r="H1216" s="344"/>
      <c r="I1216" s="344"/>
      <c r="J1216" s="344"/>
      <c r="K1216" s="344"/>
      <c r="L1216" s="344"/>
      <c r="M1216" s="344"/>
      <c r="N1216" s="344"/>
      <c r="O1216" s="344"/>
      <c r="P1216" s="344"/>
      <c r="Q1216" s="344"/>
      <c r="R1216" s="344"/>
      <c r="S1216" s="344"/>
      <c r="T1216" s="344"/>
      <c r="U1216" s="344"/>
      <c r="V1216" s="344"/>
      <c r="W1216" s="344"/>
      <c r="X1216" s="344"/>
      <c r="Y1216" s="344"/>
      <c r="Z1216" s="344"/>
    </row>
    <row r="1217">
      <c r="A1217" s="129"/>
      <c r="B1217" s="9"/>
      <c r="C1217" s="9"/>
      <c r="D1217" s="473" t="s">
        <v>1086</v>
      </c>
      <c r="E1217" s="471" t="s">
        <v>1724</v>
      </c>
      <c r="F1217" s="466" t="s">
        <v>1074</v>
      </c>
      <c r="G1217" s="344"/>
      <c r="H1217" s="344"/>
      <c r="I1217" s="344"/>
      <c r="J1217" s="344"/>
      <c r="K1217" s="344"/>
      <c r="L1217" s="344"/>
      <c r="M1217" s="344"/>
      <c r="N1217" s="344"/>
      <c r="O1217" s="344"/>
      <c r="P1217" s="344"/>
      <c r="Q1217" s="344"/>
      <c r="R1217" s="344"/>
      <c r="S1217" s="344"/>
      <c r="T1217" s="344"/>
      <c r="U1217" s="344"/>
      <c r="V1217" s="344"/>
      <c r="W1217" s="344"/>
      <c r="X1217" s="344"/>
      <c r="Y1217" s="344"/>
      <c r="Z1217" s="344"/>
    </row>
    <row r="1218">
      <c r="A1218" s="129"/>
      <c r="B1218" s="9"/>
      <c r="C1218" s="9"/>
      <c r="D1218" s="473" t="s">
        <v>1725</v>
      </c>
      <c r="E1218" s="471" t="s">
        <v>1726</v>
      </c>
      <c r="F1218" s="466" t="s">
        <v>1074</v>
      </c>
      <c r="G1218" s="344"/>
      <c r="H1218" s="344"/>
      <c r="I1218" s="344"/>
      <c r="J1218" s="344"/>
      <c r="K1218" s="344"/>
      <c r="L1218" s="344"/>
      <c r="M1218" s="344"/>
      <c r="N1218" s="344"/>
      <c r="O1218" s="344"/>
      <c r="P1218" s="344"/>
      <c r="Q1218" s="344"/>
      <c r="R1218" s="344"/>
      <c r="S1218" s="344"/>
      <c r="T1218" s="344"/>
      <c r="U1218" s="344"/>
      <c r="V1218" s="344"/>
      <c r="W1218" s="344"/>
      <c r="X1218" s="344"/>
      <c r="Y1218" s="344"/>
      <c r="Z1218" s="344"/>
    </row>
    <row r="1219">
      <c r="A1219" s="56"/>
      <c r="B1219" s="11"/>
      <c r="C1219" s="11"/>
      <c r="D1219" s="473" t="s">
        <v>1727</v>
      </c>
      <c r="E1219" s="471" t="s">
        <v>1728</v>
      </c>
      <c r="F1219" s="466" t="s">
        <v>1074</v>
      </c>
      <c r="G1219" s="344"/>
      <c r="H1219" s="344"/>
      <c r="I1219" s="344"/>
      <c r="J1219" s="344"/>
      <c r="K1219" s="344"/>
      <c r="L1219" s="344"/>
      <c r="M1219" s="344"/>
      <c r="N1219" s="344"/>
      <c r="O1219" s="344"/>
      <c r="P1219" s="344"/>
      <c r="Q1219" s="344"/>
      <c r="R1219" s="344"/>
      <c r="S1219" s="344"/>
      <c r="T1219" s="344"/>
      <c r="U1219" s="344"/>
      <c r="V1219" s="344"/>
      <c r="W1219" s="344"/>
      <c r="X1219" s="344"/>
      <c r="Y1219" s="344"/>
      <c r="Z1219" s="344"/>
    </row>
    <row r="1220">
      <c r="A1220" s="344"/>
      <c r="B1220" s="344"/>
      <c r="C1220" s="344"/>
      <c r="D1220" s="344"/>
      <c r="E1220" s="344"/>
      <c r="F1220" s="348"/>
      <c r="G1220" s="344"/>
      <c r="H1220" s="344"/>
      <c r="I1220" s="344"/>
      <c r="J1220" s="344"/>
      <c r="K1220" s="344"/>
      <c r="L1220" s="344"/>
      <c r="M1220" s="344"/>
      <c r="N1220" s="344"/>
      <c r="O1220" s="344"/>
      <c r="P1220" s="344"/>
      <c r="Q1220" s="344"/>
      <c r="R1220" s="344"/>
      <c r="S1220" s="344"/>
      <c r="T1220" s="344"/>
      <c r="U1220" s="344"/>
      <c r="V1220" s="344"/>
      <c r="W1220" s="344"/>
      <c r="X1220" s="344"/>
      <c r="Y1220" s="344"/>
      <c r="Z1220" s="344"/>
    </row>
    <row r="1221">
      <c r="A1221" s="344"/>
      <c r="B1221" s="344"/>
      <c r="C1221" s="344"/>
      <c r="D1221" s="344"/>
      <c r="E1221" s="344"/>
      <c r="F1221" s="348"/>
      <c r="G1221" s="344"/>
      <c r="H1221" s="344"/>
      <c r="I1221" s="344"/>
      <c r="J1221" s="344"/>
      <c r="K1221" s="344"/>
      <c r="L1221" s="344"/>
      <c r="M1221" s="344"/>
      <c r="N1221" s="344"/>
      <c r="O1221" s="344"/>
      <c r="P1221" s="344"/>
      <c r="Q1221" s="344"/>
      <c r="R1221" s="344"/>
      <c r="S1221" s="344"/>
      <c r="T1221" s="344"/>
      <c r="U1221" s="344"/>
      <c r="V1221" s="344"/>
      <c r="W1221" s="344"/>
      <c r="X1221" s="344"/>
      <c r="Y1221" s="344"/>
      <c r="Z1221" s="344"/>
    </row>
    <row r="1222">
      <c r="A1222" s="341" t="s">
        <v>1729</v>
      </c>
      <c r="B1222" s="344"/>
      <c r="C1222" s="344"/>
      <c r="D1222" s="344"/>
      <c r="E1222" s="344"/>
      <c r="F1222" s="348"/>
      <c r="G1222" s="344"/>
      <c r="H1222" s="344"/>
      <c r="I1222" s="344"/>
      <c r="J1222" s="344"/>
      <c r="K1222" s="344"/>
      <c r="L1222" s="344"/>
      <c r="M1222" s="344"/>
      <c r="N1222" s="344"/>
      <c r="O1222" s="344"/>
      <c r="P1222" s="344"/>
      <c r="Q1222" s="344"/>
      <c r="R1222" s="344"/>
      <c r="S1222" s="344"/>
      <c r="T1222" s="344"/>
      <c r="U1222" s="344"/>
      <c r="V1222" s="344"/>
      <c r="W1222" s="344"/>
      <c r="X1222" s="344"/>
      <c r="Y1222" s="344"/>
      <c r="Z1222" s="344"/>
    </row>
    <row r="1223">
      <c r="A1223" s="477" t="s">
        <v>0</v>
      </c>
      <c r="B1223" s="477" t="s">
        <v>270</v>
      </c>
      <c r="C1223" s="478" t="s">
        <v>1730</v>
      </c>
      <c r="D1223" s="478" t="s">
        <v>1731</v>
      </c>
      <c r="E1223" s="344"/>
      <c r="F1223" s="348"/>
      <c r="G1223" s="344"/>
      <c r="H1223" s="344"/>
      <c r="I1223" s="344"/>
      <c r="J1223" s="344"/>
      <c r="K1223" s="344"/>
      <c r="L1223" s="344"/>
      <c r="M1223" s="344"/>
      <c r="N1223" s="344"/>
      <c r="O1223" s="344"/>
      <c r="P1223" s="344"/>
      <c r="Q1223" s="344"/>
      <c r="R1223" s="344"/>
      <c r="S1223" s="344"/>
      <c r="T1223" s="344"/>
      <c r="U1223" s="344"/>
      <c r="V1223" s="344"/>
      <c r="W1223" s="344"/>
      <c r="X1223" s="344"/>
      <c r="Y1223" s="344"/>
      <c r="Z1223" s="344"/>
    </row>
    <row r="1224">
      <c r="A1224" s="479">
        <v>1.0</v>
      </c>
      <c r="B1224" s="480" t="s">
        <v>535</v>
      </c>
      <c r="C1224" s="481" t="s">
        <v>1732</v>
      </c>
      <c r="D1224" s="482">
        <v>2022.0</v>
      </c>
      <c r="E1224" s="344"/>
      <c r="F1224" s="348"/>
      <c r="G1224" s="344"/>
      <c r="H1224" s="344"/>
      <c r="I1224" s="344"/>
      <c r="J1224" s="344"/>
      <c r="K1224" s="344"/>
      <c r="L1224" s="344"/>
      <c r="M1224" s="344"/>
      <c r="N1224" s="344"/>
      <c r="O1224" s="344"/>
      <c r="P1224" s="344"/>
      <c r="Q1224" s="344"/>
      <c r="R1224" s="344"/>
      <c r="S1224" s="344"/>
      <c r="T1224" s="344"/>
      <c r="U1224" s="344"/>
      <c r="V1224" s="344"/>
      <c r="W1224" s="344"/>
      <c r="X1224" s="344"/>
      <c r="Y1224" s="344"/>
      <c r="Z1224" s="344"/>
    </row>
    <row r="1225">
      <c r="A1225" s="129"/>
      <c r="B1225" s="129"/>
      <c r="C1225" s="481" t="s">
        <v>1733</v>
      </c>
      <c r="D1225" s="482">
        <v>2022.0</v>
      </c>
      <c r="E1225" s="344"/>
      <c r="F1225" s="348"/>
      <c r="G1225" s="344"/>
      <c r="H1225" s="344"/>
      <c r="I1225" s="344"/>
      <c r="J1225" s="344"/>
      <c r="K1225" s="344"/>
      <c r="L1225" s="344"/>
      <c r="M1225" s="344"/>
      <c r="N1225" s="344"/>
      <c r="O1225" s="344"/>
      <c r="P1225" s="344"/>
      <c r="Q1225" s="344"/>
      <c r="R1225" s="344"/>
      <c r="S1225" s="344"/>
      <c r="T1225" s="344"/>
      <c r="U1225" s="344"/>
      <c r="V1225" s="344"/>
      <c r="W1225" s="344"/>
      <c r="X1225" s="344"/>
      <c r="Y1225" s="344"/>
      <c r="Z1225" s="344"/>
    </row>
    <row r="1226">
      <c r="A1226" s="129"/>
      <c r="B1226" s="129"/>
      <c r="C1226" s="481" t="s">
        <v>1734</v>
      </c>
      <c r="D1226" s="482">
        <v>2022.0</v>
      </c>
      <c r="E1226" s="344"/>
      <c r="F1226" s="348"/>
      <c r="G1226" s="344"/>
      <c r="H1226" s="344"/>
      <c r="I1226" s="344"/>
      <c r="J1226" s="344"/>
      <c r="K1226" s="344"/>
      <c r="L1226" s="344"/>
      <c r="M1226" s="344"/>
      <c r="N1226" s="344"/>
      <c r="O1226" s="344"/>
      <c r="P1226" s="344"/>
      <c r="Q1226" s="344"/>
      <c r="R1226" s="344"/>
      <c r="S1226" s="344"/>
      <c r="T1226" s="344"/>
      <c r="U1226" s="344"/>
      <c r="V1226" s="344"/>
      <c r="W1226" s="344"/>
      <c r="X1226" s="344"/>
      <c r="Y1226" s="344"/>
      <c r="Z1226" s="344"/>
    </row>
    <row r="1227">
      <c r="A1227" s="56"/>
      <c r="B1227" s="56"/>
      <c r="C1227" s="481" t="s">
        <v>1735</v>
      </c>
      <c r="D1227" s="482">
        <v>2022.0</v>
      </c>
      <c r="E1227" s="344"/>
      <c r="F1227" s="348"/>
      <c r="G1227" s="344"/>
      <c r="H1227" s="344"/>
      <c r="I1227" s="344"/>
      <c r="J1227" s="344"/>
      <c r="K1227" s="344"/>
      <c r="L1227" s="344"/>
      <c r="M1227" s="344"/>
      <c r="N1227" s="344"/>
      <c r="O1227" s="344"/>
      <c r="P1227" s="344"/>
      <c r="Q1227" s="344"/>
      <c r="R1227" s="344"/>
      <c r="S1227" s="344"/>
      <c r="T1227" s="344"/>
      <c r="U1227" s="344"/>
      <c r="V1227" s="344"/>
      <c r="W1227" s="344"/>
      <c r="X1227" s="344"/>
      <c r="Y1227" s="344"/>
      <c r="Z1227" s="344"/>
    </row>
    <row r="1228">
      <c r="A1228" s="188">
        <v>2.0</v>
      </c>
      <c r="B1228" s="189" t="s">
        <v>731</v>
      </c>
      <c r="C1228" s="375" t="s">
        <v>290</v>
      </c>
      <c r="D1228" s="481"/>
      <c r="E1228" s="344"/>
      <c r="F1228" s="348"/>
      <c r="G1228" s="344"/>
      <c r="H1228" s="344"/>
      <c r="I1228" s="344"/>
      <c r="J1228" s="344"/>
      <c r="K1228" s="344"/>
      <c r="L1228" s="344"/>
      <c r="M1228" s="344"/>
      <c r="N1228" s="344"/>
      <c r="O1228" s="344"/>
      <c r="P1228" s="344"/>
      <c r="Q1228" s="344"/>
      <c r="R1228" s="344"/>
      <c r="S1228" s="344"/>
      <c r="T1228" s="344"/>
      <c r="U1228" s="344"/>
      <c r="V1228" s="344"/>
      <c r="W1228" s="344"/>
      <c r="X1228" s="344"/>
      <c r="Y1228" s="344"/>
      <c r="Z1228" s="344"/>
    </row>
    <row r="1229">
      <c r="A1229" s="188">
        <v>3.0</v>
      </c>
      <c r="B1229" s="189" t="s">
        <v>540</v>
      </c>
      <c r="C1229" s="375" t="s">
        <v>290</v>
      </c>
      <c r="D1229" s="481"/>
      <c r="E1229" s="344"/>
      <c r="F1229" s="348"/>
      <c r="G1229" s="344"/>
      <c r="H1229" s="344"/>
      <c r="I1229" s="344"/>
      <c r="J1229" s="344"/>
      <c r="K1229" s="344"/>
      <c r="L1229" s="344"/>
      <c r="M1229" s="344"/>
      <c r="N1229" s="344"/>
      <c r="O1229" s="344"/>
      <c r="P1229" s="344"/>
      <c r="Q1229" s="344"/>
      <c r="R1229" s="344"/>
      <c r="S1229" s="344"/>
      <c r="T1229" s="344"/>
      <c r="U1229" s="344"/>
      <c r="V1229" s="344"/>
      <c r="W1229" s="344"/>
      <c r="X1229" s="344"/>
      <c r="Y1229" s="344"/>
      <c r="Z1229" s="344"/>
    </row>
    <row r="1230">
      <c r="A1230" s="188">
        <v>4.0</v>
      </c>
      <c r="B1230" s="189" t="s">
        <v>733</v>
      </c>
      <c r="C1230" s="375" t="s">
        <v>290</v>
      </c>
      <c r="D1230" s="481"/>
      <c r="E1230" s="344"/>
      <c r="F1230" s="348"/>
      <c r="G1230" s="344"/>
      <c r="H1230" s="344"/>
      <c r="I1230" s="344"/>
      <c r="J1230" s="344"/>
      <c r="K1230" s="344"/>
      <c r="L1230" s="344"/>
      <c r="M1230" s="344"/>
      <c r="N1230" s="344"/>
      <c r="O1230" s="344"/>
      <c r="P1230" s="344"/>
      <c r="Q1230" s="344"/>
      <c r="R1230" s="344"/>
      <c r="S1230" s="344"/>
      <c r="T1230" s="344"/>
      <c r="U1230" s="344"/>
      <c r="V1230" s="344"/>
      <c r="W1230" s="344"/>
      <c r="X1230" s="344"/>
      <c r="Y1230" s="344"/>
      <c r="Z1230" s="344"/>
    </row>
    <row r="1231">
      <c r="A1231" s="479">
        <v>5.0</v>
      </c>
      <c r="B1231" s="480" t="s">
        <v>639</v>
      </c>
      <c r="C1231" s="481" t="s">
        <v>1736</v>
      </c>
      <c r="D1231" s="482">
        <v>2022.0</v>
      </c>
      <c r="E1231" s="344"/>
      <c r="F1231" s="348"/>
      <c r="G1231" s="344"/>
      <c r="H1231" s="344"/>
      <c r="I1231" s="344"/>
      <c r="J1231" s="344"/>
      <c r="K1231" s="344"/>
      <c r="L1231" s="344"/>
      <c r="M1231" s="344"/>
      <c r="N1231" s="344"/>
      <c r="O1231" s="344"/>
      <c r="P1231" s="344"/>
      <c r="Q1231" s="344"/>
      <c r="R1231" s="344"/>
      <c r="S1231" s="344"/>
      <c r="T1231" s="344"/>
      <c r="U1231" s="344"/>
      <c r="V1231" s="344"/>
      <c r="W1231" s="344"/>
      <c r="X1231" s="344"/>
      <c r="Y1231" s="344"/>
      <c r="Z1231" s="344"/>
    </row>
    <row r="1232">
      <c r="A1232" s="129"/>
      <c r="B1232" s="129"/>
      <c r="C1232" s="481" t="s">
        <v>1737</v>
      </c>
      <c r="D1232" s="482">
        <v>2022.0</v>
      </c>
      <c r="E1232" s="344"/>
      <c r="F1232" s="348"/>
      <c r="G1232" s="344"/>
      <c r="H1232" s="344"/>
      <c r="I1232" s="344"/>
      <c r="J1232" s="344"/>
      <c r="K1232" s="344"/>
      <c r="L1232" s="344"/>
      <c r="M1232" s="344"/>
      <c r="N1232" s="344"/>
      <c r="O1232" s="344"/>
      <c r="P1232" s="344"/>
      <c r="Q1232" s="344"/>
      <c r="R1232" s="344"/>
      <c r="S1232" s="344"/>
      <c r="T1232" s="344"/>
      <c r="U1232" s="344"/>
      <c r="V1232" s="344"/>
      <c r="W1232" s="344"/>
      <c r="X1232" s="344"/>
      <c r="Y1232" s="344"/>
      <c r="Z1232" s="344"/>
    </row>
    <row r="1233">
      <c r="A1233" s="129"/>
      <c r="B1233" s="129"/>
      <c r="C1233" s="481" t="s">
        <v>1738</v>
      </c>
      <c r="D1233" s="482">
        <v>2023.0</v>
      </c>
      <c r="E1233" s="344"/>
      <c r="F1233" s="348"/>
      <c r="G1233" s="344"/>
      <c r="H1233" s="344"/>
      <c r="I1233" s="344"/>
      <c r="J1233" s="344"/>
      <c r="K1233" s="344"/>
      <c r="L1233" s="344"/>
      <c r="M1233" s="344"/>
      <c r="N1233" s="344"/>
      <c r="O1233" s="344"/>
      <c r="P1233" s="344"/>
      <c r="Q1233" s="344"/>
      <c r="R1233" s="344"/>
      <c r="S1233" s="344"/>
      <c r="T1233" s="344"/>
      <c r="U1233" s="344"/>
      <c r="V1233" s="344"/>
      <c r="W1233" s="344"/>
      <c r="X1233" s="344"/>
      <c r="Y1233" s="344"/>
      <c r="Z1233" s="344"/>
    </row>
    <row r="1234">
      <c r="A1234" s="129"/>
      <c r="B1234" s="129"/>
      <c r="C1234" s="481" t="s">
        <v>1739</v>
      </c>
      <c r="D1234" s="482">
        <v>2022.0</v>
      </c>
      <c r="E1234" s="344"/>
      <c r="F1234" s="348"/>
      <c r="G1234" s="344"/>
      <c r="H1234" s="344"/>
      <c r="I1234" s="344"/>
      <c r="J1234" s="344"/>
      <c r="K1234" s="344"/>
      <c r="L1234" s="344"/>
      <c r="M1234" s="344"/>
      <c r="N1234" s="344"/>
      <c r="O1234" s="344"/>
      <c r="P1234" s="344"/>
      <c r="Q1234" s="344"/>
      <c r="R1234" s="344"/>
      <c r="S1234" s="344"/>
      <c r="T1234" s="344"/>
      <c r="U1234" s="344"/>
      <c r="V1234" s="344"/>
      <c r="W1234" s="344"/>
      <c r="X1234" s="344"/>
      <c r="Y1234" s="344"/>
      <c r="Z1234" s="344"/>
    </row>
    <row r="1235">
      <c r="A1235" s="129"/>
      <c r="B1235" s="129"/>
      <c r="C1235" s="481" t="s">
        <v>1740</v>
      </c>
      <c r="D1235" s="482">
        <v>2022.0</v>
      </c>
      <c r="E1235" s="344"/>
      <c r="F1235" s="348"/>
      <c r="G1235" s="344"/>
      <c r="H1235" s="344"/>
      <c r="I1235" s="344"/>
      <c r="J1235" s="344"/>
      <c r="K1235" s="344"/>
      <c r="L1235" s="344"/>
      <c r="M1235" s="344"/>
      <c r="N1235" s="344"/>
      <c r="O1235" s="344"/>
      <c r="P1235" s="344"/>
      <c r="Q1235" s="344"/>
      <c r="R1235" s="344"/>
      <c r="S1235" s="344"/>
      <c r="T1235" s="344"/>
      <c r="U1235" s="344"/>
      <c r="V1235" s="344"/>
      <c r="W1235" s="344"/>
      <c r="X1235" s="344"/>
      <c r="Y1235" s="344"/>
      <c r="Z1235" s="344"/>
    </row>
    <row r="1236">
      <c r="A1236" s="129"/>
      <c r="B1236" s="129"/>
      <c r="C1236" s="481" t="s">
        <v>1741</v>
      </c>
      <c r="D1236" s="482">
        <v>2022.0</v>
      </c>
      <c r="E1236" s="344"/>
      <c r="F1236" s="348"/>
      <c r="G1236" s="344"/>
      <c r="H1236" s="344"/>
      <c r="I1236" s="344"/>
      <c r="J1236" s="344"/>
      <c r="K1236" s="344"/>
      <c r="L1236" s="344"/>
      <c r="M1236" s="344"/>
      <c r="N1236" s="344"/>
      <c r="O1236" s="344"/>
      <c r="P1236" s="344"/>
      <c r="Q1236" s="344"/>
      <c r="R1236" s="344"/>
      <c r="S1236" s="344"/>
      <c r="T1236" s="344"/>
      <c r="U1236" s="344"/>
      <c r="V1236" s="344"/>
      <c r="W1236" s="344"/>
      <c r="X1236" s="344"/>
      <c r="Y1236" s="344"/>
      <c r="Z1236" s="344"/>
    </row>
    <row r="1237">
      <c r="A1237" s="56"/>
      <c r="B1237" s="56"/>
      <c r="C1237" s="483" t="s">
        <v>1742</v>
      </c>
      <c r="D1237" s="482" t="s">
        <v>290</v>
      </c>
      <c r="E1237" s="344"/>
      <c r="F1237" s="348"/>
      <c r="G1237" s="344"/>
      <c r="H1237" s="344"/>
      <c r="I1237" s="344"/>
      <c r="J1237" s="344"/>
      <c r="K1237" s="344"/>
      <c r="L1237" s="344"/>
      <c r="M1237" s="344"/>
      <c r="N1237" s="344"/>
      <c r="O1237" s="344"/>
      <c r="P1237" s="344"/>
      <c r="Q1237" s="344"/>
      <c r="R1237" s="344"/>
      <c r="S1237" s="344"/>
      <c r="T1237" s="344"/>
      <c r="U1237" s="344"/>
      <c r="V1237" s="344"/>
      <c r="W1237" s="344"/>
      <c r="X1237" s="344"/>
      <c r="Y1237" s="344"/>
      <c r="Z1237" s="344"/>
    </row>
    <row r="1238">
      <c r="A1238" s="188">
        <v>6.0</v>
      </c>
      <c r="B1238" s="189" t="s">
        <v>737</v>
      </c>
      <c r="C1238" s="375" t="s">
        <v>290</v>
      </c>
      <c r="D1238" s="481"/>
      <c r="E1238" s="344"/>
      <c r="F1238" s="348"/>
      <c r="G1238" s="344"/>
      <c r="H1238" s="344"/>
      <c r="I1238" s="344"/>
      <c r="J1238" s="344"/>
      <c r="K1238" s="344"/>
      <c r="L1238" s="344"/>
      <c r="M1238" s="344"/>
      <c r="N1238" s="344"/>
      <c r="O1238" s="344"/>
      <c r="P1238" s="344"/>
      <c r="Q1238" s="344"/>
      <c r="R1238" s="344"/>
      <c r="S1238" s="344"/>
      <c r="T1238" s="344"/>
      <c r="U1238" s="344"/>
      <c r="V1238" s="344"/>
      <c r="W1238" s="344"/>
      <c r="X1238" s="344"/>
      <c r="Y1238" s="344"/>
      <c r="Z1238" s="344"/>
    </row>
    <row r="1239">
      <c r="A1239" s="188">
        <v>7.0</v>
      </c>
      <c r="B1239" s="189" t="s">
        <v>738</v>
      </c>
      <c r="C1239" s="375" t="s">
        <v>290</v>
      </c>
      <c r="D1239" s="481"/>
      <c r="E1239" s="344"/>
      <c r="F1239" s="348"/>
      <c r="G1239" s="344"/>
      <c r="H1239" s="344"/>
      <c r="I1239" s="344"/>
      <c r="J1239" s="344"/>
      <c r="K1239" s="344"/>
      <c r="L1239" s="344"/>
      <c r="M1239" s="344"/>
      <c r="N1239" s="344"/>
      <c r="O1239" s="344"/>
      <c r="P1239" s="344"/>
      <c r="Q1239" s="344"/>
      <c r="R1239" s="344"/>
      <c r="S1239" s="344"/>
      <c r="T1239" s="344"/>
      <c r="U1239" s="344"/>
      <c r="V1239" s="344"/>
      <c r="W1239" s="344"/>
      <c r="X1239" s="344"/>
      <c r="Y1239" s="344"/>
      <c r="Z1239" s="344"/>
    </row>
    <row r="1240">
      <c r="A1240" s="188">
        <v>8.0</v>
      </c>
      <c r="B1240" s="189" t="s">
        <v>739</v>
      </c>
      <c r="C1240" s="375" t="s">
        <v>290</v>
      </c>
      <c r="D1240" s="481"/>
      <c r="E1240" s="344"/>
      <c r="F1240" s="348"/>
      <c r="G1240" s="344"/>
      <c r="H1240" s="344"/>
      <c r="I1240" s="344"/>
      <c r="J1240" s="344"/>
      <c r="K1240" s="344"/>
      <c r="L1240" s="344"/>
      <c r="M1240" s="344"/>
      <c r="N1240" s="344"/>
      <c r="O1240" s="344"/>
      <c r="P1240" s="344"/>
      <c r="Q1240" s="344"/>
      <c r="R1240" s="344"/>
      <c r="S1240" s="344"/>
      <c r="T1240" s="344"/>
      <c r="U1240" s="344"/>
      <c r="V1240" s="344"/>
      <c r="W1240" s="344"/>
      <c r="X1240" s="344"/>
      <c r="Y1240" s="344"/>
      <c r="Z1240" s="344"/>
    </row>
    <row r="1241">
      <c r="A1241" s="188">
        <v>9.0</v>
      </c>
      <c r="B1241" s="189" t="s">
        <v>647</v>
      </c>
      <c r="C1241" s="481" t="s">
        <v>1743</v>
      </c>
      <c r="D1241" s="482">
        <v>2022.0</v>
      </c>
      <c r="E1241" s="344"/>
      <c r="F1241" s="348"/>
      <c r="G1241" s="344"/>
      <c r="H1241" s="344"/>
      <c r="I1241" s="344"/>
      <c r="J1241" s="344"/>
      <c r="K1241" s="344"/>
      <c r="L1241" s="344"/>
      <c r="M1241" s="344"/>
      <c r="N1241" s="344"/>
      <c r="O1241" s="344"/>
      <c r="P1241" s="344"/>
      <c r="Q1241" s="344"/>
      <c r="R1241" s="344"/>
      <c r="S1241" s="344"/>
      <c r="T1241" s="344"/>
      <c r="U1241" s="344"/>
      <c r="V1241" s="344"/>
      <c r="W1241" s="344"/>
      <c r="X1241" s="344"/>
      <c r="Y1241" s="344"/>
      <c r="Z1241" s="344"/>
    </row>
    <row r="1242">
      <c r="A1242" s="188">
        <v>10.0</v>
      </c>
      <c r="B1242" s="189" t="s">
        <v>740</v>
      </c>
      <c r="C1242" s="375" t="s">
        <v>290</v>
      </c>
      <c r="D1242" s="481"/>
      <c r="E1242" s="344"/>
      <c r="F1242" s="348"/>
      <c r="G1242" s="344"/>
      <c r="H1242" s="344"/>
      <c r="I1242" s="344"/>
      <c r="J1242" s="344"/>
      <c r="K1242" s="344"/>
      <c r="L1242" s="344"/>
      <c r="M1242" s="344"/>
      <c r="N1242" s="344"/>
      <c r="O1242" s="344"/>
      <c r="P1242" s="344"/>
      <c r="Q1242" s="344"/>
      <c r="R1242" s="344"/>
      <c r="S1242" s="344"/>
      <c r="T1242" s="344"/>
      <c r="U1242" s="344"/>
      <c r="V1242" s="344"/>
      <c r="W1242" s="344"/>
      <c r="X1242" s="344"/>
      <c r="Y1242" s="344"/>
      <c r="Z1242" s="344"/>
    </row>
    <row r="1243">
      <c r="A1243" s="188">
        <v>11.0</v>
      </c>
      <c r="B1243" s="189" t="s">
        <v>548</v>
      </c>
      <c r="C1243" s="375" t="s">
        <v>290</v>
      </c>
      <c r="D1243" s="481"/>
      <c r="E1243" s="344"/>
      <c r="F1243" s="348"/>
      <c r="G1243" s="344"/>
      <c r="H1243" s="344"/>
      <c r="I1243" s="344"/>
      <c r="J1243" s="344"/>
      <c r="K1243" s="344"/>
      <c r="L1243" s="344"/>
      <c r="M1243" s="344"/>
      <c r="N1243" s="344"/>
      <c r="O1243" s="344"/>
      <c r="P1243" s="344"/>
      <c r="Q1243" s="344"/>
      <c r="R1243" s="344"/>
      <c r="S1243" s="344"/>
      <c r="T1243" s="344"/>
      <c r="U1243" s="344"/>
      <c r="V1243" s="344"/>
      <c r="W1243" s="344"/>
      <c r="X1243" s="344"/>
      <c r="Y1243" s="344"/>
      <c r="Z1243" s="344"/>
    </row>
    <row r="1244">
      <c r="A1244" s="188">
        <v>12.0</v>
      </c>
      <c r="B1244" s="189" t="s">
        <v>549</v>
      </c>
      <c r="C1244" s="375" t="s">
        <v>290</v>
      </c>
      <c r="D1244" s="481"/>
      <c r="E1244" s="344"/>
      <c r="F1244" s="348"/>
      <c r="G1244" s="344"/>
      <c r="H1244" s="344"/>
      <c r="I1244" s="344"/>
      <c r="J1244" s="344"/>
      <c r="K1244" s="344"/>
      <c r="L1244" s="344"/>
      <c r="M1244" s="344"/>
      <c r="N1244" s="344"/>
      <c r="O1244" s="344"/>
      <c r="P1244" s="344"/>
      <c r="Q1244" s="344"/>
      <c r="R1244" s="344"/>
      <c r="S1244" s="344"/>
      <c r="T1244" s="344"/>
      <c r="U1244" s="344"/>
      <c r="V1244" s="344"/>
      <c r="W1244" s="344"/>
      <c r="X1244" s="344"/>
      <c r="Y1244" s="344"/>
      <c r="Z1244" s="344"/>
    </row>
    <row r="1245">
      <c r="A1245" s="188">
        <v>13.0</v>
      </c>
      <c r="B1245" s="189" t="s">
        <v>743</v>
      </c>
      <c r="C1245" s="375" t="s">
        <v>290</v>
      </c>
      <c r="D1245" s="481"/>
      <c r="E1245" s="344"/>
      <c r="F1245" s="348"/>
      <c r="G1245" s="344"/>
      <c r="H1245" s="344"/>
      <c r="I1245" s="344"/>
      <c r="J1245" s="344"/>
      <c r="K1245" s="344"/>
      <c r="L1245" s="344"/>
      <c r="M1245" s="344"/>
      <c r="N1245" s="344"/>
      <c r="O1245" s="344"/>
      <c r="P1245" s="344"/>
      <c r="Q1245" s="344"/>
      <c r="R1245" s="344"/>
      <c r="S1245" s="344"/>
      <c r="T1245" s="344"/>
      <c r="U1245" s="344"/>
      <c r="V1245" s="344"/>
      <c r="W1245" s="344"/>
      <c r="X1245" s="344"/>
      <c r="Y1245" s="344"/>
      <c r="Z1245" s="344"/>
    </row>
    <row r="1246">
      <c r="A1246" s="479">
        <v>14.0</v>
      </c>
      <c r="B1246" s="480" t="s">
        <v>745</v>
      </c>
      <c r="C1246" s="481" t="s">
        <v>1744</v>
      </c>
      <c r="D1246" s="482">
        <v>2022.0</v>
      </c>
      <c r="E1246" s="344"/>
      <c r="F1246" s="348"/>
      <c r="G1246" s="344"/>
      <c r="H1246" s="344"/>
      <c r="I1246" s="344"/>
      <c r="J1246" s="344"/>
      <c r="K1246" s="344"/>
      <c r="L1246" s="344"/>
      <c r="M1246" s="344"/>
      <c r="N1246" s="344"/>
      <c r="O1246" s="344"/>
      <c r="P1246" s="344"/>
      <c r="Q1246" s="344"/>
      <c r="R1246" s="344"/>
      <c r="S1246" s="344"/>
      <c r="T1246" s="344"/>
      <c r="U1246" s="344"/>
      <c r="V1246" s="344"/>
      <c r="W1246" s="344"/>
      <c r="X1246" s="344"/>
      <c r="Y1246" s="344"/>
      <c r="Z1246" s="344"/>
    </row>
    <row r="1247">
      <c r="A1247" s="129"/>
      <c r="B1247" s="129"/>
      <c r="C1247" s="481" t="s">
        <v>1745</v>
      </c>
      <c r="D1247" s="482">
        <v>2023.0</v>
      </c>
      <c r="E1247" s="344"/>
      <c r="F1247" s="348"/>
      <c r="G1247" s="344"/>
      <c r="H1247" s="344"/>
      <c r="I1247" s="344"/>
      <c r="J1247" s="344"/>
      <c r="K1247" s="344"/>
      <c r="L1247" s="344"/>
      <c r="M1247" s="344"/>
      <c r="N1247" s="344"/>
      <c r="O1247" s="344"/>
      <c r="P1247" s="344"/>
      <c r="Q1247" s="344"/>
      <c r="R1247" s="344"/>
      <c r="S1247" s="344"/>
      <c r="T1247" s="344"/>
      <c r="U1247" s="344"/>
      <c r="V1247" s="344"/>
      <c r="W1247" s="344"/>
      <c r="X1247" s="344"/>
      <c r="Y1247" s="344"/>
      <c r="Z1247" s="344"/>
    </row>
    <row r="1248">
      <c r="A1248" s="56"/>
      <c r="B1248" s="56"/>
      <c r="C1248" s="481" t="s">
        <v>1746</v>
      </c>
      <c r="D1248" s="482">
        <v>2022.0</v>
      </c>
      <c r="E1248" s="344"/>
      <c r="F1248" s="348"/>
      <c r="G1248" s="344"/>
      <c r="H1248" s="344"/>
      <c r="I1248" s="344"/>
      <c r="J1248" s="344"/>
      <c r="K1248" s="344"/>
      <c r="L1248" s="344"/>
      <c r="M1248" s="344"/>
      <c r="N1248" s="344"/>
      <c r="O1248" s="344"/>
      <c r="P1248" s="344"/>
      <c r="Q1248" s="344"/>
      <c r="R1248" s="344"/>
      <c r="S1248" s="344"/>
      <c r="T1248" s="344"/>
      <c r="U1248" s="344"/>
      <c r="V1248" s="344"/>
      <c r="W1248" s="344"/>
      <c r="X1248" s="344"/>
      <c r="Y1248" s="344"/>
      <c r="Z1248" s="344"/>
    </row>
    <row r="1249">
      <c r="A1249" s="479">
        <v>15.0</v>
      </c>
      <c r="B1249" s="480" t="s">
        <v>746</v>
      </c>
      <c r="C1249" s="481" t="s">
        <v>1747</v>
      </c>
      <c r="D1249" s="482">
        <v>2022.0</v>
      </c>
      <c r="E1249" s="344"/>
      <c r="F1249" s="348"/>
      <c r="G1249" s="344"/>
      <c r="H1249" s="344"/>
      <c r="I1249" s="344"/>
      <c r="J1249" s="344"/>
      <c r="K1249" s="344"/>
      <c r="L1249" s="344"/>
      <c r="M1249" s="344"/>
      <c r="N1249" s="344"/>
      <c r="O1249" s="344"/>
      <c r="P1249" s="344"/>
      <c r="Q1249" s="344"/>
      <c r="R1249" s="344"/>
      <c r="S1249" s="344"/>
      <c r="T1249" s="344"/>
      <c r="U1249" s="344"/>
      <c r="V1249" s="344"/>
      <c r="W1249" s="344"/>
      <c r="X1249" s="344"/>
      <c r="Y1249" s="344"/>
      <c r="Z1249" s="344"/>
    </row>
    <row r="1250">
      <c r="A1250" s="56"/>
      <c r="B1250" s="56"/>
      <c r="C1250" s="481" t="s">
        <v>1748</v>
      </c>
      <c r="D1250" s="482">
        <v>2022.0</v>
      </c>
      <c r="E1250" s="344"/>
      <c r="F1250" s="348"/>
      <c r="G1250" s="344"/>
      <c r="H1250" s="344"/>
      <c r="I1250" s="344"/>
      <c r="J1250" s="344"/>
      <c r="K1250" s="344"/>
      <c r="L1250" s="344"/>
      <c r="M1250" s="344"/>
      <c r="N1250" s="344"/>
      <c r="O1250" s="344"/>
      <c r="P1250" s="344"/>
      <c r="Q1250" s="344"/>
      <c r="R1250" s="344"/>
      <c r="S1250" s="344"/>
      <c r="T1250" s="344"/>
      <c r="U1250" s="344"/>
      <c r="V1250" s="344"/>
      <c r="W1250" s="344"/>
      <c r="X1250" s="344"/>
      <c r="Y1250" s="344"/>
      <c r="Z1250" s="344"/>
    </row>
    <row r="1251">
      <c r="A1251" s="188">
        <v>16.0</v>
      </c>
      <c r="B1251" s="189" t="s">
        <v>552</v>
      </c>
      <c r="C1251" s="481"/>
      <c r="D1251" s="481"/>
      <c r="E1251" s="344"/>
      <c r="F1251" s="348"/>
      <c r="G1251" s="344"/>
      <c r="H1251" s="344"/>
      <c r="I1251" s="344"/>
      <c r="J1251" s="344"/>
      <c r="K1251" s="344"/>
      <c r="L1251" s="344"/>
      <c r="M1251" s="344"/>
      <c r="N1251" s="344"/>
      <c r="O1251" s="344"/>
      <c r="P1251" s="344"/>
      <c r="Q1251" s="344"/>
      <c r="R1251" s="344"/>
      <c r="S1251" s="344"/>
      <c r="T1251" s="344"/>
      <c r="U1251" s="344"/>
      <c r="V1251" s="344"/>
      <c r="W1251" s="344"/>
      <c r="X1251" s="344"/>
      <c r="Y1251" s="344"/>
      <c r="Z1251" s="344"/>
    </row>
    <row r="1252">
      <c r="A1252" s="188">
        <v>17.0</v>
      </c>
      <c r="B1252" s="189" t="s">
        <v>750</v>
      </c>
      <c r="C1252" s="481"/>
      <c r="D1252" s="481"/>
      <c r="E1252" s="344"/>
      <c r="F1252" s="348"/>
      <c r="G1252" s="344"/>
      <c r="H1252" s="344"/>
      <c r="I1252" s="344"/>
      <c r="J1252" s="344"/>
      <c r="K1252" s="344"/>
      <c r="L1252" s="344"/>
      <c r="M1252" s="344"/>
      <c r="N1252" s="344"/>
      <c r="O1252" s="344"/>
      <c r="P1252" s="344"/>
      <c r="Q1252" s="344"/>
      <c r="R1252" s="344"/>
      <c r="S1252" s="344"/>
      <c r="T1252" s="344"/>
      <c r="U1252" s="344"/>
      <c r="V1252" s="344"/>
      <c r="W1252" s="344"/>
      <c r="X1252" s="344"/>
      <c r="Y1252" s="344"/>
      <c r="Z1252" s="344"/>
    </row>
    <row r="1253">
      <c r="A1253" s="188">
        <v>18.0</v>
      </c>
      <c r="B1253" s="189" t="s">
        <v>553</v>
      </c>
      <c r="C1253" s="481"/>
      <c r="D1253" s="481"/>
      <c r="E1253" s="344"/>
      <c r="F1253" s="348"/>
      <c r="G1253" s="344"/>
      <c r="H1253" s="344"/>
      <c r="I1253" s="344"/>
      <c r="J1253" s="344"/>
      <c r="K1253" s="344"/>
      <c r="L1253" s="344"/>
      <c r="M1253" s="344"/>
      <c r="N1253" s="344"/>
      <c r="O1253" s="344"/>
      <c r="P1253" s="344"/>
      <c r="Q1253" s="344"/>
      <c r="R1253" s="344"/>
      <c r="S1253" s="344"/>
      <c r="T1253" s="344"/>
      <c r="U1253" s="344"/>
      <c r="V1253" s="344"/>
      <c r="W1253" s="344"/>
      <c r="X1253" s="344"/>
      <c r="Y1253" s="344"/>
      <c r="Z1253" s="344"/>
    </row>
    <row r="1254">
      <c r="A1254" s="188">
        <v>19.0</v>
      </c>
      <c r="B1254" s="189" t="s">
        <v>751</v>
      </c>
      <c r="C1254" s="481"/>
      <c r="D1254" s="481"/>
      <c r="E1254" s="344"/>
      <c r="F1254" s="348"/>
      <c r="G1254" s="344"/>
      <c r="H1254" s="344"/>
      <c r="I1254" s="344"/>
      <c r="J1254" s="344"/>
      <c r="K1254" s="344"/>
      <c r="L1254" s="344"/>
      <c r="M1254" s="344"/>
      <c r="N1254" s="344"/>
      <c r="O1254" s="344"/>
      <c r="P1254" s="344"/>
      <c r="Q1254" s="344"/>
      <c r="R1254" s="344"/>
      <c r="S1254" s="344"/>
      <c r="T1254" s="344"/>
      <c r="U1254" s="344"/>
      <c r="V1254" s="344"/>
      <c r="W1254" s="344"/>
      <c r="X1254" s="344"/>
      <c r="Y1254" s="344"/>
      <c r="Z1254" s="344"/>
    </row>
    <row r="1255">
      <c r="A1255" s="188">
        <v>20.0</v>
      </c>
      <c r="B1255" s="189" t="s">
        <v>752</v>
      </c>
      <c r="C1255" s="481"/>
      <c r="D1255" s="481"/>
      <c r="E1255" s="344"/>
      <c r="F1255" s="348"/>
      <c r="G1255" s="344"/>
      <c r="H1255" s="344"/>
      <c r="I1255" s="344"/>
      <c r="J1255" s="344"/>
      <c r="K1255" s="344"/>
      <c r="L1255" s="344"/>
      <c r="M1255" s="344"/>
      <c r="N1255" s="344"/>
      <c r="O1255" s="344"/>
      <c r="P1255" s="344"/>
      <c r="Q1255" s="344"/>
      <c r="R1255" s="344"/>
      <c r="S1255" s="344"/>
      <c r="T1255" s="344"/>
      <c r="U1255" s="344"/>
      <c r="V1255" s="344"/>
      <c r="W1255" s="344"/>
      <c r="X1255" s="344"/>
      <c r="Y1255" s="344"/>
      <c r="Z1255" s="344"/>
    </row>
    <row r="1256">
      <c r="A1256" s="188">
        <v>21.0</v>
      </c>
      <c r="B1256" s="189" t="s">
        <v>555</v>
      </c>
      <c r="C1256" s="481"/>
      <c r="D1256" s="481"/>
      <c r="E1256" s="344"/>
      <c r="F1256" s="348"/>
      <c r="G1256" s="344"/>
      <c r="H1256" s="344"/>
      <c r="I1256" s="344"/>
      <c r="J1256" s="344"/>
      <c r="K1256" s="344"/>
      <c r="L1256" s="344"/>
      <c r="M1256" s="344"/>
      <c r="N1256" s="344"/>
      <c r="O1256" s="344"/>
      <c r="P1256" s="344"/>
      <c r="Q1256" s="344"/>
      <c r="R1256" s="344"/>
      <c r="S1256" s="344"/>
      <c r="T1256" s="344"/>
      <c r="U1256" s="344"/>
      <c r="V1256" s="344"/>
      <c r="W1256" s="344"/>
      <c r="X1256" s="344"/>
      <c r="Y1256" s="344"/>
      <c r="Z1256" s="344"/>
    </row>
    <row r="1257">
      <c r="A1257" s="188">
        <v>22.0</v>
      </c>
      <c r="B1257" s="189" t="s">
        <v>557</v>
      </c>
      <c r="C1257" s="369" t="s">
        <v>1749</v>
      </c>
      <c r="D1257" s="144">
        <v>2022.0</v>
      </c>
      <c r="E1257" s="344"/>
      <c r="F1257" s="348"/>
      <c r="G1257" s="344"/>
      <c r="H1257" s="344"/>
      <c r="I1257" s="344"/>
      <c r="J1257" s="344"/>
      <c r="K1257" s="344"/>
      <c r="L1257" s="344"/>
      <c r="M1257" s="344"/>
      <c r="N1257" s="344"/>
      <c r="O1257" s="344"/>
      <c r="P1257" s="344"/>
      <c r="Q1257" s="344"/>
      <c r="R1257" s="344"/>
      <c r="S1257" s="344"/>
      <c r="T1257" s="344"/>
      <c r="U1257" s="344"/>
      <c r="V1257" s="344"/>
      <c r="W1257" s="344"/>
      <c r="X1257" s="344"/>
      <c r="Y1257" s="344"/>
      <c r="Z1257" s="344"/>
    </row>
    <row r="1258">
      <c r="A1258" s="188">
        <v>23.0</v>
      </c>
      <c r="B1258" s="189" t="s">
        <v>753</v>
      </c>
      <c r="C1258" s="375" t="s">
        <v>290</v>
      </c>
      <c r="D1258" s="481"/>
      <c r="E1258" s="344"/>
      <c r="F1258" s="348"/>
      <c r="G1258" s="344"/>
      <c r="H1258" s="344"/>
      <c r="I1258" s="344"/>
      <c r="J1258" s="344"/>
      <c r="K1258" s="344"/>
      <c r="L1258" s="344"/>
      <c r="M1258" s="344"/>
      <c r="N1258" s="344"/>
      <c r="O1258" s="344"/>
      <c r="P1258" s="344"/>
      <c r="Q1258" s="344"/>
      <c r="R1258" s="344"/>
      <c r="S1258" s="344"/>
      <c r="T1258" s="344"/>
      <c r="U1258" s="344"/>
      <c r="V1258" s="344"/>
      <c r="W1258" s="344"/>
      <c r="X1258" s="344"/>
      <c r="Y1258" s="344"/>
      <c r="Z1258" s="344"/>
    </row>
    <row r="1259">
      <c r="A1259" s="188">
        <v>24.0</v>
      </c>
      <c r="B1259" s="189" t="s">
        <v>756</v>
      </c>
      <c r="C1259" s="375" t="s">
        <v>290</v>
      </c>
      <c r="D1259" s="481"/>
      <c r="E1259" s="344"/>
      <c r="F1259" s="348"/>
      <c r="G1259" s="344"/>
      <c r="H1259" s="344"/>
      <c r="I1259" s="344"/>
      <c r="J1259" s="344"/>
      <c r="K1259" s="344"/>
      <c r="L1259" s="344"/>
      <c r="M1259" s="344"/>
      <c r="N1259" s="344"/>
      <c r="O1259" s="344"/>
      <c r="P1259" s="344"/>
      <c r="Q1259" s="344"/>
      <c r="R1259" s="344"/>
      <c r="S1259" s="344"/>
      <c r="T1259" s="344"/>
      <c r="U1259" s="344"/>
      <c r="V1259" s="344"/>
      <c r="W1259" s="344"/>
      <c r="X1259" s="344"/>
      <c r="Y1259" s="344"/>
      <c r="Z1259" s="344"/>
    </row>
    <row r="1260">
      <c r="A1260" s="188">
        <v>25.0</v>
      </c>
      <c r="B1260" s="189" t="s">
        <v>757</v>
      </c>
      <c r="C1260" s="484" t="s">
        <v>1750</v>
      </c>
      <c r="D1260" s="482">
        <v>2022.0</v>
      </c>
      <c r="E1260" s="344"/>
      <c r="F1260" s="348"/>
      <c r="G1260" s="344"/>
      <c r="H1260" s="344"/>
      <c r="I1260" s="344"/>
      <c r="J1260" s="344"/>
      <c r="K1260" s="344"/>
      <c r="L1260" s="344"/>
      <c r="M1260" s="344"/>
      <c r="N1260" s="344"/>
      <c r="O1260" s="344"/>
      <c r="P1260" s="344"/>
      <c r="Q1260" s="344"/>
      <c r="R1260" s="344"/>
      <c r="S1260" s="344"/>
      <c r="T1260" s="344"/>
      <c r="U1260" s="344"/>
      <c r="V1260" s="344"/>
      <c r="W1260" s="344"/>
      <c r="X1260" s="344"/>
      <c r="Y1260" s="344"/>
      <c r="Z1260" s="344"/>
    </row>
    <row r="1261">
      <c r="A1261" s="479">
        <v>26.0</v>
      </c>
      <c r="B1261" s="480" t="s">
        <v>760</v>
      </c>
      <c r="C1261" s="481" t="s">
        <v>1751</v>
      </c>
      <c r="D1261" s="145" t="s">
        <v>1752</v>
      </c>
      <c r="E1261" s="344"/>
      <c r="F1261" s="348"/>
      <c r="G1261" s="344"/>
      <c r="H1261" s="344"/>
      <c r="I1261" s="344"/>
      <c r="J1261" s="344"/>
      <c r="K1261" s="344"/>
      <c r="L1261" s="344"/>
      <c r="M1261" s="344"/>
      <c r="N1261" s="344"/>
      <c r="O1261" s="344"/>
      <c r="P1261" s="344"/>
      <c r="Q1261" s="344"/>
      <c r="R1261" s="344"/>
      <c r="S1261" s="344"/>
      <c r="T1261" s="344"/>
      <c r="U1261" s="344"/>
      <c r="V1261" s="344"/>
      <c r="W1261" s="344"/>
      <c r="X1261" s="344"/>
      <c r="Y1261" s="344"/>
      <c r="Z1261" s="344"/>
    </row>
    <row r="1262">
      <c r="A1262" s="129"/>
      <c r="B1262" s="129"/>
      <c r="C1262" s="481" t="s">
        <v>1753</v>
      </c>
      <c r="D1262" s="145" t="s">
        <v>1754</v>
      </c>
      <c r="E1262" s="344"/>
      <c r="F1262" s="348"/>
      <c r="G1262" s="344"/>
      <c r="H1262" s="344"/>
      <c r="I1262" s="344"/>
      <c r="J1262" s="344"/>
      <c r="K1262" s="344"/>
      <c r="L1262" s="344"/>
      <c r="M1262" s="344"/>
      <c r="N1262" s="344"/>
      <c r="O1262" s="344"/>
      <c r="P1262" s="344"/>
      <c r="Q1262" s="344"/>
      <c r="R1262" s="344"/>
      <c r="S1262" s="344"/>
      <c r="T1262" s="344"/>
      <c r="U1262" s="344"/>
      <c r="V1262" s="344"/>
      <c r="W1262" s="344"/>
      <c r="X1262" s="344"/>
      <c r="Y1262" s="344"/>
      <c r="Z1262" s="344"/>
    </row>
    <row r="1263">
      <c r="A1263" s="129"/>
      <c r="B1263" s="129"/>
      <c r="C1263" s="481" t="s">
        <v>1755</v>
      </c>
      <c r="D1263" s="145" t="s">
        <v>1756</v>
      </c>
      <c r="E1263" s="344"/>
      <c r="F1263" s="348"/>
      <c r="G1263" s="344"/>
      <c r="H1263" s="344"/>
      <c r="I1263" s="344"/>
      <c r="J1263" s="344"/>
      <c r="K1263" s="344"/>
      <c r="L1263" s="344"/>
      <c r="M1263" s="344"/>
      <c r="N1263" s="344"/>
      <c r="O1263" s="344"/>
      <c r="P1263" s="344"/>
      <c r="Q1263" s="344"/>
      <c r="R1263" s="344"/>
      <c r="S1263" s="344"/>
      <c r="T1263" s="344"/>
      <c r="U1263" s="344"/>
      <c r="V1263" s="344"/>
      <c r="W1263" s="344"/>
      <c r="X1263" s="344"/>
      <c r="Y1263" s="344"/>
      <c r="Z1263" s="344"/>
    </row>
    <row r="1264">
      <c r="A1264" s="56"/>
      <c r="B1264" s="56"/>
      <c r="C1264" s="481" t="s">
        <v>1757</v>
      </c>
      <c r="D1264" s="485">
        <v>45465.0</v>
      </c>
      <c r="E1264" s="344"/>
      <c r="F1264" s="348"/>
      <c r="G1264" s="344"/>
      <c r="H1264" s="344"/>
      <c r="I1264" s="344"/>
      <c r="J1264" s="344"/>
      <c r="K1264" s="344"/>
      <c r="L1264" s="344"/>
      <c r="M1264" s="344"/>
      <c r="N1264" s="344"/>
      <c r="O1264" s="344"/>
      <c r="P1264" s="344"/>
      <c r="Q1264" s="344"/>
      <c r="R1264" s="344"/>
      <c r="S1264" s="344"/>
      <c r="T1264" s="344"/>
      <c r="U1264" s="344"/>
      <c r="V1264" s="344"/>
      <c r="W1264" s="344"/>
      <c r="X1264" s="344"/>
      <c r="Y1264" s="344"/>
      <c r="Z1264" s="344"/>
    </row>
    <row r="1265">
      <c r="A1265" s="188">
        <v>27.0</v>
      </c>
      <c r="B1265" s="189" t="s">
        <v>762</v>
      </c>
      <c r="C1265" s="481" t="s">
        <v>1757</v>
      </c>
      <c r="D1265" s="486">
        <v>44725.0</v>
      </c>
      <c r="E1265" s="344"/>
      <c r="F1265" s="348"/>
      <c r="G1265" s="344"/>
      <c r="H1265" s="344"/>
      <c r="I1265" s="344"/>
      <c r="J1265" s="344"/>
      <c r="K1265" s="344"/>
      <c r="L1265" s="344"/>
      <c r="M1265" s="344"/>
      <c r="N1265" s="344"/>
      <c r="O1265" s="344"/>
      <c r="P1265" s="344"/>
      <c r="Q1265" s="344"/>
      <c r="R1265" s="344"/>
      <c r="S1265" s="344"/>
      <c r="T1265" s="344"/>
      <c r="U1265" s="344"/>
      <c r="V1265" s="344"/>
      <c r="W1265" s="344"/>
      <c r="X1265" s="344"/>
      <c r="Y1265" s="344"/>
      <c r="Z1265" s="344"/>
    </row>
    <row r="1266">
      <c r="A1266" s="479">
        <v>28.0</v>
      </c>
      <c r="B1266" s="480" t="s">
        <v>763</v>
      </c>
      <c r="C1266" s="481" t="s">
        <v>1758</v>
      </c>
      <c r="D1266" s="487">
        <v>44818.0</v>
      </c>
      <c r="E1266" s="344"/>
      <c r="F1266" s="348"/>
      <c r="G1266" s="344"/>
      <c r="H1266" s="344"/>
      <c r="I1266" s="344"/>
      <c r="J1266" s="344"/>
      <c r="K1266" s="344"/>
      <c r="L1266" s="344"/>
      <c r="M1266" s="344"/>
      <c r="N1266" s="344"/>
      <c r="O1266" s="344"/>
      <c r="P1266" s="344"/>
      <c r="Q1266" s="344"/>
      <c r="R1266" s="344"/>
      <c r="S1266" s="344"/>
      <c r="T1266" s="344"/>
      <c r="U1266" s="344"/>
      <c r="V1266" s="344"/>
      <c r="W1266" s="344"/>
      <c r="X1266" s="344"/>
      <c r="Y1266" s="344"/>
      <c r="Z1266" s="344"/>
    </row>
    <row r="1267">
      <c r="A1267" s="129"/>
      <c r="B1267" s="129"/>
      <c r="C1267" s="481" t="s">
        <v>1734</v>
      </c>
      <c r="D1267" s="145" t="s">
        <v>1759</v>
      </c>
      <c r="E1267" s="344"/>
      <c r="F1267" s="348"/>
      <c r="G1267" s="344"/>
      <c r="H1267" s="344"/>
      <c r="I1267" s="344"/>
      <c r="J1267" s="344"/>
      <c r="K1267" s="344"/>
      <c r="L1267" s="344"/>
      <c r="M1267" s="344"/>
      <c r="N1267" s="344"/>
      <c r="O1267" s="344"/>
      <c r="P1267" s="344"/>
      <c r="Q1267" s="344"/>
      <c r="R1267" s="344"/>
      <c r="S1267" s="344"/>
      <c r="T1267" s="344"/>
      <c r="U1267" s="344"/>
      <c r="V1267" s="344"/>
      <c r="W1267" s="344"/>
      <c r="X1267" s="344"/>
      <c r="Y1267" s="344"/>
      <c r="Z1267" s="344"/>
    </row>
    <row r="1268">
      <c r="A1268" s="56"/>
      <c r="B1268" s="56"/>
      <c r="C1268" s="481" t="s">
        <v>1760</v>
      </c>
      <c r="D1268" s="488" t="s">
        <v>1761</v>
      </c>
      <c r="E1268" s="344"/>
      <c r="F1268" s="348"/>
      <c r="G1268" s="344"/>
      <c r="H1268" s="344"/>
      <c r="I1268" s="344"/>
      <c r="J1268" s="344"/>
      <c r="K1268" s="344"/>
      <c r="L1268" s="344"/>
      <c r="M1268" s="344"/>
      <c r="N1268" s="344"/>
      <c r="O1268" s="344"/>
      <c r="P1268" s="344"/>
      <c r="Q1268" s="344"/>
      <c r="R1268" s="344"/>
      <c r="S1268" s="344"/>
      <c r="T1268" s="344"/>
      <c r="U1268" s="344"/>
      <c r="V1268" s="344"/>
      <c r="W1268" s="344"/>
      <c r="X1268" s="344"/>
      <c r="Y1268" s="344"/>
      <c r="Z1268" s="344"/>
    </row>
    <row r="1269">
      <c r="A1269" s="188">
        <v>29.0</v>
      </c>
      <c r="B1269" s="188" t="s">
        <v>765</v>
      </c>
      <c r="C1269" s="375" t="s">
        <v>1762</v>
      </c>
      <c r="D1269" s="375" t="s">
        <v>1763</v>
      </c>
      <c r="E1269" s="344"/>
      <c r="F1269" s="348"/>
      <c r="G1269" s="344"/>
      <c r="H1269" s="344"/>
      <c r="I1269" s="344"/>
      <c r="J1269" s="344"/>
      <c r="K1269" s="344"/>
      <c r="L1269" s="344"/>
      <c r="M1269" s="344"/>
      <c r="N1269" s="344"/>
      <c r="O1269" s="344"/>
      <c r="P1269" s="344"/>
      <c r="Q1269" s="344"/>
      <c r="R1269" s="344"/>
      <c r="S1269" s="344"/>
      <c r="T1269" s="344"/>
      <c r="U1269" s="344"/>
      <c r="V1269" s="344"/>
      <c r="W1269" s="344"/>
      <c r="X1269" s="344"/>
      <c r="Y1269" s="344"/>
      <c r="Z1269" s="344"/>
    </row>
    <row r="1270">
      <c r="A1270" s="188"/>
      <c r="B1270" s="188"/>
      <c r="C1270" s="375" t="s">
        <v>1764</v>
      </c>
      <c r="D1270" s="375" t="s">
        <v>1765</v>
      </c>
      <c r="E1270" s="344"/>
      <c r="F1270" s="348"/>
      <c r="G1270" s="344"/>
      <c r="H1270" s="344"/>
      <c r="I1270" s="344"/>
      <c r="J1270" s="344"/>
      <c r="K1270" s="344"/>
      <c r="L1270" s="344"/>
      <c r="M1270" s="344"/>
      <c r="N1270" s="344"/>
      <c r="O1270" s="344"/>
      <c r="P1270" s="344"/>
      <c r="Q1270" s="344"/>
      <c r="R1270" s="344"/>
      <c r="S1270" s="344"/>
      <c r="T1270" s="344"/>
      <c r="U1270" s="344"/>
      <c r="V1270" s="344"/>
      <c r="W1270" s="344"/>
      <c r="X1270" s="344"/>
      <c r="Y1270" s="344"/>
      <c r="Z1270" s="344"/>
    </row>
    <row r="1271">
      <c r="A1271" s="188"/>
      <c r="B1271" s="188"/>
      <c r="C1271" s="375" t="s">
        <v>1766</v>
      </c>
      <c r="D1271" s="375" t="s">
        <v>1767</v>
      </c>
      <c r="E1271" s="344"/>
      <c r="F1271" s="348"/>
      <c r="G1271" s="344"/>
      <c r="H1271" s="344"/>
      <c r="I1271" s="344"/>
      <c r="J1271" s="344"/>
      <c r="K1271" s="344"/>
      <c r="L1271" s="344"/>
      <c r="M1271" s="344"/>
      <c r="N1271" s="344"/>
      <c r="O1271" s="344"/>
      <c r="P1271" s="344"/>
      <c r="Q1271" s="344"/>
      <c r="R1271" s="344"/>
      <c r="S1271" s="344"/>
      <c r="T1271" s="344"/>
      <c r="U1271" s="344"/>
      <c r="V1271" s="344"/>
      <c r="W1271" s="344"/>
      <c r="X1271" s="344"/>
      <c r="Y1271" s="344"/>
      <c r="Z1271" s="344"/>
    </row>
    <row r="1272">
      <c r="A1272" s="188"/>
      <c r="B1272" s="188"/>
      <c r="C1272" s="375" t="s">
        <v>1768</v>
      </c>
      <c r="D1272" s="375" t="s">
        <v>1769</v>
      </c>
      <c r="E1272" s="344"/>
      <c r="F1272" s="348"/>
      <c r="G1272" s="344"/>
      <c r="H1272" s="344"/>
      <c r="I1272" s="344"/>
      <c r="J1272" s="344"/>
      <c r="K1272" s="344"/>
      <c r="L1272" s="344"/>
      <c r="M1272" s="344"/>
      <c r="N1272" s="344"/>
      <c r="O1272" s="344"/>
      <c r="P1272" s="344"/>
      <c r="Q1272" s="344"/>
      <c r="R1272" s="344"/>
      <c r="S1272" s="344"/>
      <c r="T1272" s="344"/>
      <c r="U1272" s="344"/>
      <c r="V1272" s="344"/>
      <c r="W1272" s="344"/>
      <c r="X1272" s="344"/>
      <c r="Y1272" s="344"/>
      <c r="Z1272" s="344"/>
    </row>
    <row r="1273">
      <c r="A1273" s="188"/>
      <c r="B1273" s="188"/>
      <c r="C1273" s="375" t="s">
        <v>1770</v>
      </c>
      <c r="D1273" s="489">
        <v>45418.0</v>
      </c>
      <c r="E1273" s="344"/>
      <c r="F1273" s="348"/>
      <c r="G1273" s="344"/>
      <c r="H1273" s="344"/>
      <c r="I1273" s="344"/>
      <c r="J1273" s="344"/>
      <c r="K1273" s="344"/>
      <c r="L1273" s="344"/>
      <c r="M1273" s="344"/>
      <c r="N1273" s="344"/>
      <c r="O1273" s="344"/>
      <c r="P1273" s="344"/>
      <c r="Q1273" s="344"/>
      <c r="R1273" s="344"/>
      <c r="S1273" s="344"/>
      <c r="T1273" s="344"/>
      <c r="U1273" s="344"/>
      <c r="V1273" s="344"/>
      <c r="W1273" s="344"/>
      <c r="X1273" s="344"/>
      <c r="Y1273" s="344"/>
      <c r="Z1273" s="344"/>
    </row>
    <row r="1274">
      <c r="A1274" s="188"/>
      <c r="B1274" s="188"/>
      <c r="C1274" s="375" t="s">
        <v>1770</v>
      </c>
      <c r="D1274" s="375" t="s">
        <v>1771</v>
      </c>
      <c r="E1274" s="344"/>
      <c r="F1274" s="348"/>
      <c r="G1274" s="344"/>
      <c r="H1274" s="344"/>
      <c r="I1274" s="344"/>
      <c r="J1274" s="344"/>
      <c r="K1274" s="344"/>
      <c r="L1274" s="344"/>
      <c r="M1274" s="344"/>
      <c r="N1274" s="344"/>
      <c r="O1274" s="344"/>
      <c r="P1274" s="344"/>
      <c r="Q1274" s="344"/>
      <c r="R1274" s="344"/>
      <c r="S1274" s="344"/>
      <c r="T1274" s="344"/>
      <c r="U1274" s="344"/>
      <c r="V1274" s="344"/>
      <c r="W1274" s="344"/>
      <c r="X1274" s="344"/>
      <c r="Y1274" s="344"/>
      <c r="Z1274" s="344"/>
    </row>
    <row r="1275">
      <c r="A1275" s="479">
        <v>30.0</v>
      </c>
      <c r="B1275" s="480" t="s">
        <v>767</v>
      </c>
      <c r="C1275" s="186" t="s">
        <v>1772</v>
      </c>
      <c r="D1275" s="144">
        <v>2022.0</v>
      </c>
      <c r="E1275" s="344"/>
      <c r="F1275" s="348"/>
      <c r="G1275" s="344"/>
      <c r="H1275" s="344"/>
      <c r="I1275" s="344"/>
      <c r="J1275" s="344"/>
      <c r="K1275" s="344"/>
      <c r="L1275" s="344"/>
      <c r="M1275" s="344"/>
      <c r="N1275" s="344"/>
      <c r="O1275" s="344"/>
      <c r="P1275" s="344"/>
      <c r="Q1275" s="344"/>
      <c r="R1275" s="344"/>
      <c r="S1275" s="344"/>
      <c r="T1275" s="344"/>
      <c r="U1275" s="344"/>
      <c r="V1275" s="344"/>
      <c r="W1275" s="344"/>
      <c r="X1275" s="344"/>
      <c r="Y1275" s="344"/>
      <c r="Z1275" s="344"/>
    </row>
    <row r="1276">
      <c r="A1276" s="129"/>
      <c r="B1276" s="129"/>
      <c r="C1276" s="186" t="s">
        <v>1773</v>
      </c>
      <c r="D1276" s="144">
        <v>2022.0</v>
      </c>
      <c r="E1276" s="344"/>
      <c r="F1276" s="348"/>
      <c r="G1276" s="344"/>
      <c r="H1276" s="344"/>
      <c r="I1276" s="344"/>
      <c r="J1276" s="344"/>
      <c r="K1276" s="344"/>
      <c r="L1276" s="344"/>
      <c r="M1276" s="344"/>
      <c r="N1276" s="344"/>
      <c r="O1276" s="344"/>
      <c r="P1276" s="344"/>
      <c r="Q1276" s="344"/>
      <c r="R1276" s="344"/>
      <c r="S1276" s="344"/>
      <c r="T1276" s="344"/>
      <c r="U1276" s="344"/>
      <c r="V1276" s="344"/>
      <c r="W1276" s="344"/>
      <c r="X1276" s="344"/>
      <c r="Y1276" s="344"/>
      <c r="Z1276" s="344"/>
    </row>
    <row r="1277">
      <c r="A1277" s="129"/>
      <c r="B1277" s="129"/>
      <c r="C1277" s="186" t="s">
        <v>1774</v>
      </c>
      <c r="D1277" s="144">
        <v>2022.0</v>
      </c>
      <c r="E1277" s="344"/>
      <c r="F1277" s="348"/>
      <c r="G1277" s="344"/>
      <c r="H1277" s="344"/>
      <c r="I1277" s="344"/>
      <c r="J1277" s="344"/>
      <c r="K1277" s="344"/>
      <c r="L1277" s="344"/>
      <c r="M1277" s="344"/>
      <c r="N1277" s="344"/>
      <c r="O1277" s="344"/>
      <c r="P1277" s="344"/>
      <c r="Q1277" s="344"/>
      <c r="R1277" s="344"/>
      <c r="S1277" s="344"/>
      <c r="T1277" s="344"/>
      <c r="U1277" s="344"/>
      <c r="V1277" s="344"/>
      <c r="W1277" s="344"/>
      <c r="X1277" s="344"/>
      <c r="Y1277" s="344"/>
      <c r="Z1277" s="344"/>
    </row>
    <row r="1278">
      <c r="A1278" s="129"/>
      <c r="B1278" s="129"/>
      <c r="C1278" s="186" t="s">
        <v>1775</v>
      </c>
      <c r="D1278" s="144">
        <v>2022.0</v>
      </c>
      <c r="E1278" s="344"/>
      <c r="F1278" s="348"/>
      <c r="G1278" s="344"/>
      <c r="H1278" s="344"/>
      <c r="I1278" s="344"/>
      <c r="J1278" s="344"/>
      <c r="K1278" s="344"/>
      <c r="L1278" s="344"/>
      <c r="M1278" s="344"/>
      <c r="N1278" s="344"/>
      <c r="O1278" s="344"/>
      <c r="P1278" s="344"/>
      <c r="Q1278" s="344"/>
      <c r="R1278" s="344"/>
      <c r="S1278" s="344"/>
      <c r="T1278" s="344"/>
      <c r="U1278" s="344"/>
      <c r="V1278" s="344"/>
      <c r="W1278" s="344"/>
      <c r="X1278" s="344"/>
      <c r="Y1278" s="344"/>
      <c r="Z1278" s="344"/>
    </row>
    <row r="1279">
      <c r="A1279" s="129"/>
      <c r="B1279" s="129"/>
      <c r="C1279" s="186" t="s">
        <v>1776</v>
      </c>
      <c r="D1279" s="144">
        <v>2023.0</v>
      </c>
      <c r="E1279" s="344"/>
      <c r="F1279" s="348"/>
      <c r="G1279" s="344"/>
      <c r="H1279" s="344"/>
      <c r="I1279" s="344"/>
      <c r="J1279" s="344"/>
      <c r="K1279" s="344"/>
      <c r="L1279" s="344"/>
      <c r="M1279" s="344"/>
      <c r="N1279" s="344"/>
      <c r="O1279" s="344"/>
      <c r="P1279" s="344"/>
      <c r="Q1279" s="344"/>
      <c r="R1279" s="344"/>
      <c r="S1279" s="344"/>
      <c r="T1279" s="344"/>
      <c r="U1279" s="344"/>
      <c r="V1279" s="344"/>
      <c r="W1279" s="344"/>
      <c r="X1279" s="344"/>
      <c r="Y1279" s="344"/>
      <c r="Z1279" s="344"/>
    </row>
    <row r="1280">
      <c r="A1280" s="129"/>
      <c r="B1280" s="129"/>
      <c r="C1280" s="186" t="s">
        <v>1777</v>
      </c>
      <c r="D1280" s="144">
        <v>2023.0</v>
      </c>
      <c r="E1280" s="344"/>
      <c r="F1280" s="348"/>
      <c r="G1280" s="344"/>
      <c r="H1280" s="344"/>
      <c r="I1280" s="344"/>
      <c r="J1280" s="344"/>
      <c r="K1280" s="344"/>
      <c r="L1280" s="344"/>
      <c r="M1280" s="344"/>
      <c r="N1280" s="344"/>
      <c r="O1280" s="344"/>
      <c r="P1280" s="344"/>
      <c r="Q1280" s="344"/>
      <c r="R1280" s="344"/>
      <c r="S1280" s="344"/>
      <c r="T1280" s="344"/>
      <c r="U1280" s="344"/>
      <c r="V1280" s="344"/>
      <c r="W1280" s="344"/>
      <c r="X1280" s="344"/>
      <c r="Y1280" s="344"/>
      <c r="Z1280" s="344"/>
    </row>
    <row r="1281">
      <c r="A1281" s="56"/>
      <c r="B1281" s="56"/>
      <c r="C1281" s="186" t="s">
        <v>1778</v>
      </c>
      <c r="D1281" s="144">
        <v>2023.0</v>
      </c>
      <c r="E1281" s="344"/>
      <c r="F1281" s="348"/>
      <c r="G1281" s="344"/>
      <c r="H1281" s="344"/>
      <c r="I1281" s="344"/>
      <c r="J1281" s="344"/>
      <c r="K1281" s="344"/>
      <c r="L1281" s="344"/>
      <c r="M1281" s="344"/>
      <c r="N1281" s="344"/>
      <c r="O1281" s="344"/>
      <c r="P1281" s="344"/>
      <c r="Q1281" s="344"/>
      <c r="R1281" s="344"/>
      <c r="S1281" s="344"/>
      <c r="T1281" s="344"/>
      <c r="U1281" s="344"/>
      <c r="V1281" s="344"/>
      <c r="W1281" s="344"/>
      <c r="X1281" s="344"/>
      <c r="Y1281" s="344"/>
      <c r="Z1281" s="344"/>
    </row>
    <row r="1282">
      <c r="A1282" s="479">
        <v>31.0</v>
      </c>
      <c r="B1282" s="480" t="s">
        <v>768</v>
      </c>
      <c r="C1282" s="481" t="s">
        <v>1779</v>
      </c>
      <c r="D1282" s="486">
        <v>44762.0</v>
      </c>
      <c r="E1282" s="344"/>
      <c r="F1282" s="348"/>
      <c r="G1282" s="344"/>
      <c r="H1282" s="344"/>
      <c r="I1282" s="344"/>
      <c r="J1282" s="344"/>
      <c r="K1282" s="344"/>
      <c r="L1282" s="344"/>
      <c r="M1282" s="344"/>
      <c r="N1282" s="344"/>
      <c r="O1282" s="344"/>
      <c r="P1282" s="344"/>
      <c r="Q1282" s="344"/>
      <c r="R1282" s="344"/>
      <c r="S1282" s="344"/>
      <c r="T1282" s="344"/>
      <c r="U1282" s="344"/>
      <c r="V1282" s="344"/>
      <c r="W1282" s="344"/>
      <c r="X1282" s="344"/>
      <c r="Y1282" s="344"/>
      <c r="Z1282" s="344"/>
    </row>
    <row r="1283">
      <c r="A1283" s="129"/>
      <c r="B1283" s="129"/>
      <c r="C1283" s="481" t="s">
        <v>1780</v>
      </c>
      <c r="D1283" s="145" t="s">
        <v>1781</v>
      </c>
      <c r="E1283" s="344"/>
      <c r="F1283" s="348"/>
      <c r="G1283" s="344"/>
      <c r="H1283" s="344"/>
      <c r="I1283" s="344"/>
      <c r="J1283" s="344"/>
      <c r="K1283" s="344"/>
      <c r="L1283" s="344"/>
      <c r="M1283" s="344"/>
      <c r="N1283" s="344"/>
      <c r="O1283" s="344"/>
      <c r="P1283" s="344"/>
      <c r="Q1283" s="344"/>
      <c r="R1283" s="344"/>
      <c r="S1283" s="344"/>
      <c r="T1283" s="344"/>
      <c r="U1283" s="344"/>
      <c r="V1283" s="344"/>
      <c r="W1283" s="344"/>
      <c r="X1283" s="344"/>
      <c r="Y1283" s="344"/>
      <c r="Z1283" s="344"/>
    </row>
    <row r="1284">
      <c r="A1284" s="129"/>
      <c r="B1284" s="129"/>
      <c r="C1284" s="481" t="s">
        <v>1782</v>
      </c>
      <c r="D1284" s="145" t="s">
        <v>1783</v>
      </c>
      <c r="E1284" s="344"/>
      <c r="F1284" s="348"/>
      <c r="G1284" s="344"/>
      <c r="H1284" s="344"/>
      <c r="I1284" s="344"/>
      <c r="J1284" s="344"/>
      <c r="K1284" s="344"/>
      <c r="L1284" s="344"/>
      <c r="M1284" s="344"/>
      <c r="N1284" s="344"/>
      <c r="O1284" s="344"/>
      <c r="P1284" s="344"/>
      <c r="Q1284" s="344"/>
      <c r="R1284" s="344"/>
      <c r="S1284" s="344"/>
      <c r="T1284" s="344"/>
      <c r="U1284" s="344"/>
      <c r="V1284" s="344"/>
      <c r="W1284" s="344"/>
      <c r="X1284" s="344"/>
      <c r="Y1284" s="344"/>
      <c r="Z1284" s="344"/>
    </row>
    <row r="1285">
      <c r="A1285" s="129"/>
      <c r="B1285" s="129"/>
      <c r="C1285" s="481" t="s">
        <v>1784</v>
      </c>
      <c r="D1285" s="145" t="s">
        <v>1785</v>
      </c>
      <c r="E1285" s="344"/>
      <c r="F1285" s="348"/>
      <c r="G1285" s="344"/>
      <c r="H1285" s="344"/>
      <c r="I1285" s="344"/>
      <c r="J1285" s="344"/>
      <c r="K1285" s="344"/>
      <c r="L1285" s="344"/>
      <c r="M1285" s="344"/>
      <c r="N1285" s="344"/>
      <c r="O1285" s="344"/>
      <c r="P1285" s="344"/>
      <c r="Q1285" s="344"/>
      <c r="R1285" s="344"/>
      <c r="S1285" s="344"/>
      <c r="T1285" s="344"/>
      <c r="U1285" s="344"/>
      <c r="V1285" s="344"/>
      <c r="W1285" s="344"/>
      <c r="X1285" s="344"/>
      <c r="Y1285" s="344"/>
      <c r="Z1285" s="344"/>
    </row>
    <row r="1286">
      <c r="A1286" s="129"/>
      <c r="B1286" s="129"/>
      <c r="C1286" s="481" t="s">
        <v>1786</v>
      </c>
      <c r="D1286" s="145" t="s">
        <v>1787</v>
      </c>
      <c r="E1286" s="344"/>
      <c r="F1286" s="348"/>
      <c r="G1286" s="344"/>
      <c r="H1286" s="344"/>
      <c r="I1286" s="344"/>
      <c r="J1286" s="344"/>
      <c r="K1286" s="344"/>
      <c r="L1286" s="344"/>
      <c r="M1286" s="344"/>
      <c r="N1286" s="344"/>
      <c r="O1286" s="344"/>
      <c r="P1286" s="344"/>
      <c r="Q1286" s="344"/>
      <c r="R1286" s="344"/>
      <c r="S1286" s="344"/>
      <c r="T1286" s="344"/>
      <c r="U1286" s="344"/>
      <c r="V1286" s="344"/>
      <c r="W1286" s="344"/>
      <c r="X1286" s="344"/>
      <c r="Y1286" s="344"/>
      <c r="Z1286" s="344"/>
    </row>
    <row r="1287">
      <c r="A1287" s="129"/>
      <c r="B1287" s="129"/>
      <c r="C1287" s="481" t="s">
        <v>1750</v>
      </c>
      <c r="D1287" s="145" t="s">
        <v>1788</v>
      </c>
      <c r="E1287" s="344"/>
      <c r="F1287" s="348"/>
      <c r="G1287" s="344"/>
      <c r="H1287" s="344"/>
      <c r="I1287" s="344"/>
      <c r="J1287" s="344"/>
      <c r="K1287" s="344"/>
      <c r="L1287" s="344"/>
      <c r="M1287" s="344"/>
      <c r="N1287" s="344"/>
      <c r="O1287" s="344"/>
      <c r="P1287" s="344"/>
      <c r="Q1287" s="344"/>
      <c r="R1287" s="344"/>
      <c r="S1287" s="344"/>
      <c r="T1287" s="344"/>
      <c r="U1287" s="344"/>
      <c r="V1287" s="344"/>
      <c r="W1287" s="344"/>
      <c r="X1287" s="344"/>
      <c r="Y1287" s="344"/>
      <c r="Z1287" s="344"/>
    </row>
    <row r="1288">
      <c r="A1288" s="56"/>
      <c r="B1288" s="56"/>
      <c r="C1288" s="481" t="s">
        <v>1789</v>
      </c>
      <c r="D1288" s="145" t="s">
        <v>1759</v>
      </c>
      <c r="E1288" s="344"/>
      <c r="F1288" s="348"/>
      <c r="G1288" s="344"/>
      <c r="H1288" s="344"/>
      <c r="I1288" s="344"/>
      <c r="J1288" s="344"/>
      <c r="K1288" s="344"/>
      <c r="L1288" s="344"/>
      <c r="M1288" s="344"/>
      <c r="N1288" s="344"/>
      <c r="O1288" s="344"/>
      <c r="P1288" s="344"/>
      <c r="Q1288" s="344"/>
      <c r="R1288" s="344"/>
      <c r="S1288" s="344"/>
      <c r="T1288" s="344"/>
      <c r="U1288" s="344"/>
      <c r="V1288" s="344"/>
      <c r="W1288" s="344"/>
      <c r="X1288" s="344"/>
      <c r="Y1288" s="344"/>
      <c r="Z1288" s="344"/>
    </row>
    <row r="1289">
      <c r="A1289" s="188">
        <v>32.0</v>
      </c>
      <c r="B1289" s="189" t="s">
        <v>670</v>
      </c>
      <c r="C1289" s="375" t="s">
        <v>290</v>
      </c>
      <c r="D1289" s="481"/>
      <c r="E1289" s="344"/>
      <c r="F1289" s="348"/>
      <c r="G1289" s="344"/>
      <c r="H1289" s="344"/>
      <c r="I1289" s="344"/>
      <c r="J1289" s="344"/>
      <c r="K1289" s="344"/>
      <c r="L1289" s="344"/>
      <c r="M1289" s="344"/>
      <c r="N1289" s="344"/>
      <c r="O1289" s="344"/>
      <c r="P1289" s="344"/>
      <c r="Q1289" s="344"/>
      <c r="R1289" s="344"/>
      <c r="S1289" s="344"/>
      <c r="T1289" s="344"/>
      <c r="U1289" s="344"/>
      <c r="V1289" s="344"/>
      <c r="W1289" s="344"/>
      <c r="X1289" s="344"/>
      <c r="Y1289" s="344"/>
      <c r="Z1289" s="344"/>
    </row>
    <row r="1290">
      <c r="A1290" s="479">
        <v>33.0</v>
      </c>
      <c r="B1290" s="480" t="s">
        <v>771</v>
      </c>
      <c r="C1290" s="481" t="s">
        <v>1744</v>
      </c>
      <c r="D1290" s="145" t="s">
        <v>1790</v>
      </c>
      <c r="E1290" s="344"/>
      <c r="F1290" s="348"/>
      <c r="G1290" s="344"/>
      <c r="H1290" s="344"/>
      <c r="I1290" s="344"/>
      <c r="J1290" s="344"/>
      <c r="K1290" s="344"/>
      <c r="L1290" s="344"/>
      <c r="M1290" s="344"/>
      <c r="N1290" s="344"/>
      <c r="O1290" s="344"/>
      <c r="P1290" s="344"/>
      <c r="Q1290" s="344"/>
      <c r="R1290" s="344"/>
      <c r="S1290" s="344"/>
      <c r="T1290" s="344"/>
      <c r="U1290" s="344"/>
      <c r="V1290" s="344"/>
      <c r="W1290" s="344"/>
      <c r="X1290" s="344"/>
      <c r="Y1290" s="344"/>
      <c r="Z1290" s="344"/>
    </row>
    <row r="1291">
      <c r="A1291" s="56"/>
      <c r="B1291" s="56"/>
      <c r="C1291" s="481" t="s">
        <v>1734</v>
      </c>
      <c r="D1291" s="145" t="s">
        <v>1759</v>
      </c>
      <c r="E1291" s="344"/>
      <c r="F1291" s="348"/>
      <c r="G1291" s="344"/>
      <c r="H1291" s="344"/>
      <c r="I1291" s="344"/>
      <c r="J1291" s="344"/>
      <c r="K1291" s="344"/>
      <c r="L1291" s="344"/>
      <c r="M1291" s="344"/>
      <c r="N1291" s="344"/>
      <c r="O1291" s="344"/>
      <c r="P1291" s="344"/>
      <c r="Q1291" s="344"/>
      <c r="R1291" s="344"/>
      <c r="S1291" s="344"/>
      <c r="T1291" s="344"/>
      <c r="U1291" s="344"/>
      <c r="V1291" s="344"/>
      <c r="W1291" s="344"/>
      <c r="X1291" s="344"/>
      <c r="Y1291" s="344"/>
      <c r="Z1291" s="344"/>
    </row>
    <row r="1292">
      <c r="A1292" s="188">
        <v>34.0</v>
      </c>
      <c r="B1292" s="189" t="s">
        <v>570</v>
      </c>
      <c r="C1292" s="375" t="s">
        <v>290</v>
      </c>
      <c r="D1292" s="481"/>
      <c r="E1292" s="344"/>
      <c r="F1292" s="348"/>
      <c r="G1292" s="344"/>
      <c r="H1292" s="344"/>
      <c r="I1292" s="344"/>
      <c r="J1292" s="344"/>
      <c r="K1292" s="344"/>
      <c r="L1292" s="344"/>
      <c r="M1292" s="344"/>
      <c r="N1292" s="344"/>
      <c r="O1292" s="344"/>
      <c r="P1292" s="344"/>
      <c r="Q1292" s="344"/>
      <c r="R1292" s="344"/>
      <c r="S1292" s="344"/>
      <c r="T1292" s="344"/>
      <c r="U1292" s="344"/>
      <c r="V1292" s="344"/>
      <c r="W1292" s="344"/>
      <c r="X1292" s="344"/>
      <c r="Y1292" s="344"/>
      <c r="Z1292" s="344"/>
    </row>
    <row r="1293">
      <c r="A1293" s="188">
        <v>35.0</v>
      </c>
      <c r="B1293" s="189" t="s">
        <v>772</v>
      </c>
      <c r="C1293" s="375" t="s">
        <v>290</v>
      </c>
      <c r="D1293" s="481"/>
      <c r="E1293" s="344"/>
      <c r="F1293" s="348"/>
      <c r="G1293" s="344"/>
      <c r="H1293" s="344"/>
      <c r="I1293" s="344"/>
      <c r="J1293" s="344"/>
      <c r="K1293" s="344"/>
      <c r="L1293" s="344"/>
      <c r="M1293" s="344"/>
      <c r="N1293" s="344"/>
      <c r="O1293" s="344"/>
      <c r="P1293" s="344"/>
      <c r="Q1293" s="344"/>
      <c r="R1293" s="344"/>
      <c r="S1293" s="344"/>
      <c r="T1293" s="344"/>
      <c r="U1293" s="344"/>
      <c r="V1293" s="344"/>
      <c r="W1293" s="344"/>
      <c r="X1293" s="344"/>
      <c r="Y1293" s="344"/>
      <c r="Z1293" s="344"/>
    </row>
    <row r="1294">
      <c r="A1294" s="188">
        <v>36.0</v>
      </c>
      <c r="B1294" s="189" t="s">
        <v>571</v>
      </c>
      <c r="C1294" s="375" t="s">
        <v>290</v>
      </c>
      <c r="D1294" s="490"/>
      <c r="E1294" s="344"/>
      <c r="F1294" s="348"/>
      <c r="G1294" s="344"/>
      <c r="H1294" s="344"/>
      <c r="I1294" s="344"/>
      <c r="J1294" s="344"/>
      <c r="K1294" s="344"/>
      <c r="L1294" s="344"/>
      <c r="M1294" s="344"/>
      <c r="N1294" s="344"/>
      <c r="O1294" s="344"/>
      <c r="P1294" s="344"/>
      <c r="Q1294" s="344"/>
      <c r="R1294" s="344"/>
      <c r="S1294" s="344"/>
      <c r="T1294" s="344"/>
      <c r="U1294" s="344"/>
      <c r="V1294" s="344"/>
      <c r="W1294" s="344"/>
      <c r="X1294" s="344"/>
      <c r="Y1294" s="344"/>
      <c r="Z1294" s="344"/>
    </row>
    <row r="1295">
      <c r="A1295" s="188">
        <v>37.0</v>
      </c>
      <c r="B1295" s="189" t="s">
        <v>775</v>
      </c>
      <c r="C1295" s="481" t="s">
        <v>1734</v>
      </c>
      <c r="D1295" s="145" t="s">
        <v>1759</v>
      </c>
      <c r="E1295" s="344"/>
      <c r="F1295" s="348"/>
      <c r="G1295" s="344"/>
      <c r="H1295" s="344"/>
      <c r="I1295" s="344"/>
      <c r="J1295" s="344"/>
      <c r="K1295" s="344"/>
      <c r="L1295" s="344"/>
      <c r="M1295" s="344"/>
      <c r="N1295" s="344"/>
      <c r="O1295" s="344"/>
      <c r="P1295" s="344"/>
      <c r="Q1295" s="344"/>
      <c r="R1295" s="344"/>
      <c r="S1295" s="344"/>
      <c r="T1295" s="344"/>
      <c r="U1295" s="344"/>
      <c r="V1295" s="344"/>
      <c r="W1295" s="344"/>
      <c r="X1295" s="344"/>
      <c r="Y1295" s="344"/>
      <c r="Z1295" s="344"/>
    </row>
    <row r="1296">
      <c r="A1296" s="188">
        <v>38.0</v>
      </c>
      <c r="B1296" s="189" t="s">
        <v>777</v>
      </c>
      <c r="C1296" s="481"/>
      <c r="D1296" s="481"/>
      <c r="E1296" s="344"/>
      <c r="F1296" s="348"/>
      <c r="G1296" s="344"/>
      <c r="H1296" s="344"/>
      <c r="I1296" s="344"/>
      <c r="J1296" s="344"/>
      <c r="K1296" s="344"/>
      <c r="L1296" s="344"/>
      <c r="M1296" s="344"/>
      <c r="N1296" s="344"/>
      <c r="O1296" s="344"/>
      <c r="P1296" s="344"/>
      <c r="Q1296" s="344"/>
      <c r="R1296" s="344"/>
      <c r="S1296" s="344"/>
      <c r="T1296" s="344"/>
      <c r="U1296" s="344"/>
      <c r="V1296" s="344"/>
      <c r="W1296" s="344"/>
      <c r="X1296" s="344"/>
      <c r="Y1296" s="344"/>
      <c r="Z1296" s="344"/>
    </row>
    <row r="1297">
      <c r="A1297" s="479">
        <v>39.0</v>
      </c>
      <c r="B1297" s="480" t="s">
        <v>778</v>
      </c>
      <c r="C1297" s="481" t="s">
        <v>1791</v>
      </c>
      <c r="D1297" s="487">
        <v>44567.0</v>
      </c>
      <c r="E1297" s="344"/>
      <c r="F1297" s="348"/>
      <c r="G1297" s="344"/>
      <c r="H1297" s="344"/>
      <c r="I1297" s="344"/>
      <c r="J1297" s="344"/>
      <c r="K1297" s="344"/>
      <c r="L1297" s="344"/>
      <c r="M1297" s="344"/>
      <c r="N1297" s="344"/>
      <c r="O1297" s="344"/>
      <c r="P1297" s="344"/>
      <c r="Q1297" s="344"/>
      <c r="R1297" s="344"/>
      <c r="S1297" s="344"/>
      <c r="T1297" s="344"/>
      <c r="U1297" s="344"/>
      <c r="V1297" s="344"/>
      <c r="W1297" s="344"/>
      <c r="X1297" s="344"/>
      <c r="Y1297" s="344"/>
      <c r="Z1297" s="344"/>
    </row>
    <row r="1298">
      <c r="A1298" s="129"/>
      <c r="B1298" s="129"/>
      <c r="C1298" s="481" t="s">
        <v>1750</v>
      </c>
      <c r="D1298" s="145" t="s">
        <v>1788</v>
      </c>
      <c r="E1298" s="344"/>
      <c r="F1298" s="348"/>
      <c r="G1298" s="344"/>
      <c r="H1298" s="344"/>
      <c r="I1298" s="344"/>
      <c r="J1298" s="344"/>
      <c r="K1298" s="344"/>
      <c r="L1298" s="344"/>
      <c r="M1298" s="344"/>
      <c r="N1298" s="344"/>
      <c r="O1298" s="344"/>
      <c r="P1298" s="344"/>
      <c r="Q1298" s="344"/>
      <c r="R1298" s="344"/>
      <c r="S1298" s="344"/>
      <c r="T1298" s="344"/>
      <c r="U1298" s="344"/>
      <c r="V1298" s="344"/>
      <c r="W1298" s="344"/>
      <c r="X1298" s="344"/>
      <c r="Y1298" s="344"/>
      <c r="Z1298" s="344"/>
    </row>
    <row r="1299">
      <c r="A1299" s="56"/>
      <c r="B1299" s="56"/>
      <c r="C1299" s="481" t="s">
        <v>1789</v>
      </c>
      <c r="D1299" s="145" t="s">
        <v>1759</v>
      </c>
      <c r="E1299" s="344"/>
      <c r="F1299" s="348"/>
      <c r="G1299" s="344"/>
      <c r="H1299" s="344"/>
      <c r="I1299" s="344"/>
      <c r="J1299" s="344"/>
      <c r="K1299" s="344"/>
      <c r="L1299" s="344"/>
      <c r="M1299" s="344"/>
      <c r="N1299" s="344"/>
      <c r="O1299" s="344"/>
      <c r="P1299" s="344"/>
      <c r="Q1299" s="344"/>
      <c r="R1299" s="344"/>
      <c r="S1299" s="344"/>
      <c r="T1299" s="344"/>
      <c r="U1299" s="344"/>
      <c r="V1299" s="344"/>
      <c r="W1299" s="344"/>
      <c r="X1299" s="344"/>
      <c r="Y1299" s="344"/>
      <c r="Z1299" s="344"/>
    </row>
    <row r="1300">
      <c r="A1300" s="188">
        <v>40.0</v>
      </c>
      <c r="B1300" s="189" t="s">
        <v>780</v>
      </c>
      <c r="C1300" s="481" t="s">
        <v>1792</v>
      </c>
      <c r="D1300" s="491">
        <v>45586.0</v>
      </c>
      <c r="E1300" s="344"/>
      <c r="F1300" s="348"/>
      <c r="G1300" s="344"/>
      <c r="H1300" s="344"/>
      <c r="I1300" s="344"/>
      <c r="J1300" s="344"/>
      <c r="K1300" s="344"/>
      <c r="L1300" s="344"/>
      <c r="M1300" s="344"/>
      <c r="N1300" s="344"/>
      <c r="O1300" s="344"/>
      <c r="P1300" s="344"/>
      <c r="Q1300" s="344"/>
      <c r="R1300" s="344"/>
      <c r="S1300" s="344"/>
      <c r="T1300" s="344"/>
      <c r="U1300" s="344"/>
      <c r="V1300" s="344"/>
      <c r="W1300" s="344"/>
      <c r="X1300" s="344"/>
      <c r="Y1300" s="344"/>
      <c r="Z1300" s="344"/>
    </row>
    <row r="1301">
      <c r="A1301" s="188">
        <v>41.0</v>
      </c>
      <c r="B1301" s="189" t="s">
        <v>781</v>
      </c>
      <c r="C1301" s="369" t="s">
        <v>1793</v>
      </c>
      <c r="D1301" s="492">
        <v>44836.0</v>
      </c>
      <c r="E1301" s="344"/>
      <c r="F1301" s="348"/>
      <c r="G1301" s="344"/>
      <c r="H1301" s="344"/>
      <c r="I1301" s="344"/>
      <c r="J1301" s="344"/>
      <c r="K1301" s="344"/>
      <c r="L1301" s="344"/>
      <c r="M1301" s="344"/>
      <c r="N1301" s="344"/>
      <c r="O1301" s="344"/>
      <c r="P1301" s="344"/>
      <c r="Q1301" s="344"/>
      <c r="R1301" s="344"/>
      <c r="S1301" s="344"/>
      <c r="T1301" s="344"/>
      <c r="U1301" s="344"/>
      <c r="V1301" s="344"/>
      <c r="W1301" s="344"/>
      <c r="X1301" s="344"/>
      <c r="Y1301" s="344"/>
      <c r="Z1301" s="344"/>
    </row>
    <row r="1302">
      <c r="A1302" s="188">
        <v>42.0</v>
      </c>
      <c r="B1302" s="493" t="s">
        <v>783</v>
      </c>
      <c r="C1302" s="369" t="s">
        <v>1794</v>
      </c>
      <c r="D1302" s="494">
        <v>44876.0</v>
      </c>
      <c r="E1302" s="344"/>
      <c r="F1302" s="348"/>
      <c r="G1302" s="344"/>
      <c r="H1302" s="344"/>
      <c r="I1302" s="344"/>
      <c r="J1302" s="344"/>
      <c r="K1302" s="344"/>
      <c r="L1302" s="344"/>
      <c r="M1302" s="344"/>
      <c r="N1302" s="344"/>
      <c r="O1302" s="344"/>
      <c r="P1302" s="344"/>
      <c r="Q1302" s="344"/>
      <c r="R1302" s="344"/>
      <c r="S1302" s="344"/>
      <c r="T1302" s="344"/>
      <c r="U1302" s="344"/>
      <c r="V1302" s="344"/>
      <c r="W1302" s="344"/>
      <c r="X1302" s="344"/>
      <c r="Y1302" s="344"/>
      <c r="Z1302" s="344"/>
    </row>
    <row r="1303">
      <c r="A1303" s="479">
        <v>43.0</v>
      </c>
      <c r="B1303" s="480" t="s">
        <v>784</v>
      </c>
      <c r="C1303" s="481" t="s">
        <v>1795</v>
      </c>
      <c r="D1303" s="145" t="s">
        <v>1796</v>
      </c>
      <c r="E1303" s="344"/>
      <c r="F1303" s="348"/>
      <c r="G1303" s="344"/>
      <c r="H1303" s="344"/>
      <c r="I1303" s="344"/>
      <c r="J1303" s="344"/>
      <c r="K1303" s="344"/>
      <c r="L1303" s="344"/>
      <c r="M1303" s="344"/>
      <c r="N1303" s="344"/>
      <c r="O1303" s="344"/>
      <c r="P1303" s="344"/>
      <c r="Q1303" s="344"/>
      <c r="R1303" s="344"/>
      <c r="S1303" s="344"/>
      <c r="T1303" s="344"/>
      <c r="U1303" s="344"/>
      <c r="V1303" s="344"/>
      <c r="W1303" s="344"/>
      <c r="X1303" s="344"/>
      <c r="Y1303" s="344"/>
      <c r="Z1303" s="344"/>
    </row>
    <row r="1304">
      <c r="A1304" s="129"/>
      <c r="B1304" s="129"/>
      <c r="C1304" s="481" t="s">
        <v>1797</v>
      </c>
      <c r="D1304" s="486">
        <v>44767.0</v>
      </c>
      <c r="E1304" s="344"/>
      <c r="F1304" s="348"/>
      <c r="G1304" s="344"/>
      <c r="H1304" s="344"/>
      <c r="I1304" s="344"/>
      <c r="J1304" s="344"/>
      <c r="K1304" s="344"/>
      <c r="L1304" s="344"/>
      <c r="M1304" s="344"/>
      <c r="N1304" s="344"/>
      <c r="O1304" s="344"/>
      <c r="P1304" s="344"/>
      <c r="Q1304" s="344"/>
      <c r="R1304" s="344"/>
      <c r="S1304" s="344"/>
      <c r="T1304" s="344"/>
      <c r="U1304" s="344"/>
      <c r="V1304" s="344"/>
      <c r="W1304" s="344"/>
      <c r="X1304" s="344"/>
      <c r="Y1304" s="344"/>
      <c r="Z1304" s="344"/>
    </row>
    <row r="1305">
      <c r="A1305" s="129"/>
      <c r="B1305" s="129"/>
      <c r="C1305" s="481" t="s">
        <v>1798</v>
      </c>
      <c r="D1305" s="145" t="s">
        <v>1799</v>
      </c>
      <c r="E1305" s="344"/>
      <c r="F1305" s="348"/>
      <c r="G1305" s="344"/>
      <c r="H1305" s="344"/>
      <c r="I1305" s="344"/>
      <c r="J1305" s="344"/>
      <c r="K1305" s="344"/>
      <c r="L1305" s="344"/>
      <c r="M1305" s="344"/>
      <c r="N1305" s="344"/>
      <c r="O1305" s="344"/>
      <c r="P1305" s="344"/>
      <c r="Q1305" s="344"/>
      <c r="R1305" s="344"/>
      <c r="S1305" s="344"/>
      <c r="T1305" s="344"/>
      <c r="U1305" s="344"/>
      <c r="V1305" s="344"/>
      <c r="W1305" s="344"/>
      <c r="X1305" s="344"/>
      <c r="Y1305" s="344"/>
      <c r="Z1305" s="344"/>
    </row>
    <row r="1306">
      <c r="A1306" s="129"/>
      <c r="B1306" s="129"/>
      <c r="C1306" s="481" t="s">
        <v>1800</v>
      </c>
      <c r="D1306" s="486">
        <v>44722.0</v>
      </c>
      <c r="E1306" s="344"/>
      <c r="F1306" s="348"/>
      <c r="G1306" s="344"/>
      <c r="H1306" s="344"/>
      <c r="I1306" s="344"/>
      <c r="J1306" s="344"/>
      <c r="K1306" s="344"/>
      <c r="L1306" s="344"/>
      <c r="M1306" s="344"/>
      <c r="N1306" s="344"/>
      <c r="O1306" s="344"/>
      <c r="P1306" s="344"/>
      <c r="Q1306" s="344"/>
      <c r="R1306" s="344"/>
      <c r="S1306" s="344"/>
      <c r="T1306" s="344"/>
      <c r="U1306" s="344"/>
      <c r="V1306" s="344"/>
      <c r="W1306" s="344"/>
      <c r="X1306" s="344"/>
      <c r="Y1306" s="344"/>
      <c r="Z1306" s="344"/>
    </row>
    <row r="1307">
      <c r="A1307" s="56"/>
      <c r="B1307" s="56"/>
      <c r="C1307" s="481" t="s">
        <v>1801</v>
      </c>
      <c r="D1307" s="145" t="s">
        <v>1802</v>
      </c>
      <c r="E1307" s="344"/>
      <c r="F1307" s="348"/>
      <c r="G1307" s="344"/>
      <c r="H1307" s="344"/>
      <c r="I1307" s="344"/>
      <c r="J1307" s="344"/>
      <c r="K1307" s="344"/>
      <c r="L1307" s="344"/>
      <c r="M1307" s="344"/>
      <c r="N1307" s="344"/>
      <c r="O1307" s="344"/>
      <c r="P1307" s="344"/>
      <c r="Q1307" s="344"/>
      <c r="R1307" s="344"/>
      <c r="S1307" s="344"/>
      <c r="T1307" s="344"/>
      <c r="U1307" s="344"/>
      <c r="V1307" s="344"/>
      <c r="W1307" s="344"/>
      <c r="X1307" s="344"/>
      <c r="Y1307" s="344"/>
      <c r="Z1307" s="344"/>
    </row>
    <row r="1308">
      <c r="A1308" s="188">
        <v>44.0</v>
      </c>
      <c r="B1308" s="189" t="s">
        <v>786</v>
      </c>
      <c r="C1308" s="375" t="s">
        <v>290</v>
      </c>
      <c r="D1308" s="481"/>
      <c r="E1308" s="344"/>
      <c r="F1308" s="348"/>
      <c r="G1308" s="344"/>
      <c r="H1308" s="344"/>
      <c r="I1308" s="344"/>
      <c r="J1308" s="344"/>
      <c r="K1308" s="344"/>
      <c r="L1308" s="344"/>
      <c r="M1308" s="344"/>
      <c r="N1308" s="344"/>
      <c r="O1308" s="344"/>
      <c r="P1308" s="344"/>
      <c r="Q1308" s="344"/>
      <c r="R1308" s="344"/>
      <c r="S1308" s="344"/>
      <c r="T1308" s="344"/>
      <c r="U1308" s="344"/>
      <c r="V1308" s="344"/>
      <c r="W1308" s="344"/>
      <c r="X1308" s="344"/>
      <c r="Y1308" s="344"/>
      <c r="Z1308" s="344"/>
    </row>
    <row r="1309">
      <c r="A1309" s="188">
        <v>45.0</v>
      </c>
      <c r="B1309" s="189" t="s">
        <v>787</v>
      </c>
      <c r="C1309" s="375"/>
      <c r="D1309" s="481"/>
      <c r="E1309" s="344"/>
      <c r="F1309" s="348"/>
      <c r="G1309" s="344"/>
      <c r="H1309" s="431"/>
      <c r="I1309" s="344"/>
      <c r="J1309" s="344"/>
      <c r="K1309" s="344"/>
      <c r="L1309" s="344"/>
      <c r="M1309" s="344"/>
      <c r="N1309" s="344"/>
      <c r="O1309" s="344"/>
      <c r="P1309" s="344"/>
      <c r="Q1309" s="344"/>
      <c r="R1309" s="344"/>
      <c r="S1309" s="344"/>
      <c r="T1309" s="344"/>
      <c r="U1309" s="344"/>
      <c r="V1309" s="344"/>
      <c r="W1309" s="344"/>
      <c r="X1309" s="344"/>
      <c r="Y1309" s="344"/>
      <c r="Z1309" s="344"/>
    </row>
    <row r="1310">
      <c r="A1310" s="188">
        <v>46.0</v>
      </c>
      <c r="B1310" s="189" t="s">
        <v>789</v>
      </c>
      <c r="C1310" s="375"/>
      <c r="D1310" s="481"/>
      <c r="E1310" s="344"/>
      <c r="F1310" s="348"/>
      <c r="G1310" s="344"/>
      <c r="H1310" s="431"/>
      <c r="I1310" s="344"/>
      <c r="J1310" s="344"/>
      <c r="K1310" s="344"/>
      <c r="L1310" s="344"/>
      <c r="M1310" s="344"/>
      <c r="N1310" s="344"/>
      <c r="O1310" s="344"/>
      <c r="P1310" s="344"/>
      <c r="Q1310" s="344"/>
      <c r="R1310" s="344"/>
      <c r="S1310" s="344"/>
      <c r="T1310" s="344"/>
      <c r="U1310" s="344"/>
      <c r="V1310" s="344"/>
      <c r="W1310" s="344"/>
      <c r="X1310" s="344"/>
      <c r="Y1310" s="344"/>
      <c r="Z1310" s="344"/>
    </row>
    <row r="1311">
      <c r="A1311" s="188">
        <v>47.0</v>
      </c>
      <c r="B1311" s="189" t="s">
        <v>790</v>
      </c>
      <c r="C1311" s="375"/>
      <c r="D1311" s="481"/>
      <c r="E1311" s="495" t="s">
        <v>37</v>
      </c>
      <c r="F1311" s="348"/>
      <c r="G1311" s="344"/>
      <c r="H1311" s="344"/>
      <c r="I1311" s="344"/>
      <c r="J1311" s="344"/>
      <c r="K1311" s="344"/>
      <c r="L1311" s="344"/>
      <c r="M1311" s="344"/>
      <c r="N1311" s="344"/>
      <c r="O1311" s="344"/>
      <c r="P1311" s="344"/>
      <c r="Q1311" s="344"/>
      <c r="R1311" s="344"/>
      <c r="S1311" s="344"/>
      <c r="T1311" s="344"/>
      <c r="U1311" s="344"/>
      <c r="V1311" s="344"/>
      <c r="W1311" s="344"/>
      <c r="X1311" s="344"/>
      <c r="Y1311" s="344"/>
      <c r="Z1311" s="344"/>
    </row>
    <row r="1312">
      <c r="A1312" s="479">
        <v>48.0</v>
      </c>
      <c r="B1312" s="373" t="s">
        <v>791</v>
      </c>
      <c r="C1312" s="369" t="s">
        <v>1750</v>
      </c>
      <c r="D1312" s="496" t="s">
        <v>1803</v>
      </c>
      <c r="E1312" s="344"/>
      <c r="F1312" s="348"/>
      <c r="G1312" s="344"/>
      <c r="H1312" s="344"/>
      <c r="I1312" s="344"/>
      <c r="J1312" s="344"/>
      <c r="K1312" s="344"/>
      <c r="L1312" s="344"/>
      <c r="M1312" s="344"/>
      <c r="N1312" s="344"/>
      <c r="O1312" s="344"/>
      <c r="P1312" s="344"/>
      <c r="Q1312" s="344"/>
      <c r="R1312" s="344"/>
      <c r="S1312" s="344"/>
      <c r="T1312" s="344"/>
      <c r="U1312" s="344"/>
      <c r="V1312" s="344"/>
      <c r="W1312" s="344"/>
      <c r="X1312" s="344"/>
      <c r="Y1312" s="344"/>
      <c r="Z1312" s="344"/>
    </row>
    <row r="1313">
      <c r="A1313" s="56"/>
      <c r="B1313" s="56"/>
      <c r="C1313" s="369" t="s">
        <v>1734</v>
      </c>
      <c r="D1313" s="496" t="s">
        <v>1804</v>
      </c>
      <c r="E1313" s="344"/>
      <c r="F1313" s="348"/>
      <c r="G1313" s="344"/>
      <c r="H1313" s="344"/>
      <c r="I1313" s="344"/>
      <c r="J1313" s="344"/>
      <c r="K1313" s="344"/>
      <c r="L1313" s="344"/>
      <c r="M1313" s="344"/>
      <c r="N1313" s="344"/>
      <c r="O1313" s="344"/>
      <c r="P1313" s="344"/>
      <c r="Q1313" s="344"/>
      <c r="R1313" s="344"/>
      <c r="S1313" s="344"/>
      <c r="T1313" s="344"/>
      <c r="U1313" s="344"/>
      <c r="V1313" s="344"/>
      <c r="W1313" s="344"/>
      <c r="X1313" s="344"/>
      <c r="Y1313" s="344"/>
      <c r="Z1313" s="344"/>
    </row>
    <row r="1314">
      <c r="A1314" s="479">
        <v>49.0</v>
      </c>
      <c r="B1314" s="480" t="s">
        <v>793</v>
      </c>
      <c r="C1314" s="481" t="s">
        <v>1805</v>
      </c>
      <c r="D1314" s="488" t="s">
        <v>1806</v>
      </c>
      <c r="E1314" s="344"/>
      <c r="F1314" s="348"/>
      <c r="G1314" s="344"/>
      <c r="H1314" s="344"/>
      <c r="I1314" s="344"/>
      <c r="J1314" s="344"/>
      <c r="K1314" s="344"/>
      <c r="L1314" s="344"/>
      <c r="M1314" s="344"/>
      <c r="N1314" s="344"/>
      <c r="O1314" s="344"/>
      <c r="P1314" s="344"/>
      <c r="Q1314" s="344"/>
      <c r="R1314" s="344"/>
      <c r="S1314" s="344"/>
      <c r="T1314" s="344"/>
      <c r="U1314" s="344"/>
      <c r="V1314" s="344"/>
      <c r="W1314" s="344"/>
      <c r="X1314" s="344"/>
      <c r="Y1314" s="344"/>
      <c r="Z1314" s="344"/>
    </row>
    <row r="1315">
      <c r="A1315" s="129"/>
      <c r="B1315" s="129"/>
      <c r="C1315" s="481" t="s">
        <v>1807</v>
      </c>
      <c r="D1315" s="145" t="s">
        <v>1781</v>
      </c>
      <c r="E1315" s="344"/>
      <c r="F1315" s="348"/>
      <c r="G1315" s="344"/>
      <c r="H1315" s="344"/>
      <c r="I1315" s="344"/>
      <c r="J1315" s="344"/>
      <c r="K1315" s="344"/>
      <c r="L1315" s="344"/>
      <c r="M1315" s="344"/>
      <c r="N1315" s="344"/>
      <c r="O1315" s="344"/>
      <c r="P1315" s="344"/>
      <c r="Q1315" s="344"/>
      <c r="R1315" s="344"/>
      <c r="S1315" s="344"/>
      <c r="T1315" s="344"/>
      <c r="U1315" s="344"/>
      <c r="V1315" s="344"/>
      <c r="W1315" s="344"/>
      <c r="X1315" s="344"/>
      <c r="Y1315" s="344"/>
      <c r="Z1315" s="344"/>
    </row>
    <row r="1316">
      <c r="A1316" s="129"/>
      <c r="B1316" s="129"/>
      <c r="C1316" s="481" t="s">
        <v>1808</v>
      </c>
      <c r="D1316" s="486">
        <v>44767.0</v>
      </c>
      <c r="E1316" s="344"/>
      <c r="F1316" s="348"/>
      <c r="G1316" s="344"/>
      <c r="H1316" s="344"/>
      <c r="I1316" s="344"/>
      <c r="J1316" s="344"/>
      <c r="K1316" s="344"/>
      <c r="L1316" s="344"/>
      <c r="M1316" s="344"/>
      <c r="N1316" s="344"/>
      <c r="O1316" s="344"/>
      <c r="P1316" s="344"/>
      <c r="Q1316" s="344"/>
      <c r="R1316" s="344"/>
      <c r="S1316" s="344"/>
      <c r="T1316" s="344"/>
      <c r="U1316" s="344"/>
      <c r="V1316" s="344"/>
      <c r="W1316" s="344"/>
      <c r="X1316" s="344"/>
      <c r="Y1316" s="344"/>
      <c r="Z1316" s="344"/>
    </row>
    <row r="1317">
      <c r="A1317" s="56"/>
      <c r="B1317" s="56"/>
      <c r="C1317" s="481" t="s">
        <v>1809</v>
      </c>
      <c r="D1317" s="486">
        <v>44841.0</v>
      </c>
      <c r="E1317" s="344"/>
      <c r="F1317" s="348"/>
      <c r="G1317" s="344"/>
      <c r="H1317" s="344"/>
      <c r="I1317" s="344"/>
      <c r="J1317" s="344"/>
      <c r="K1317" s="344"/>
      <c r="L1317" s="344"/>
      <c r="M1317" s="344"/>
      <c r="N1317" s="344"/>
      <c r="O1317" s="344"/>
      <c r="P1317" s="344"/>
      <c r="Q1317" s="344"/>
      <c r="R1317" s="344"/>
      <c r="S1317" s="344"/>
      <c r="T1317" s="344"/>
      <c r="U1317" s="344"/>
      <c r="V1317" s="344"/>
      <c r="W1317" s="344"/>
      <c r="X1317" s="344"/>
      <c r="Y1317" s="344"/>
      <c r="Z1317" s="344"/>
    </row>
    <row r="1318">
      <c r="A1318" s="188">
        <v>50.0</v>
      </c>
      <c r="B1318" s="189" t="s">
        <v>794</v>
      </c>
      <c r="C1318" s="375" t="s">
        <v>290</v>
      </c>
      <c r="D1318" s="145"/>
      <c r="E1318" s="344"/>
      <c r="F1318" s="348"/>
      <c r="G1318" s="344"/>
      <c r="H1318" s="344"/>
      <c r="I1318" s="344"/>
      <c r="J1318" s="344"/>
      <c r="K1318" s="344"/>
      <c r="L1318" s="344"/>
      <c r="M1318" s="344"/>
      <c r="N1318" s="344"/>
      <c r="O1318" s="344"/>
      <c r="P1318" s="344"/>
      <c r="Q1318" s="344"/>
      <c r="R1318" s="344"/>
      <c r="S1318" s="344"/>
      <c r="T1318" s="344"/>
      <c r="U1318" s="344"/>
      <c r="V1318" s="344"/>
      <c r="W1318" s="344"/>
      <c r="X1318" s="344"/>
      <c r="Y1318" s="344"/>
      <c r="Z1318" s="344"/>
    </row>
    <row r="1319">
      <c r="A1319" s="188">
        <v>51.0</v>
      </c>
      <c r="B1319" s="189" t="s">
        <v>796</v>
      </c>
      <c r="C1319" s="375" t="s">
        <v>290</v>
      </c>
      <c r="D1319" s="145"/>
      <c r="E1319" s="344"/>
      <c r="F1319" s="348"/>
      <c r="G1319" s="344"/>
      <c r="H1319" s="344"/>
      <c r="I1319" s="344"/>
      <c r="J1319" s="344"/>
      <c r="K1319" s="344"/>
      <c r="L1319" s="344"/>
      <c r="M1319" s="344"/>
      <c r="N1319" s="344"/>
      <c r="O1319" s="344"/>
      <c r="P1319" s="344"/>
      <c r="Q1319" s="344"/>
      <c r="R1319" s="344"/>
      <c r="S1319" s="344"/>
      <c r="T1319" s="344"/>
      <c r="U1319" s="344"/>
      <c r="V1319" s="344"/>
      <c r="W1319" s="344"/>
      <c r="X1319" s="344"/>
      <c r="Y1319" s="344"/>
      <c r="Z1319" s="344"/>
    </row>
    <row r="1320">
      <c r="A1320" s="479">
        <v>52.0</v>
      </c>
      <c r="B1320" s="480" t="s">
        <v>797</v>
      </c>
      <c r="C1320" s="481" t="s">
        <v>1810</v>
      </c>
      <c r="D1320" s="145" t="s">
        <v>1811</v>
      </c>
      <c r="E1320" s="344"/>
      <c r="F1320" s="348"/>
      <c r="G1320" s="344"/>
      <c r="H1320" s="344"/>
      <c r="I1320" s="344"/>
      <c r="J1320" s="344"/>
      <c r="K1320" s="344"/>
      <c r="L1320" s="344"/>
      <c r="M1320" s="344"/>
      <c r="N1320" s="344"/>
      <c r="O1320" s="344"/>
      <c r="P1320" s="344"/>
      <c r="Q1320" s="344"/>
      <c r="R1320" s="344"/>
      <c r="S1320" s="344"/>
      <c r="T1320" s="344"/>
      <c r="U1320" s="344"/>
      <c r="V1320" s="344"/>
      <c r="W1320" s="344"/>
      <c r="X1320" s="344"/>
      <c r="Y1320" s="344"/>
      <c r="Z1320" s="344"/>
    </row>
    <row r="1321">
      <c r="A1321" s="129"/>
      <c r="B1321" s="129"/>
      <c r="C1321" s="481" t="s">
        <v>1812</v>
      </c>
      <c r="D1321" s="497">
        <v>44700.0</v>
      </c>
      <c r="E1321" s="344"/>
      <c r="F1321" s="348"/>
      <c r="G1321" s="344"/>
      <c r="H1321" s="344"/>
      <c r="I1321" s="344"/>
      <c r="J1321" s="344"/>
      <c r="K1321" s="344"/>
      <c r="L1321" s="344"/>
      <c r="M1321" s="344"/>
      <c r="N1321" s="344"/>
      <c r="O1321" s="344"/>
      <c r="P1321" s="344"/>
      <c r="Q1321" s="344"/>
      <c r="R1321" s="344"/>
      <c r="S1321" s="344"/>
      <c r="T1321" s="344"/>
      <c r="U1321" s="344"/>
      <c r="V1321" s="344"/>
      <c r="W1321" s="344"/>
      <c r="X1321" s="344"/>
      <c r="Y1321" s="344"/>
      <c r="Z1321" s="344"/>
    </row>
    <row r="1322">
      <c r="A1322" s="56"/>
      <c r="B1322" s="56"/>
      <c r="C1322" s="481" t="s">
        <v>1813</v>
      </c>
      <c r="D1322" s="145" t="s">
        <v>1759</v>
      </c>
      <c r="E1322" s="344"/>
      <c r="F1322" s="348"/>
      <c r="G1322" s="344"/>
      <c r="H1322" s="344"/>
      <c r="I1322" s="344"/>
      <c r="J1322" s="344"/>
      <c r="K1322" s="344"/>
      <c r="L1322" s="344"/>
      <c r="M1322" s="344"/>
      <c r="N1322" s="344"/>
      <c r="O1322" s="344"/>
      <c r="P1322" s="344"/>
      <c r="Q1322" s="344"/>
      <c r="R1322" s="344"/>
      <c r="S1322" s="344"/>
      <c r="T1322" s="344"/>
      <c r="U1322" s="344"/>
      <c r="V1322" s="344"/>
      <c r="W1322" s="344"/>
      <c r="X1322" s="344"/>
      <c r="Y1322" s="344"/>
      <c r="Z1322" s="344"/>
    </row>
    <row r="1323">
      <c r="A1323" s="188">
        <v>53.0</v>
      </c>
      <c r="B1323" s="189" t="s">
        <v>595</v>
      </c>
      <c r="C1323" s="375" t="s">
        <v>290</v>
      </c>
      <c r="D1323" s="481"/>
      <c r="E1323" s="344"/>
      <c r="F1323" s="348"/>
      <c r="G1323" s="344"/>
      <c r="H1323" s="344"/>
      <c r="I1323" s="344"/>
      <c r="J1323" s="344"/>
      <c r="K1323" s="344"/>
      <c r="L1323" s="344"/>
      <c r="M1323" s="344"/>
      <c r="N1323" s="344"/>
      <c r="O1323" s="344"/>
      <c r="P1323" s="344"/>
      <c r="Q1323" s="344"/>
      <c r="R1323" s="344"/>
      <c r="S1323" s="344"/>
      <c r="T1323" s="344"/>
      <c r="U1323" s="344"/>
      <c r="V1323" s="344"/>
      <c r="W1323" s="344"/>
      <c r="X1323" s="344"/>
      <c r="Y1323" s="344"/>
      <c r="Z1323" s="344"/>
    </row>
    <row r="1324">
      <c r="A1324" s="188">
        <v>54.0</v>
      </c>
      <c r="B1324" s="189" t="s">
        <v>597</v>
      </c>
      <c r="C1324" s="481"/>
      <c r="D1324" s="481"/>
      <c r="E1324" s="344"/>
      <c r="F1324" s="348"/>
      <c r="G1324" s="344"/>
      <c r="H1324" s="344"/>
      <c r="I1324" s="344"/>
      <c r="J1324" s="344"/>
      <c r="K1324" s="344"/>
      <c r="L1324" s="344"/>
      <c r="M1324" s="344"/>
      <c r="N1324" s="344"/>
      <c r="O1324" s="344"/>
      <c r="P1324" s="344"/>
      <c r="Q1324" s="344"/>
      <c r="R1324" s="344"/>
      <c r="S1324" s="344"/>
      <c r="T1324" s="344"/>
      <c r="U1324" s="344"/>
      <c r="V1324" s="344"/>
      <c r="W1324" s="344"/>
      <c r="X1324" s="344"/>
      <c r="Y1324" s="344"/>
      <c r="Z1324" s="344"/>
    </row>
    <row r="1325">
      <c r="A1325" s="188">
        <v>55.0</v>
      </c>
      <c r="B1325" s="189" t="s">
        <v>799</v>
      </c>
      <c r="C1325" s="481"/>
      <c r="D1325" s="481"/>
      <c r="E1325" s="344"/>
      <c r="F1325" s="348"/>
      <c r="G1325" s="344"/>
      <c r="H1325" s="344"/>
      <c r="I1325" s="344"/>
      <c r="J1325" s="344"/>
      <c r="K1325" s="344"/>
      <c r="L1325" s="344"/>
      <c r="M1325" s="344"/>
      <c r="N1325" s="344"/>
      <c r="O1325" s="344"/>
      <c r="P1325" s="344"/>
      <c r="Q1325" s="344"/>
      <c r="R1325" s="344"/>
      <c r="S1325" s="344"/>
      <c r="T1325" s="344"/>
      <c r="U1325" s="344"/>
      <c r="V1325" s="344"/>
      <c r="W1325" s="344"/>
      <c r="X1325" s="344"/>
      <c r="Y1325" s="344"/>
      <c r="Z1325" s="344"/>
    </row>
    <row r="1326">
      <c r="A1326" s="479">
        <v>56.0</v>
      </c>
      <c r="B1326" s="480" t="s">
        <v>598</v>
      </c>
      <c r="C1326" s="481" t="s">
        <v>1814</v>
      </c>
      <c r="D1326" s="145" t="s">
        <v>1799</v>
      </c>
      <c r="E1326" s="344"/>
      <c r="F1326" s="348"/>
      <c r="G1326" s="344"/>
      <c r="H1326" s="344"/>
      <c r="I1326" s="344"/>
      <c r="J1326" s="344"/>
      <c r="K1326" s="344"/>
      <c r="L1326" s="344"/>
      <c r="M1326" s="344"/>
      <c r="N1326" s="344"/>
      <c r="O1326" s="344"/>
      <c r="P1326" s="344"/>
      <c r="Q1326" s="344"/>
      <c r="R1326" s="344"/>
      <c r="S1326" s="344"/>
      <c r="T1326" s="344"/>
      <c r="U1326" s="344"/>
      <c r="V1326" s="344"/>
      <c r="W1326" s="344"/>
      <c r="X1326" s="344"/>
      <c r="Y1326" s="344"/>
      <c r="Z1326" s="344"/>
    </row>
    <row r="1327">
      <c r="A1327" s="56"/>
      <c r="B1327" s="56"/>
      <c r="C1327" s="481" t="s">
        <v>1734</v>
      </c>
      <c r="D1327" s="145" t="s">
        <v>1759</v>
      </c>
      <c r="E1327" s="344"/>
      <c r="F1327" s="348"/>
      <c r="G1327" s="344"/>
      <c r="H1327" s="344"/>
      <c r="I1327" s="344"/>
      <c r="J1327" s="344"/>
      <c r="K1327" s="344"/>
      <c r="L1327" s="344"/>
      <c r="M1327" s="344"/>
      <c r="N1327" s="344"/>
      <c r="O1327" s="344"/>
      <c r="P1327" s="344"/>
      <c r="Q1327" s="344"/>
      <c r="R1327" s="344"/>
      <c r="S1327" s="344"/>
      <c r="T1327" s="344"/>
      <c r="U1327" s="344"/>
      <c r="V1327" s="344"/>
      <c r="W1327" s="344"/>
      <c r="X1327" s="344"/>
      <c r="Y1327" s="344"/>
      <c r="Z1327" s="344"/>
    </row>
    <row r="1328">
      <c r="A1328" s="188">
        <v>57.0</v>
      </c>
      <c r="B1328" s="189" t="s">
        <v>800</v>
      </c>
      <c r="C1328" s="375" t="s">
        <v>290</v>
      </c>
      <c r="D1328" s="481"/>
      <c r="E1328" s="344"/>
      <c r="F1328" s="348"/>
      <c r="G1328" s="344"/>
      <c r="H1328" s="344"/>
      <c r="I1328" s="344"/>
      <c r="J1328" s="344"/>
      <c r="K1328" s="344"/>
      <c r="L1328" s="344"/>
      <c r="M1328" s="344"/>
      <c r="N1328" s="344"/>
      <c r="O1328" s="344"/>
      <c r="P1328" s="344"/>
      <c r="Q1328" s="344"/>
      <c r="R1328" s="344"/>
      <c r="S1328" s="344"/>
      <c r="T1328" s="344"/>
      <c r="U1328" s="344"/>
      <c r="V1328" s="344"/>
      <c r="W1328" s="344"/>
      <c r="X1328" s="344"/>
      <c r="Y1328" s="344"/>
      <c r="Z1328" s="344"/>
    </row>
    <row r="1329">
      <c r="A1329" s="479">
        <v>58.0</v>
      </c>
      <c r="B1329" s="480" t="s">
        <v>803</v>
      </c>
      <c r="C1329" s="481" t="s">
        <v>1750</v>
      </c>
      <c r="D1329" s="145" t="s">
        <v>1788</v>
      </c>
      <c r="E1329" s="344"/>
      <c r="F1329" s="348"/>
      <c r="G1329" s="344"/>
      <c r="H1329" s="344"/>
      <c r="I1329" s="344"/>
      <c r="J1329" s="344"/>
      <c r="K1329" s="344"/>
      <c r="L1329" s="344"/>
      <c r="M1329" s="344"/>
      <c r="N1329" s="344"/>
      <c r="O1329" s="344"/>
      <c r="P1329" s="344"/>
      <c r="Q1329" s="344"/>
      <c r="R1329" s="344"/>
      <c r="S1329" s="344"/>
      <c r="T1329" s="344"/>
      <c r="U1329" s="344"/>
      <c r="V1329" s="344"/>
      <c r="W1329" s="344"/>
      <c r="X1329" s="344"/>
      <c r="Y1329" s="344"/>
      <c r="Z1329" s="344"/>
    </row>
    <row r="1330">
      <c r="A1330" s="129"/>
      <c r="B1330" s="129"/>
      <c r="C1330" s="481" t="s">
        <v>1813</v>
      </c>
      <c r="D1330" s="145" t="s">
        <v>1759</v>
      </c>
      <c r="E1330" s="344"/>
      <c r="F1330" s="348"/>
      <c r="G1330" s="344"/>
      <c r="H1330" s="344"/>
      <c r="I1330" s="344"/>
      <c r="J1330" s="344"/>
      <c r="K1330" s="344"/>
      <c r="L1330" s="344"/>
      <c r="M1330" s="344"/>
      <c r="N1330" s="344"/>
      <c r="O1330" s="344"/>
      <c r="P1330" s="344"/>
      <c r="Q1330" s="344"/>
      <c r="R1330" s="344"/>
      <c r="S1330" s="344"/>
      <c r="T1330" s="344"/>
      <c r="U1330" s="344"/>
      <c r="V1330" s="344"/>
      <c r="W1330" s="344"/>
      <c r="X1330" s="344"/>
      <c r="Y1330" s="344"/>
      <c r="Z1330" s="344"/>
    </row>
    <row r="1331">
      <c r="A1331" s="56"/>
      <c r="B1331" s="56"/>
      <c r="C1331" s="481" t="s">
        <v>1815</v>
      </c>
      <c r="D1331" s="145" t="s">
        <v>1816</v>
      </c>
      <c r="E1331" s="344"/>
      <c r="F1331" s="348"/>
      <c r="G1331" s="344"/>
      <c r="H1331" s="344"/>
      <c r="I1331" s="344"/>
      <c r="J1331" s="344"/>
      <c r="K1331" s="344"/>
      <c r="L1331" s="344"/>
      <c r="M1331" s="344"/>
      <c r="N1331" s="344"/>
      <c r="O1331" s="344"/>
      <c r="P1331" s="344"/>
      <c r="Q1331" s="344"/>
      <c r="R1331" s="344"/>
      <c r="S1331" s="344"/>
      <c r="T1331" s="344"/>
      <c r="U1331" s="344"/>
      <c r="V1331" s="344"/>
      <c r="W1331" s="344"/>
      <c r="X1331" s="344"/>
      <c r="Y1331" s="344"/>
      <c r="Z1331" s="344"/>
    </row>
    <row r="1332">
      <c r="A1332" s="188">
        <v>59.0</v>
      </c>
      <c r="B1332" s="189" t="s">
        <v>805</v>
      </c>
      <c r="C1332" s="375" t="s">
        <v>290</v>
      </c>
      <c r="D1332" s="481"/>
      <c r="E1332" s="344"/>
      <c r="F1332" s="348"/>
      <c r="G1332" s="344"/>
      <c r="H1332" s="344"/>
      <c r="I1332" s="344"/>
      <c r="J1332" s="344"/>
      <c r="K1332" s="344"/>
      <c r="L1332" s="344"/>
      <c r="M1332" s="344"/>
      <c r="N1332" s="344"/>
      <c r="O1332" s="344"/>
      <c r="P1332" s="344"/>
      <c r="Q1332" s="344"/>
      <c r="R1332" s="344"/>
      <c r="S1332" s="344"/>
      <c r="T1332" s="344"/>
      <c r="U1332" s="344"/>
      <c r="V1332" s="344"/>
      <c r="W1332" s="344"/>
      <c r="X1332" s="344"/>
      <c r="Y1332" s="344"/>
      <c r="Z1332" s="344"/>
    </row>
    <row r="1333">
      <c r="A1333" s="479">
        <v>60.0</v>
      </c>
      <c r="B1333" s="480" t="s">
        <v>806</v>
      </c>
      <c r="C1333" s="481" t="s">
        <v>1817</v>
      </c>
      <c r="D1333" s="145" t="s">
        <v>1818</v>
      </c>
      <c r="E1333" s="344"/>
      <c r="F1333" s="348"/>
      <c r="G1333" s="344"/>
      <c r="H1333" s="344"/>
      <c r="I1333" s="344"/>
      <c r="J1333" s="344"/>
      <c r="K1333" s="344"/>
      <c r="L1333" s="344"/>
      <c r="M1333" s="344"/>
      <c r="N1333" s="344"/>
      <c r="O1333" s="344"/>
      <c r="P1333" s="344"/>
      <c r="Q1333" s="344"/>
      <c r="R1333" s="344"/>
      <c r="S1333" s="344"/>
      <c r="T1333" s="344"/>
      <c r="U1333" s="344"/>
      <c r="V1333" s="344"/>
      <c r="W1333" s="344"/>
      <c r="X1333" s="344"/>
      <c r="Y1333" s="344"/>
      <c r="Z1333" s="344"/>
    </row>
    <row r="1334">
      <c r="A1334" s="129"/>
      <c r="B1334" s="129"/>
      <c r="C1334" s="481" t="s">
        <v>1819</v>
      </c>
      <c r="D1334" s="488" t="s">
        <v>1820</v>
      </c>
      <c r="E1334" s="344"/>
      <c r="F1334" s="348"/>
      <c r="G1334" s="344"/>
      <c r="H1334" s="344"/>
      <c r="I1334" s="344"/>
      <c r="J1334" s="344"/>
      <c r="K1334" s="344"/>
      <c r="L1334" s="344"/>
      <c r="M1334" s="344"/>
      <c r="N1334" s="344"/>
      <c r="O1334" s="344"/>
      <c r="P1334" s="344"/>
      <c r="Q1334" s="344"/>
      <c r="R1334" s="344"/>
      <c r="S1334" s="344"/>
      <c r="T1334" s="344"/>
      <c r="U1334" s="344"/>
      <c r="V1334" s="344"/>
      <c r="W1334" s="344"/>
      <c r="X1334" s="344"/>
      <c r="Y1334" s="344"/>
      <c r="Z1334" s="344"/>
    </row>
    <row r="1335">
      <c r="A1335" s="129"/>
      <c r="B1335" s="129"/>
      <c r="C1335" s="481" t="s">
        <v>1821</v>
      </c>
      <c r="D1335" s="488" t="s">
        <v>1822</v>
      </c>
      <c r="E1335" s="344"/>
      <c r="F1335" s="348"/>
      <c r="G1335" s="344"/>
      <c r="H1335" s="344"/>
      <c r="I1335" s="344"/>
      <c r="J1335" s="344"/>
      <c r="K1335" s="344"/>
      <c r="L1335" s="344"/>
      <c r="M1335" s="344"/>
      <c r="N1335" s="344"/>
      <c r="O1335" s="344"/>
      <c r="P1335" s="344"/>
      <c r="Q1335" s="344"/>
      <c r="R1335" s="344"/>
      <c r="S1335" s="344"/>
      <c r="T1335" s="344"/>
      <c r="U1335" s="344"/>
      <c r="V1335" s="344"/>
      <c r="W1335" s="344"/>
      <c r="X1335" s="344"/>
      <c r="Y1335" s="344"/>
      <c r="Z1335" s="344"/>
    </row>
    <row r="1336">
      <c r="A1336" s="129"/>
      <c r="B1336" s="129"/>
      <c r="C1336" s="481" t="s">
        <v>1823</v>
      </c>
      <c r="D1336" s="486">
        <v>44801.0</v>
      </c>
      <c r="E1336" s="344"/>
      <c r="F1336" s="348"/>
      <c r="G1336" s="344"/>
      <c r="H1336" s="344"/>
      <c r="I1336" s="344"/>
      <c r="J1336" s="344"/>
      <c r="K1336" s="344"/>
      <c r="L1336" s="344"/>
      <c r="M1336" s="344"/>
      <c r="N1336" s="344"/>
      <c r="O1336" s="344"/>
      <c r="P1336" s="344"/>
      <c r="Q1336" s="344"/>
      <c r="R1336" s="344"/>
      <c r="S1336" s="344"/>
      <c r="T1336" s="344"/>
      <c r="U1336" s="344"/>
      <c r="V1336" s="344"/>
      <c r="W1336" s="344"/>
      <c r="X1336" s="344"/>
      <c r="Y1336" s="344"/>
      <c r="Z1336" s="344"/>
    </row>
    <row r="1337">
      <c r="A1337" s="129"/>
      <c r="B1337" s="129"/>
      <c r="C1337" s="481" t="s">
        <v>1824</v>
      </c>
      <c r="D1337" s="486">
        <v>44801.0</v>
      </c>
      <c r="E1337" s="344"/>
      <c r="F1337" s="348"/>
      <c r="G1337" s="344"/>
      <c r="H1337" s="344"/>
      <c r="I1337" s="344"/>
      <c r="J1337" s="344"/>
      <c r="K1337" s="344"/>
      <c r="L1337" s="344"/>
      <c r="M1337" s="344"/>
      <c r="N1337" s="344"/>
      <c r="O1337" s="344"/>
      <c r="P1337" s="344"/>
      <c r="Q1337" s="344"/>
      <c r="R1337" s="344"/>
      <c r="S1337" s="344"/>
      <c r="T1337" s="344"/>
      <c r="U1337" s="344"/>
      <c r="V1337" s="344"/>
      <c r="W1337" s="344"/>
      <c r="X1337" s="344"/>
      <c r="Y1337" s="344"/>
      <c r="Z1337" s="344"/>
    </row>
    <row r="1338">
      <c r="A1338" s="129"/>
      <c r="B1338" s="129"/>
      <c r="C1338" s="481" t="s">
        <v>1825</v>
      </c>
      <c r="D1338" s="486">
        <v>44814.0</v>
      </c>
      <c r="E1338" s="344"/>
      <c r="F1338" s="348"/>
      <c r="G1338" s="344"/>
      <c r="H1338" s="344"/>
      <c r="I1338" s="344"/>
      <c r="J1338" s="344"/>
      <c r="K1338" s="344"/>
      <c r="L1338" s="344"/>
      <c r="M1338" s="344"/>
      <c r="N1338" s="344"/>
      <c r="O1338" s="344"/>
      <c r="P1338" s="344"/>
      <c r="Q1338" s="344"/>
      <c r="R1338" s="344"/>
      <c r="S1338" s="344"/>
      <c r="T1338" s="344"/>
      <c r="U1338" s="344"/>
      <c r="V1338" s="344"/>
      <c r="W1338" s="344"/>
      <c r="X1338" s="344"/>
      <c r="Y1338" s="344"/>
      <c r="Z1338" s="344"/>
    </row>
    <row r="1339">
      <c r="A1339" s="56"/>
      <c r="B1339" s="56"/>
      <c r="C1339" s="481" t="s">
        <v>1817</v>
      </c>
      <c r="D1339" s="145" t="s">
        <v>1826</v>
      </c>
      <c r="E1339" s="344"/>
      <c r="F1339" s="348"/>
      <c r="G1339" s="344"/>
      <c r="H1339" s="344"/>
      <c r="I1339" s="344"/>
      <c r="J1339" s="344"/>
      <c r="K1339" s="344"/>
      <c r="L1339" s="344"/>
      <c r="M1339" s="344"/>
      <c r="N1339" s="344"/>
      <c r="O1339" s="344"/>
      <c r="P1339" s="344"/>
      <c r="Q1339" s="344"/>
      <c r="R1339" s="344"/>
      <c r="S1339" s="344"/>
      <c r="T1339" s="344"/>
      <c r="U1339" s="344"/>
      <c r="V1339" s="344"/>
      <c r="W1339" s="344"/>
      <c r="X1339" s="344"/>
      <c r="Y1339" s="344"/>
      <c r="Z1339" s="344"/>
    </row>
    <row r="1340">
      <c r="A1340" s="188">
        <v>61.0</v>
      </c>
      <c r="B1340" s="189" t="s">
        <v>600</v>
      </c>
      <c r="C1340" s="481" t="s">
        <v>1827</v>
      </c>
      <c r="D1340" s="486">
        <v>44662.0</v>
      </c>
      <c r="E1340" s="344"/>
      <c r="F1340" s="348"/>
      <c r="G1340" s="344"/>
      <c r="H1340" s="344"/>
      <c r="I1340" s="344"/>
      <c r="J1340" s="344"/>
      <c r="K1340" s="344"/>
      <c r="L1340" s="344"/>
      <c r="M1340" s="344"/>
      <c r="N1340" s="344"/>
      <c r="O1340" s="344"/>
      <c r="P1340" s="344"/>
      <c r="Q1340" s="344"/>
      <c r="R1340" s="344"/>
      <c r="S1340" s="344"/>
      <c r="T1340" s="344"/>
      <c r="U1340" s="344"/>
      <c r="V1340" s="344"/>
      <c r="W1340" s="344"/>
      <c r="X1340" s="344"/>
      <c r="Y1340" s="344"/>
      <c r="Z1340" s="344"/>
    </row>
    <row r="1341">
      <c r="A1341" s="188">
        <v>62.0</v>
      </c>
      <c r="B1341" s="189" t="s">
        <v>712</v>
      </c>
      <c r="C1341" s="375" t="s">
        <v>290</v>
      </c>
      <c r="D1341" s="481"/>
      <c r="E1341" s="344"/>
      <c r="F1341" s="348"/>
      <c r="G1341" s="344"/>
      <c r="H1341" s="344"/>
      <c r="I1341" s="344"/>
      <c r="J1341" s="344"/>
      <c r="K1341" s="344"/>
      <c r="L1341" s="344"/>
      <c r="M1341" s="344"/>
      <c r="N1341" s="344"/>
      <c r="O1341" s="344"/>
      <c r="P1341" s="344"/>
      <c r="Q1341" s="344"/>
      <c r="R1341" s="344"/>
      <c r="S1341" s="344"/>
      <c r="T1341" s="344"/>
      <c r="U1341" s="344"/>
      <c r="V1341" s="344"/>
      <c r="W1341" s="344"/>
      <c r="X1341" s="344"/>
      <c r="Y1341" s="344"/>
      <c r="Z1341" s="344"/>
    </row>
    <row r="1342">
      <c r="A1342" s="479">
        <v>63.0</v>
      </c>
      <c r="B1342" s="480" t="s">
        <v>807</v>
      </c>
      <c r="C1342" s="481" t="s">
        <v>1828</v>
      </c>
      <c r="D1342" s="486">
        <v>44650.0</v>
      </c>
      <c r="E1342" s="344"/>
      <c r="F1342" s="348"/>
      <c r="G1342" s="344"/>
      <c r="H1342" s="344"/>
      <c r="I1342" s="344"/>
      <c r="J1342" s="344"/>
      <c r="K1342" s="344"/>
      <c r="L1342" s="344"/>
      <c r="M1342" s="344"/>
      <c r="N1342" s="344"/>
      <c r="O1342" s="344"/>
      <c r="P1342" s="344"/>
      <c r="Q1342" s="344"/>
      <c r="R1342" s="344"/>
      <c r="S1342" s="344"/>
      <c r="T1342" s="344"/>
      <c r="U1342" s="344"/>
      <c r="V1342" s="344"/>
      <c r="W1342" s="344"/>
      <c r="X1342" s="344"/>
      <c r="Y1342" s="344"/>
      <c r="Z1342" s="344"/>
    </row>
    <row r="1343">
      <c r="A1343" s="129"/>
      <c r="B1343" s="129"/>
      <c r="C1343" s="481" t="s">
        <v>1829</v>
      </c>
      <c r="D1343" s="145" t="s">
        <v>1830</v>
      </c>
      <c r="E1343" s="344"/>
      <c r="F1343" s="348"/>
      <c r="G1343" s="344"/>
      <c r="H1343" s="344"/>
      <c r="I1343" s="344"/>
      <c r="J1343" s="344"/>
      <c r="K1343" s="344"/>
      <c r="L1343" s="344"/>
      <c r="M1343" s="344"/>
      <c r="N1343" s="344"/>
      <c r="O1343" s="344"/>
      <c r="P1343" s="344"/>
      <c r="Q1343" s="344"/>
      <c r="R1343" s="344"/>
      <c r="S1343" s="344"/>
      <c r="T1343" s="344"/>
      <c r="U1343" s="344"/>
      <c r="V1343" s="344"/>
      <c r="W1343" s="344"/>
      <c r="X1343" s="344"/>
      <c r="Y1343" s="344"/>
      <c r="Z1343" s="344"/>
    </row>
    <row r="1344">
      <c r="A1344" s="56"/>
      <c r="B1344" s="56"/>
      <c r="C1344" s="481" t="s">
        <v>1831</v>
      </c>
      <c r="D1344" s="145" t="s">
        <v>1832</v>
      </c>
      <c r="E1344" s="344"/>
      <c r="F1344" s="348"/>
      <c r="G1344" s="344"/>
      <c r="H1344" s="344"/>
      <c r="I1344" s="344"/>
      <c r="J1344" s="344"/>
      <c r="K1344" s="344"/>
      <c r="L1344" s="344"/>
      <c r="M1344" s="344"/>
      <c r="N1344" s="344"/>
      <c r="O1344" s="344"/>
      <c r="P1344" s="344"/>
      <c r="Q1344" s="344"/>
      <c r="R1344" s="344"/>
      <c r="S1344" s="344"/>
      <c r="T1344" s="344"/>
      <c r="U1344" s="344"/>
      <c r="V1344" s="344"/>
      <c r="W1344" s="344"/>
      <c r="X1344" s="344"/>
      <c r="Y1344" s="344"/>
      <c r="Z1344" s="344"/>
    </row>
    <row r="1345">
      <c r="A1345" s="479">
        <v>64.0</v>
      </c>
      <c r="B1345" s="480" t="s">
        <v>809</v>
      </c>
      <c r="C1345" s="481" t="s">
        <v>1750</v>
      </c>
      <c r="D1345" s="145" t="s">
        <v>1788</v>
      </c>
      <c r="E1345" s="344"/>
      <c r="F1345" s="348"/>
      <c r="G1345" s="344"/>
      <c r="H1345" s="344"/>
      <c r="I1345" s="344"/>
      <c r="J1345" s="344"/>
      <c r="K1345" s="344"/>
      <c r="L1345" s="344"/>
      <c r="M1345" s="344"/>
      <c r="N1345" s="344"/>
      <c r="O1345" s="344"/>
      <c r="P1345" s="344"/>
      <c r="Q1345" s="344"/>
      <c r="R1345" s="344"/>
      <c r="S1345" s="344"/>
      <c r="T1345" s="344"/>
      <c r="U1345" s="344"/>
      <c r="V1345" s="344"/>
      <c r="W1345" s="344"/>
      <c r="X1345" s="344"/>
      <c r="Y1345" s="344"/>
      <c r="Z1345" s="344"/>
    </row>
    <row r="1346">
      <c r="A1346" s="129"/>
      <c r="B1346" s="129"/>
      <c r="C1346" s="481" t="s">
        <v>1833</v>
      </c>
      <c r="D1346" s="497">
        <v>44708.0</v>
      </c>
      <c r="E1346" s="344"/>
      <c r="F1346" s="348"/>
      <c r="G1346" s="344"/>
      <c r="H1346" s="344"/>
      <c r="I1346" s="344"/>
      <c r="J1346" s="344"/>
      <c r="K1346" s="344"/>
      <c r="L1346" s="344"/>
      <c r="M1346" s="344"/>
      <c r="N1346" s="344"/>
      <c r="O1346" s="344"/>
      <c r="P1346" s="344"/>
      <c r="Q1346" s="344"/>
      <c r="R1346" s="344"/>
      <c r="S1346" s="344"/>
      <c r="T1346" s="344"/>
      <c r="U1346" s="344"/>
      <c r="V1346" s="344"/>
      <c r="W1346" s="344"/>
      <c r="X1346" s="344"/>
      <c r="Y1346" s="344"/>
      <c r="Z1346" s="344"/>
    </row>
    <row r="1347">
      <c r="A1347" s="129"/>
      <c r="B1347" s="129"/>
      <c r="C1347" s="481" t="s">
        <v>1834</v>
      </c>
      <c r="D1347" s="486">
        <v>44721.0</v>
      </c>
      <c r="E1347" s="344"/>
      <c r="F1347" s="348"/>
      <c r="G1347" s="344"/>
      <c r="H1347" s="344"/>
      <c r="I1347" s="344"/>
      <c r="J1347" s="344"/>
      <c r="K1347" s="344"/>
      <c r="L1347" s="344"/>
      <c r="M1347" s="344"/>
      <c r="N1347" s="344"/>
      <c r="O1347" s="344"/>
      <c r="P1347" s="344"/>
      <c r="Q1347" s="344"/>
      <c r="R1347" s="344"/>
      <c r="S1347" s="344"/>
      <c r="T1347" s="344"/>
      <c r="U1347" s="344"/>
      <c r="V1347" s="344"/>
      <c r="W1347" s="344"/>
      <c r="X1347" s="344"/>
      <c r="Y1347" s="344"/>
      <c r="Z1347" s="344"/>
    </row>
    <row r="1348">
      <c r="A1348" s="129"/>
      <c r="B1348" s="129"/>
      <c r="C1348" s="481" t="s">
        <v>1813</v>
      </c>
      <c r="D1348" s="145" t="s">
        <v>1759</v>
      </c>
      <c r="E1348" s="344"/>
      <c r="F1348" s="348"/>
      <c r="G1348" s="344"/>
      <c r="H1348" s="344"/>
      <c r="I1348" s="344"/>
      <c r="J1348" s="344"/>
      <c r="K1348" s="344"/>
      <c r="L1348" s="344"/>
      <c r="M1348" s="344"/>
      <c r="N1348" s="344"/>
      <c r="O1348" s="344"/>
      <c r="P1348" s="344"/>
      <c r="Q1348" s="344"/>
      <c r="R1348" s="344"/>
      <c r="S1348" s="344"/>
      <c r="T1348" s="344"/>
      <c r="U1348" s="344"/>
      <c r="V1348" s="344"/>
      <c r="W1348" s="344"/>
      <c r="X1348" s="344"/>
      <c r="Y1348" s="344"/>
      <c r="Z1348" s="344"/>
    </row>
    <row r="1349">
      <c r="A1349" s="129"/>
      <c r="B1349" s="129"/>
      <c r="C1349" s="481" t="s">
        <v>1835</v>
      </c>
      <c r="D1349" s="145">
        <v>2022.0</v>
      </c>
      <c r="E1349" s="344"/>
      <c r="F1349" s="348"/>
      <c r="G1349" s="344"/>
      <c r="H1349" s="344"/>
      <c r="I1349" s="344"/>
      <c r="J1349" s="344"/>
      <c r="K1349" s="344"/>
      <c r="L1349" s="344"/>
      <c r="M1349" s="344"/>
      <c r="N1349" s="344"/>
      <c r="O1349" s="344"/>
      <c r="P1349" s="344"/>
      <c r="Q1349" s="344"/>
      <c r="R1349" s="344"/>
      <c r="S1349" s="344"/>
      <c r="T1349" s="344"/>
      <c r="U1349" s="344"/>
      <c r="V1349" s="344"/>
      <c r="W1349" s="344"/>
      <c r="X1349" s="344"/>
      <c r="Y1349" s="344"/>
      <c r="Z1349" s="344"/>
    </row>
    <row r="1350">
      <c r="A1350" s="56"/>
      <c r="B1350" s="56"/>
      <c r="C1350" s="481" t="s">
        <v>1836</v>
      </c>
      <c r="D1350" s="145">
        <v>2022.0</v>
      </c>
      <c r="E1350" s="344"/>
      <c r="F1350" s="348"/>
      <c r="G1350" s="344"/>
      <c r="H1350" s="344"/>
      <c r="I1350" s="344"/>
      <c r="J1350" s="344"/>
      <c r="K1350" s="344"/>
      <c r="L1350" s="344"/>
      <c r="M1350" s="344"/>
      <c r="N1350" s="344"/>
      <c r="O1350" s="344"/>
      <c r="P1350" s="344"/>
      <c r="Q1350" s="344"/>
      <c r="R1350" s="344"/>
      <c r="S1350" s="344"/>
      <c r="T1350" s="344"/>
      <c r="U1350" s="344"/>
      <c r="V1350" s="344"/>
      <c r="W1350" s="344"/>
      <c r="X1350" s="344"/>
      <c r="Y1350" s="344"/>
      <c r="Z1350" s="344"/>
    </row>
    <row r="1351">
      <c r="A1351" s="188">
        <v>65.0</v>
      </c>
      <c r="B1351" s="189" t="s">
        <v>811</v>
      </c>
      <c r="C1351" s="375" t="s">
        <v>290</v>
      </c>
      <c r="D1351" s="481"/>
      <c r="E1351" s="344"/>
      <c r="F1351" s="348"/>
      <c r="G1351" s="344"/>
      <c r="H1351" s="344"/>
      <c r="I1351" s="344"/>
      <c r="J1351" s="344"/>
      <c r="K1351" s="344"/>
      <c r="L1351" s="344"/>
      <c r="M1351" s="344"/>
      <c r="N1351" s="344"/>
      <c r="O1351" s="344"/>
      <c r="P1351" s="344"/>
      <c r="Q1351" s="344"/>
      <c r="R1351" s="344"/>
      <c r="S1351" s="344"/>
      <c r="T1351" s="344"/>
      <c r="U1351" s="344"/>
      <c r="V1351" s="344"/>
      <c r="W1351" s="344"/>
      <c r="X1351" s="344"/>
      <c r="Y1351" s="344"/>
      <c r="Z1351" s="344"/>
    </row>
    <row r="1352">
      <c r="A1352" s="479">
        <v>66.0</v>
      </c>
      <c r="B1352" s="480" t="s">
        <v>813</v>
      </c>
      <c r="C1352" s="481" t="s">
        <v>1837</v>
      </c>
      <c r="D1352" s="145" t="s">
        <v>1838</v>
      </c>
      <c r="E1352" s="344"/>
      <c r="F1352" s="348"/>
      <c r="G1352" s="344"/>
      <c r="H1352" s="344"/>
      <c r="I1352" s="344"/>
      <c r="J1352" s="344"/>
      <c r="K1352" s="344"/>
      <c r="L1352" s="344"/>
      <c r="M1352" s="344"/>
      <c r="N1352" s="344"/>
      <c r="O1352" s="344"/>
      <c r="P1352" s="344"/>
      <c r="Q1352" s="344"/>
      <c r="R1352" s="344"/>
      <c r="S1352" s="344"/>
      <c r="T1352" s="344"/>
      <c r="U1352" s="344"/>
      <c r="V1352" s="344"/>
      <c r="W1352" s="344"/>
      <c r="X1352" s="344"/>
      <c r="Y1352" s="344"/>
      <c r="Z1352" s="344"/>
    </row>
    <row r="1353">
      <c r="A1353" s="129"/>
      <c r="B1353" s="129"/>
      <c r="C1353" s="481" t="s">
        <v>1839</v>
      </c>
      <c r="D1353" s="145" t="s">
        <v>1802</v>
      </c>
      <c r="E1353" s="344"/>
      <c r="F1353" s="348"/>
      <c r="G1353" s="344"/>
      <c r="H1353" s="344"/>
      <c r="I1353" s="344"/>
      <c r="J1353" s="344"/>
      <c r="K1353" s="344"/>
      <c r="L1353" s="344"/>
      <c r="M1353" s="344"/>
      <c r="N1353" s="344"/>
      <c r="O1353" s="344"/>
      <c r="P1353" s="344"/>
      <c r="Q1353" s="344"/>
      <c r="R1353" s="344"/>
      <c r="S1353" s="344"/>
      <c r="T1353" s="344"/>
      <c r="U1353" s="344"/>
      <c r="V1353" s="344"/>
      <c r="W1353" s="344"/>
      <c r="X1353" s="344"/>
      <c r="Y1353" s="344"/>
      <c r="Z1353" s="344"/>
    </row>
    <row r="1354">
      <c r="A1354" s="129"/>
      <c r="B1354" s="129"/>
      <c r="C1354" s="481" t="s">
        <v>1840</v>
      </c>
      <c r="D1354" s="486">
        <v>44798.0</v>
      </c>
      <c r="E1354" s="344"/>
      <c r="F1354" s="348"/>
      <c r="G1354" s="344"/>
      <c r="H1354" s="344"/>
      <c r="I1354" s="344"/>
      <c r="J1354" s="344"/>
      <c r="K1354" s="344"/>
      <c r="L1354" s="344"/>
      <c r="M1354" s="344"/>
      <c r="N1354" s="344"/>
      <c r="O1354" s="344"/>
      <c r="P1354" s="344"/>
      <c r="Q1354" s="344"/>
      <c r="R1354" s="344"/>
      <c r="S1354" s="344"/>
      <c r="T1354" s="344"/>
      <c r="U1354" s="344"/>
      <c r="V1354" s="344"/>
      <c r="W1354" s="344"/>
      <c r="X1354" s="344"/>
      <c r="Y1354" s="344"/>
      <c r="Z1354" s="344"/>
    </row>
    <row r="1355">
      <c r="A1355" s="129"/>
      <c r="B1355" s="129"/>
      <c r="C1355" s="481" t="s">
        <v>1841</v>
      </c>
      <c r="D1355" s="486">
        <v>44781.0</v>
      </c>
      <c r="E1355" s="344"/>
      <c r="F1355" s="348"/>
      <c r="G1355" s="344"/>
      <c r="H1355" s="344"/>
      <c r="I1355" s="344"/>
      <c r="J1355" s="344"/>
      <c r="K1355" s="344"/>
      <c r="L1355" s="344"/>
      <c r="M1355" s="344"/>
      <c r="N1355" s="344"/>
      <c r="O1355" s="344"/>
      <c r="P1355" s="344"/>
      <c r="Q1355" s="344"/>
      <c r="R1355" s="344"/>
      <c r="S1355" s="344"/>
      <c r="T1355" s="344"/>
      <c r="U1355" s="344"/>
      <c r="V1355" s="344"/>
      <c r="W1355" s="344"/>
      <c r="X1355" s="344"/>
      <c r="Y1355" s="344"/>
      <c r="Z1355" s="344"/>
    </row>
    <row r="1356">
      <c r="A1356" s="129"/>
      <c r="B1356" s="129"/>
      <c r="C1356" s="481" t="s">
        <v>1842</v>
      </c>
      <c r="D1356" s="486">
        <v>44801.0</v>
      </c>
      <c r="E1356" s="344"/>
      <c r="F1356" s="348"/>
      <c r="G1356" s="344"/>
      <c r="H1356" s="344"/>
      <c r="I1356" s="344"/>
      <c r="J1356" s="344"/>
      <c r="K1356" s="344"/>
      <c r="L1356" s="344"/>
      <c r="M1356" s="344"/>
      <c r="N1356" s="344"/>
      <c r="O1356" s="344"/>
      <c r="P1356" s="344"/>
      <c r="Q1356" s="344"/>
      <c r="R1356" s="344"/>
      <c r="S1356" s="344"/>
      <c r="T1356" s="344"/>
      <c r="U1356" s="344"/>
      <c r="V1356" s="344"/>
      <c r="W1356" s="344"/>
      <c r="X1356" s="344"/>
      <c r="Y1356" s="344"/>
      <c r="Z1356" s="344"/>
    </row>
    <row r="1357">
      <c r="A1357" s="56"/>
      <c r="B1357" s="56"/>
      <c r="C1357" s="481" t="s">
        <v>1843</v>
      </c>
      <c r="D1357" s="145" t="s">
        <v>1799</v>
      </c>
      <c r="E1357" s="344"/>
      <c r="F1357" s="348"/>
      <c r="G1357" s="344"/>
      <c r="H1357" s="344"/>
      <c r="I1357" s="344"/>
      <c r="J1357" s="344"/>
      <c r="K1357" s="344"/>
      <c r="L1357" s="344"/>
      <c r="M1357" s="344"/>
      <c r="N1357" s="344"/>
      <c r="O1357" s="344"/>
      <c r="P1357" s="344"/>
      <c r="Q1357" s="344"/>
      <c r="R1357" s="344"/>
      <c r="S1357" s="344"/>
      <c r="T1357" s="344"/>
      <c r="U1357" s="344"/>
      <c r="V1357" s="344"/>
      <c r="W1357" s="344"/>
      <c r="X1357" s="344"/>
      <c r="Y1357" s="344"/>
      <c r="Z1357" s="344"/>
    </row>
    <row r="1358">
      <c r="A1358" s="188">
        <v>67.0</v>
      </c>
      <c r="B1358" s="189" t="s">
        <v>814</v>
      </c>
      <c r="C1358" s="375" t="s">
        <v>290</v>
      </c>
      <c r="D1358" s="481"/>
      <c r="E1358" s="344"/>
      <c r="F1358" s="348"/>
      <c r="G1358" s="344"/>
      <c r="H1358" s="344"/>
      <c r="I1358" s="344"/>
      <c r="J1358" s="344"/>
      <c r="K1358" s="344"/>
      <c r="L1358" s="344"/>
      <c r="M1358" s="344"/>
      <c r="N1358" s="344"/>
      <c r="O1358" s="344"/>
      <c r="P1358" s="344"/>
      <c r="Q1358" s="344"/>
      <c r="R1358" s="344"/>
      <c r="S1358" s="344"/>
      <c r="T1358" s="344"/>
      <c r="U1358" s="344"/>
      <c r="V1358" s="344"/>
      <c r="W1358" s="344"/>
      <c r="X1358" s="344"/>
      <c r="Y1358" s="344"/>
      <c r="Z1358" s="344"/>
    </row>
    <row r="1359">
      <c r="A1359" s="188">
        <v>68.0</v>
      </c>
      <c r="B1359" s="189" t="s">
        <v>606</v>
      </c>
      <c r="C1359" s="375" t="s">
        <v>1844</v>
      </c>
      <c r="D1359" s="375" t="s">
        <v>1845</v>
      </c>
      <c r="E1359" s="344"/>
      <c r="F1359" s="348"/>
      <c r="G1359" s="344"/>
      <c r="H1359" s="344"/>
      <c r="I1359" s="344"/>
      <c r="J1359" s="344"/>
      <c r="K1359" s="344"/>
      <c r="L1359" s="344"/>
      <c r="M1359" s="344"/>
      <c r="N1359" s="344"/>
      <c r="O1359" s="344"/>
      <c r="P1359" s="344"/>
      <c r="Q1359" s="344"/>
      <c r="R1359" s="344"/>
      <c r="S1359" s="344"/>
      <c r="T1359" s="344"/>
      <c r="U1359" s="344"/>
      <c r="V1359" s="344"/>
      <c r="W1359" s="344"/>
      <c r="X1359" s="344"/>
      <c r="Y1359" s="344"/>
      <c r="Z1359" s="344"/>
    </row>
    <row r="1360">
      <c r="A1360" s="479">
        <v>69.0</v>
      </c>
      <c r="B1360" s="480" t="s">
        <v>815</v>
      </c>
      <c r="C1360" s="481" t="s">
        <v>1846</v>
      </c>
      <c r="D1360" s="145" t="s">
        <v>1847</v>
      </c>
      <c r="E1360" s="344"/>
      <c r="F1360" s="348"/>
      <c r="G1360" s="344"/>
      <c r="H1360" s="344"/>
      <c r="I1360" s="344"/>
      <c r="J1360" s="344"/>
      <c r="K1360" s="344"/>
      <c r="L1360" s="344"/>
      <c r="M1360" s="344"/>
      <c r="N1360" s="344"/>
      <c r="O1360" s="344"/>
      <c r="P1360" s="344"/>
      <c r="Q1360" s="344"/>
      <c r="R1360" s="344"/>
      <c r="S1360" s="344"/>
      <c r="T1360" s="344"/>
      <c r="U1360" s="344"/>
      <c r="V1360" s="344"/>
      <c r="W1360" s="344"/>
      <c r="X1360" s="344"/>
      <c r="Y1360" s="344"/>
      <c r="Z1360" s="344"/>
    </row>
    <row r="1361">
      <c r="A1361" s="129"/>
      <c r="B1361" s="129"/>
      <c r="C1361" s="481" t="s">
        <v>1848</v>
      </c>
      <c r="D1361" s="487">
        <v>44649.0</v>
      </c>
      <c r="E1361" s="344"/>
      <c r="F1361" s="348"/>
      <c r="G1361" s="344"/>
      <c r="H1361" s="344"/>
      <c r="I1361" s="344"/>
      <c r="J1361" s="344"/>
      <c r="K1361" s="344"/>
      <c r="L1361" s="344"/>
      <c r="M1361" s="344"/>
      <c r="N1361" s="344"/>
      <c r="O1361" s="344"/>
      <c r="P1361" s="344"/>
      <c r="Q1361" s="344"/>
      <c r="R1361" s="344"/>
      <c r="S1361" s="344"/>
      <c r="T1361" s="344"/>
      <c r="U1361" s="344"/>
      <c r="V1361" s="344"/>
      <c r="W1361" s="344"/>
      <c r="X1361" s="344"/>
      <c r="Y1361" s="344"/>
      <c r="Z1361" s="344"/>
    </row>
    <row r="1362">
      <c r="A1362" s="129"/>
      <c r="B1362" s="129"/>
      <c r="C1362" s="481" t="s">
        <v>1849</v>
      </c>
      <c r="D1362" s="487">
        <v>44722.0</v>
      </c>
      <c r="E1362" s="344"/>
      <c r="F1362" s="348"/>
      <c r="G1362" s="344"/>
      <c r="H1362" s="344"/>
      <c r="I1362" s="344"/>
      <c r="J1362" s="344"/>
      <c r="K1362" s="344"/>
      <c r="L1362" s="344"/>
      <c r="M1362" s="344"/>
      <c r="N1362" s="344"/>
      <c r="O1362" s="344"/>
      <c r="P1362" s="344"/>
      <c r="Q1362" s="344"/>
      <c r="R1362" s="344"/>
      <c r="S1362" s="344"/>
      <c r="T1362" s="344"/>
      <c r="U1362" s="344"/>
      <c r="V1362" s="344"/>
      <c r="W1362" s="344"/>
      <c r="X1362" s="344"/>
      <c r="Y1362" s="344"/>
      <c r="Z1362" s="344"/>
    </row>
    <row r="1363">
      <c r="A1363" s="56"/>
      <c r="B1363" s="56"/>
      <c r="C1363" s="481" t="s">
        <v>1850</v>
      </c>
      <c r="D1363" s="488" t="s">
        <v>1851</v>
      </c>
      <c r="E1363" s="344"/>
      <c r="F1363" s="348"/>
      <c r="G1363" s="344"/>
      <c r="H1363" s="344"/>
      <c r="I1363" s="344"/>
      <c r="J1363" s="344"/>
      <c r="K1363" s="344"/>
      <c r="L1363" s="344"/>
      <c r="M1363" s="344"/>
      <c r="N1363" s="344"/>
      <c r="O1363" s="344"/>
      <c r="P1363" s="344"/>
      <c r="Q1363" s="344"/>
      <c r="R1363" s="344"/>
      <c r="S1363" s="344"/>
      <c r="T1363" s="344"/>
      <c r="U1363" s="344"/>
      <c r="V1363" s="344"/>
      <c r="W1363" s="344"/>
      <c r="X1363" s="344"/>
      <c r="Y1363" s="344"/>
      <c r="Z1363" s="344"/>
    </row>
    <row r="1364">
      <c r="A1364" s="479">
        <v>70.0</v>
      </c>
      <c r="B1364" s="480" t="s">
        <v>607</v>
      </c>
      <c r="C1364" s="481" t="s">
        <v>1852</v>
      </c>
      <c r="D1364" s="145">
        <v>2022.0</v>
      </c>
      <c r="E1364" s="344"/>
      <c r="F1364" s="348"/>
      <c r="G1364" s="344"/>
      <c r="H1364" s="344"/>
      <c r="I1364" s="344"/>
      <c r="J1364" s="344"/>
      <c r="K1364" s="344"/>
      <c r="L1364" s="344"/>
      <c r="M1364" s="344"/>
      <c r="N1364" s="344"/>
      <c r="O1364" s="344"/>
      <c r="P1364" s="344"/>
      <c r="Q1364" s="344"/>
      <c r="R1364" s="344"/>
      <c r="S1364" s="344"/>
      <c r="T1364" s="344"/>
      <c r="U1364" s="344"/>
      <c r="V1364" s="344"/>
      <c r="W1364" s="344"/>
      <c r="X1364" s="344"/>
      <c r="Y1364" s="344"/>
      <c r="Z1364" s="344"/>
    </row>
    <row r="1365">
      <c r="A1365" s="56"/>
      <c r="B1365" s="56"/>
      <c r="C1365" s="481" t="s">
        <v>1853</v>
      </c>
      <c r="D1365" s="145">
        <v>2022.0</v>
      </c>
      <c r="E1365" s="344"/>
      <c r="F1365" s="348"/>
      <c r="G1365" s="344"/>
      <c r="H1365" s="344"/>
      <c r="I1365" s="344"/>
      <c r="J1365" s="344"/>
      <c r="K1365" s="344"/>
      <c r="L1365" s="344"/>
      <c r="M1365" s="344"/>
      <c r="N1365" s="344"/>
      <c r="O1365" s="344"/>
      <c r="P1365" s="344"/>
      <c r="Q1365" s="344"/>
      <c r="R1365" s="344"/>
      <c r="S1365" s="344"/>
      <c r="T1365" s="344"/>
      <c r="U1365" s="344"/>
      <c r="V1365" s="344"/>
      <c r="W1365" s="344"/>
      <c r="X1365" s="344"/>
      <c r="Y1365" s="344"/>
      <c r="Z1365" s="344"/>
    </row>
    <row r="1366">
      <c r="A1366" s="479">
        <v>71.0</v>
      </c>
      <c r="B1366" s="480" t="s">
        <v>608</v>
      </c>
      <c r="C1366" s="481" t="s">
        <v>1854</v>
      </c>
      <c r="D1366" s="486">
        <v>44567.0</v>
      </c>
      <c r="E1366" s="344"/>
      <c r="F1366" s="348"/>
      <c r="G1366" s="344"/>
      <c r="H1366" s="344"/>
      <c r="I1366" s="344"/>
      <c r="J1366" s="344"/>
      <c r="K1366" s="344"/>
      <c r="L1366" s="344"/>
      <c r="M1366" s="344"/>
      <c r="N1366" s="344"/>
      <c r="O1366" s="344"/>
      <c r="P1366" s="344"/>
      <c r="Q1366" s="344"/>
      <c r="R1366" s="344"/>
      <c r="S1366" s="344"/>
      <c r="T1366" s="344"/>
      <c r="U1366" s="344"/>
      <c r="V1366" s="344"/>
      <c r="W1366" s="344"/>
      <c r="X1366" s="344"/>
      <c r="Y1366" s="344"/>
      <c r="Z1366" s="344"/>
    </row>
    <row r="1367">
      <c r="A1367" s="498"/>
      <c r="B1367" s="499"/>
      <c r="C1367" s="481" t="s">
        <v>1855</v>
      </c>
      <c r="D1367" s="486">
        <v>44671.0</v>
      </c>
      <c r="E1367" s="344"/>
      <c r="F1367" s="348"/>
      <c r="G1367" s="344"/>
      <c r="H1367" s="344"/>
      <c r="I1367" s="344"/>
      <c r="J1367" s="344"/>
      <c r="K1367" s="344"/>
      <c r="L1367" s="344"/>
      <c r="M1367" s="344"/>
      <c r="N1367" s="344"/>
      <c r="O1367" s="344"/>
      <c r="P1367" s="344"/>
      <c r="Q1367" s="344"/>
      <c r="R1367" s="344"/>
      <c r="S1367" s="344"/>
      <c r="T1367" s="344"/>
      <c r="U1367" s="344"/>
      <c r="V1367" s="344"/>
      <c r="W1367" s="344"/>
      <c r="X1367" s="344"/>
      <c r="Y1367" s="344"/>
      <c r="Z1367" s="344"/>
    </row>
    <row r="1368">
      <c r="A1368" s="498"/>
      <c r="B1368" s="499"/>
      <c r="C1368" s="481" t="s">
        <v>1856</v>
      </c>
      <c r="D1368" s="145" t="s">
        <v>1857</v>
      </c>
      <c r="E1368" s="344"/>
      <c r="F1368" s="348"/>
      <c r="G1368" s="344"/>
      <c r="H1368" s="344"/>
      <c r="I1368" s="344"/>
      <c r="J1368" s="344"/>
      <c r="K1368" s="344"/>
      <c r="L1368" s="344"/>
      <c r="M1368" s="344"/>
      <c r="N1368" s="344"/>
      <c r="O1368" s="344"/>
      <c r="P1368" s="344"/>
      <c r="Q1368" s="344"/>
      <c r="R1368" s="344"/>
      <c r="S1368" s="344"/>
      <c r="T1368" s="344"/>
      <c r="U1368" s="344"/>
      <c r="V1368" s="344"/>
      <c r="W1368" s="344"/>
      <c r="X1368" s="344"/>
      <c r="Y1368" s="344"/>
      <c r="Z1368" s="344"/>
    </row>
    <row r="1369">
      <c r="A1369" s="498"/>
      <c r="B1369" s="499"/>
      <c r="C1369" s="481" t="s">
        <v>1858</v>
      </c>
      <c r="D1369" s="145">
        <v>2022.0</v>
      </c>
      <c r="E1369" s="344"/>
      <c r="F1369" s="348"/>
      <c r="G1369" s="344"/>
      <c r="H1369" s="344"/>
      <c r="I1369" s="344"/>
      <c r="J1369" s="344"/>
      <c r="K1369" s="344"/>
      <c r="L1369" s="344"/>
      <c r="M1369" s="344"/>
      <c r="N1369" s="344"/>
      <c r="O1369" s="344"/>
      <c r="P1369" s="344"/>
      <c r="Q1369" s="344"/>
      <c r="R1369" s="344"/>
      <c r="S1369" s="344"/>
      <c r="T1369" s="344"/>
      <c r="U1369" s="344"/>
      <c r="V1369" s="344"/>
      <c r="W1369" s="344"/>
      <c r="X1369" s="344"/>
      <c r="Y1369" s="344"/>
      <c r="Z1369" s="344"/>
    </row>
    <row r="1370">
      <c r="A1370" s="500"/>
      <c r="B1370" s="501"/>
      <c r="C1370" s="481" t="s">
        <v>1854</v>
      </c>
      <c r="D1370" s="145">
        <v>2022.0</v>
      </c>
      <c r="E1370" s="344"/>
      <c r="F1370" s="348"/>
      <c r="G1370" s="344"/>
      <c r="H1370" s="344"/>
      <c r="I1370" s="344"/>
      <c r="J1370" s="344"/>
      <c r="K1370" s="344"/>
      <c r="L1370" s="344"/>
      <c r="M1370" s="344"/>
      <c r="N1370" s="344"/>
      <c r="O1370" s="344"/>
      <c r="P1370" s="344"/>
      <c r="Q1370" s="344"/>
      <c r="R1370" s="344"/>
      <c r="S1370" s="344"/>
      <c r="T1370" s="344"/>
      <c r="U1370" s="344"/>
      <c r="V1370" s="344"/>
      <c r="W1370" s="344"/>
      <c r="X1370" s="344"/>
      <c r="Y1370" s="344"/>
      <c r="Z1370" s="344"/>
    </row>
    <row r="1371">
      <c r="A1371" s="502"/>
      <c r="B1371" s="503" t="s">
        <v>723</v>
      </c>
      <c r="C1371" s="504"/>
      <c r="D1371" s="505"/>
      <c r="E1371" s="344"/>
      <c r="F1371" s="348"/>
      <c r="G1371" s="344"/>
      <c r="H1371" s="344"/>
      <c r="I1371" s="344"/>
      <c r="J1371" s="344"/>
      <c r="K1371" s="344"/>
      <c r="L1371" s="344"/>
      <c r="M1371" s="344"/>
      <c r="N1371" s="344"/>
      <c r="O1371" s="344"/>
      <c r="P1371" s="344"/>
      <c r="Q1371" s="344"/>
      <c r="R1371" s="344"/>
      <c r="S1371" s="344"/>
      <c r="T1371" s="344"/>
      <c r="U1371" s="344"/>
      <c r="V1371" s="344"/>
      <c r="W1371" s="344"/>
      <c r="X1371" s="344"/>
      <c r="Y1371" s="344"/>
      <c r="Z1371" s="344"/>
    </row>
    <row r="1372">
      <c r="A1372" s="502"/>
      <c r="B1372" s="506"/>
      <c r="C1372" s="504"/>
      <c r="D1372" s="505"/>
      <c r="E1372" s="344"/>
      <c r="F1372" s="348"/>
      <c r="G1372" s="344"/>
      <c r="H1372" s="344"/>
      <c r="I1372" s="344"/>
      <c r="J1372" s="344"/>
      <c r="K1372" s="344"/>
      <c r="L1372" s="344"/>
      <c r="M1372" s="344"/>
      <c r="N1372" s="344"/>
      <c r="O1372" s="344"/>
      <c r="P1372" s="344"/>
      <c r="Q1372" s="344"/>
      <c r="R1372" s="344"/>
      <c r="S1372" s="344"/>
      <c r="T1372" s="344"/>
      <c r="U1372" s="344"/>
      <c r="V1372" s="344"/>
      <c r="W1372" s="344"/>
      <c r="X1372" s="344"/>
      <c r="Y1372" s="344"/>
      <c r="Z1372" s="344"/>
    </row>
    <row r="1373">
      <c r="A1373" s="502"/>
      <c r="B1373" s="506"/>
      <c r="C1373" s="504"/>
      <c r="D1373" s="505"/>
      <c r="E1373" s="344"/>
      <c r="F1373" s="348"/>
      <c r="G1373" s="344"/>
      <c r="H1373" s="344"/>
      <c r="I1373" s="344"/>
      <c r="J1373" s="344"/>
      <c r="K1373" s="344"/>
      <c r="L1373" s="344"/>
      <c r="M1373" s="344"/>
      <c r="N1373" s="344"/>
      <c r="O1373" s="344"/>
      <c r="P1373" s="344"/>
      <c r="Q1373" s="344"/>
      <c r="R1373" s="344"/>
      <c r="S1373" s="344"/>
      <c r="T1373" s="344"/>
      <c r="U1373" s="344"/>
      <c r="V1373" s="344"/>
      <c r="W1373" s="344"/>
      <c r="X1373" s="344"/>
      <c r="Y1373" s="344"/>
      <c r="Z1373" s="344"/>
    </row>
    <row r="1374">
      <c r="A1374" s="502"/>
      <c r="B1374" s="506"/>
      <c r="C1374" s="504"/>
      <c r="D1374" s="505"/>
      <c r="E1374" s="344"/>
      <c r="F1374" s="348"/>
      <c r="G1374" s="344"/>
      <c r="H1374" s="344"/>
      <c r="I1374" s="344"/>
      <c r="J1374" s="344"/>
      <c r="K1374" s="344"/>
      <c r="L1374" s="344"/>
      <c r="M1374" s="344"/>
      <c r="N1374" s="344"/>
      <c r="O1374" s="344"/>
      <c r="P1374" s="344"/>
      <c r="Q1374" s="344"/>
      <c r="R1374" s="344"/>
      <c r="S1374" s="344"/>
      <c r="T1374" s="344"/>
      <c r="U1374" s="344"/>
      <c r="V1374" s="344"/>
      <c r="W1374" s="344"/>
      <c r="X1374" s="344"/>
      <c r="Y1374" s="344"/>
      <c r="Z1374" s="344"/>
    </row>
    <row r="1375">
      <c r="A1375" s="502"/>
      <c r="B1375" s="506"/>
      <c r="C1375" s="504"/>
      <c r="D1375" s="505"/>
      <c r="E1375" s="344"/>
      <c r="F1375" s="348"/>
      <c r="G1375" s="344"/>
      <c r="H1375" s="344"/>
      <c r="I1375" s="344"/>
      <c r="J1375" s="344"/>
      <c r="K1375" s="344"/>
      <c r="L1375" s="344"/>
      <c r="M1375" s="344"/>
      <c r="N1375" s="344"/>
      <c r="O1375" s="344"/>
      <c r="P1375" s="344"/>
      <c r="Q1375" s="344"/>
      <c r="R1375" s="344"/>
      <c r="S1375" s="344"/>
      <c r="T1375" s="344"/>
      <c r="U1375" s="344"/>
      <c r="V1375" s="344"/>
      <c r="W1375" s="344"/>
      <c r="X1375" s="344"/>
      <c r="Y1375" s="344"/>
      <c r="Z1375" s="344"/>
    </row>
    <row r="1376">
      <c r="A1376" s="502"/>
      <c r="B1376" s="506"/>
      <c r="C1376" s="504"/>
      <c r="D1376" s="505"/>
      <c r="E1376" s="344"/>
      <c r="F1376" s="348"/>
      <c r="G1376" s="344"/>
      <c r="H1376" s="344"/>
      <c r="I1376" s="344"/>
      <c r="J1376" s="344"/>
      <c r="K1376" s="344"/>
      <c r="L1376" s="344"/>
      <c r="M1376" s="344"/>
      <c r="N1376" s="344"/>
      <c r="O1376" s="344"/>
      <c r="P1376" s="344"/>
      <c r="Q1376" s="344"/>
      <c r="R1376" s="344"/>
      <c r="S1376" s="344"/>
      <c r="T1376" s="344"/>
      <c r="U1376" s="344"/>
      <c r="V1376" s="344"/>
      <c r="W1376" s="344"/>
      <c r="X1376" s="344"/>
      <c r="Y1376" s="344"/>
      <c r="Z1376" s="344"/>
    </row>
  </sheetData>
  <mergeCells count="365">
    <mergeCell ref="C1052:C1056"/>
    <mergeCell ref="C1057:C1067"/>
    <mergeCell ref="C1068:C1083"/>
    <mergeCell ref="C1084:C1085"/>
    <mergeCell ref="C1086:C1090"/>
    <mergeCell ref="C1091:C1092"/>
    <mergeCell ref="C1094:C1095"/>
    <mergeCell ref="C1096:C1098"/>
    <mergeCell ref="C1099:C1103"/>
    <mergeCell ref="C1104:C1106"/>
    <mergeCell ref="C1108:C1110"/>
    <mergeCell ref="C1111:C1114"/>
    <mergeCell ref="C1119:C1123"/>
    <mergeCell ref="C1124:C1126"/>
    <mergeCell ref="C883:C889"/>
    <mergeCell ref="C891:C892"/>
    <mergeCell ref="C893:C894"/>
    <mergeCell ref="C896:C897"/>
    <mergeCell ref="C898:C900"/>
    <mergeCell ref="C901:C902"/>
    <mergeCell ref="C903:C904"/>
    <mergeCell ref="C905:C906"/>
    <mergeCell ref="C907:C908"/>
    <mergeCell ref="C910:C913"/>
    <mergeCell ref="C914:C919"/>
    <mergeCell ref="C920:C921"/>
    <mergeCell ref="C922:C924"/>
    <mergeCell ref="C925:C926"/>
    <mergeCell ref="C929:C934"/>
    <mergeCell ref="C935:C937"/>
    <mergeCell ref="C939:C943"/>
    <mergeCell ref="C944:C946"/>
    <mergeCell ref="C948:C955"/>
    <mergeCell ref="C957:C958"/>
    <mergeCell ref="C959:C961"/>
    <mergeCell ref="C962:C964"/>
    <mergeCell ref="C965:C967"/>
    <mergeCell ref="C968:C971"/>
    <mergeCell ref="C972:C973"/>
    <mergeCell ref="C974:C976"/>
    <mergeCell ref="C977:C980"/>
    <mergeCell ref="C982:C983"/>
    <mergeCell ref="C984:C985"/>
    <mergeCell ref="C986:C987"/>
    <mergeCell ref="C988:C990"/>
    <mergeCell ref="C991:C995"/>
    <mergeCell ref="C996:C1001"/>
    <mergeCell ref="C1002:C1008"/>
    <mergeCell ref="C1009:C1012"/>
    <mergeCell ref="C1013:C1017"/>
    <mergeCell ref="C1018:C1022"/>
    <mergeCell ref="C1023:C1029"/>
    <mergeCell ref="C1031:C1033"/>
    <mergeCell ref="C1037:C1038"/>
    <mergeCell ref="C1040:C1043"/>
    <mergeCell ref="C1044:C1050"/>
    <mergeCell ref="C1128:C1131"/>
    <mergeCell ref="C1132:C1134"/>
    <mergeCell ref="A136:A138"/>
    <mergeCell ref="A140:A141"/>
    <mergeCell ref="A142:A143"/>
    <mergeCell ref="A145:A146"/>
    <mergeCell ref="A147:A148"/>
    <mergeCell ref="A150:A151"/>
    <mergeCell ref="A155:A156"/>
    <mergeCell ref="A160:A161"/>
    <mergeCell ref="A165:A166"/>
    <mergeCell ref="A168:A169"/>
    <mergeCell ref="A182:A184"/>
    <mergeCell ref="A185:A186"/>
    <mergeCell ref="A192:A193"/>
    <mergeCell ref="A200:A201"/>
    <mergeCell ref="A280:A281"/>
    <mergeCell ref="A287:A288"/>
    <mergeCell ref="A291:A292"/>
    <mergeCell ref="A296:A297"/>
    <mergeCell ref="A302:A304"/>
    <mergeCell ref="A306:A308"/>
    <mergeCell ref="A313:A314"/>
    <mergeCell ref="A315:A316"/>
    <mergeCell ref="A319:A322"/>
    <mergeCell ref="A323:A326"/>
    <mergeCell ref="A330:A340"/>
    <mergeCell ref="A341:A344"/>
    <mergeCell ref="A693:A699"/>
    <mergeCell ref="A701:A711"/>
    <mergeCell ref="A712:A713"/>
    <mergeCell ref="A714:A725"/>
    <mergeCell ref="A726:A733"/>
    <mergeCell ref="A734:A741"/>
    <mergeCell ref="A742:A744"/>
    <mergeCell ref="A745:A746"/>
    <mergeCell ref="A747:A748"/>
    <mergeCell ref="A749:A756"/>
    <mergeCell ref="A757:A761"/>
    <mergeCell ref="A762:A771"/>
    <mergeCell ref="A772:A782"/>
    <mergeCell ref="A783:A793"/>
    <mergeCell ref="A794:A804"/>
    <mergeCell ref="A806:A808"/>
    <mergeCell ref="A809:A812"/>
    <mergeCell ref="A813:A818"/>
    <mergeCell ref="A820:A828"/>
    <mergeCell ref="A829:A838"/>
    <mergeCell ref="A839:A842"/>
    <mergeCell ref="A844:A851"/>
    <mergeCell ref="A852:A853"/>
    <mergeCell ref="A854:A860"/>
    <mergeCell ref="A861:A862"/>
    <mergeCell ref="A863:A871"/>
    <mergeCell ref="A872:A889"/>
    <mergeCell ref="A890:A892"/>
    <mergeCell ref="A893:A894"/>
    <mergeCell ref="A896:A900"/>
    <mergeCell ref="A901:A904"/>
    <mergeCell ref="A905:A908"/>
    <mergeCell ref="A910:A921"/>
    <mergeCell ref="A922:A926"/>
    <mergeCell ref="A927:A937"/>
    <mergeCell ref="A938:A946"/>
    <mergeCell ref="A947:A956"/>
    <mergeCell ref="A957:A964"/>
    <mergeCell ref="A965:A973"/>
    <mergeCell ref="A974:A980"/>
    <mergeCell ref="A981:A983"/>
    <mergeCell ref="A984:A990"/>
    <mergeCell ref="A991:A1008"/>
    <mergeCell ref="A1009:A1017"/>
    <mergeCell ref="A1018:A1029"/>
    <mergeCell ref="A1030:A1034"/>
    <mergeCell ref="A1036:A1038"/>
    <mergeCell ref="A1040:A1051"/>
    <mergeCell ref="A1052:A1083"/>
    <mergeCell ref="A1084:A1092"/>
    <mergeCell ref="A1093:A1098"/>
    <mergeCell ref="A1099:A1106"/>
    <mergeCell ref="A1108:A1115"/>
    <mergeCell ref="A1116:A1126"/>
    <mergeCell ref="A1127:A1134"/>
    <mergeCell ref="A1135:A1138"/>
    <mergeCell ref="A1139:A1152"/>
    <mergeCell ref="A1154:A1161"/>
    <mergeCell ref="A1162:A1196"/>
    <mergeCell ref="A1197:A1205"/>
    <mergeCell ref="A1206:A1219"/>
    <mergeCell ref="A1224:A1227"/>
    <mergeCell ref="A1231:A1237"/>
    <mergeCell ref="A1246:A1248"/>
    <mergeCell ref="A1249:A1250"/>
    <mergeCell ref="A1261:A1264"/>
    <mergeCell ref="A1266:A1268"/>
    <mergeCell ref="A1275:A1281"/>
    <mergeCell ref="A1282:A1288"/>
    <mergeCell ref="A1290:A1291"/>
    <mergeCell ref="A1297:A1299"/>
    <mergeCell ref="A1303:A1307"/>
    <mergeCell ref="A16:A17"/>
    <mergeCell ref="B16:B17"/>
    <mergeCell ref="C16:F16"/>
    <mergeCell ref="A107:A108"/>
    <mergeCell ref="C107:D107"/>
    <mergeCell ref="E107:F107"/>
    <mergeCell ref="B107:B108"/>
    <mergeCell ref="A112:A113"/>
    <mergeCell ref="A120:A121"/>
    <mergeCell ref="B120:B121"/>
    <mergeCell ref="A125:A128"/>
    <mergeCell ref="B125:B128"/>
    <mergeCell ref="B136:B138"/>
    <mergeCell ref="B112:B113"/>
    <mergeCell ref="B140:B141"/>
    <mergeCell ref="B142:B143"/>
    <mergeCell ref="B145:B146"/>
    <mergeCell ref="B147:B148"/>
    <mergeCell ref="B150:B151"/>
    <mergeCell ref="C155:C156"/>
    <mergeCell ref="D155:D156"/>
    <mergeCell ref="B185:B186"/>
    <mergeCell ref="B192:B193"/>
    <mergeCell ref="B200:B201"/>
    <mergeCell ref="C200:C201"/>
    <mergeCell ref="D200:D201"/>
    <mergeCell ref="B209:B211"/>
    <mergeCell ref="B155:B156"/>
    <mergeCell ref="B160:B161"/>
    <mergeCell ref="B165:B166"/>
    <mergeCell ref="B168:B169"/>
    <mergeCell ref="B182:B184"/>
    <mergeCell ref="C182:C183"/>
    <mergeCell ref="D182:D183"/>
    <mergeCell ref="A209:A211"/>
    <mergeCell ref="A212:A213"/>
    <mergeCell ref="B212:B213"/>
    <mergeCell ref="A214:A215"/>
    <mergeCell ref="B214:B215"/>
    <mergeCell ref="B230:B231"/>
    <mergeCell ref="A230:A231"/>
    <mergeCell ref="A256:A258"/>
    <mergeCell ref="B256:B258"/>
    <mergeCell ref="A259:A260"/>
    <mergeCell ref="B259:B260"/>
    <mergeCell ref="B280:B281"/>
    <mergeCell ref="B287:B288"/>
    <mergeCell ref="C747:C748"/>
    <mergeCell ref="C749:C751"/>
    <mergeCell ref="B734:B741"/>
    <mergeCell ref="C735:C740"/>
    <mergeCell ref="B742:B744"/>
    <mergeCell ref="C742:C743"/>
    <mergeCell ref="B745:B746"/>
    <mergeCell ref="B747:B748"/>
    <mergeCell ref="C752:C756"/>
    <mergeCell ref="C783:C788"/>
    <mergeCell ref="C789:C793"/>
    <mergeCell ref="C794:C795"/>
    <mergeCell ref="C796:C800"/>
    <mergeCell ref="C801:C804"/>
    <mergeCell ref="C807:C808"/>
    <mergeCell ref="C810:C812"/>
    <mergeCell ref="C813:C816"/>
    <mergeCell ref="C817:C818"/>
    <mergeCell ref="C820:C823"/>
    <mergeCell ref="C824:C828"/>
    <mergeCell ref="C829:C832"/>
    <mergeCell ref="C834:C838"/>
    <mergeCell ref="C841:C842"/>
    <mergeCell ref="C1162:C1170"/>
    <mergeCell ref="C1171:C1188"/>
    <mergeCell ref="C1189:C1196"/>
    <mergeCell ref="C1197:C1200"/>
    <mergeCell ref="C1201:C1205"/>
    <mergeCell ref="C1206:C1207"/>
    <mergeCell ref="C1208:C1215"/>
    <mergeCell ref="C1216:C1219"/>
    <mergeCell ref="C1136:C1137"/>
    <mergeCell ref="C1139:C1141"/>
    <mergeCell ref="C1142:C1149"/>
    <mergeCell ref="C1150:C1152"/>
    <mergeCell ref="C1154:C1157"/>
    <mergeCell ref="C1158:C1159"/>
    <mergeCell ref="C1160:C1161"/>
    <mergeCell ref="B291:B292"/>
    <mergeCell ref="B296:B297"/>
    <mergeCell ref="B302:B304"/>
    <mergeCell ref="B306:B308"/>
    <mergeCell ref="B313:B314"/>
    <mergeCell ref="B315:B316"/>
    <mergeCell ref="B319:B322"/>
    <mergeCell ref="C701:C707"/>
    <mergeCell ref="C708:C711"/>
    <mergeCell ref="B323:B326"/>
    <mergeCell ref="B330:B340"/>
    <mergeCell ref="B341:B344"/>
    <mergeCell ref="B693:B699"/>
    <mergeCell ref="C693:C697"/>
    <mergeCell ref="C698:C699"/>
    <mergeCell ref="B701:B711"/>
    <mergeCell ref="C726:C731"/>
    <mergeCell ref="C732:C733"/>
    <mergeCell ref="B712:B713"/>
    <mergeCell ref="C712:C713"/>
    <mergeCell ref="B714:B725"/>
    <mergeCell ref="C714:C715"/>
    <mergeCell ref="C716:C721"/>
    <mergeCell ref="C722:C725"/>
    <mergeCell ref="B726:B733"/>
    <mergeCell ref="C757:C758"/>
    <mergeCell ref="C760:C761"/>
    <mergeCell ref="C763:C768"/>
    <mergeCell ref="C769:C771"/>
    <mergeCell ref="C772:C773"/>
    <mergeCell ref="C774:C778"/>
    <mergeCell ref="C779:C782"/>
    <mergeCell ref="C845:C848"/>
    <mergeCell ref="C849:C851"/>
    <mergeCell ref="C855:C860"/>
    <mergeCell ref="C863:C866"/>
    <mergeCell ref="C867:C870"/>
    <mergeCell ref="C872:C874"/>
    <mergeCell ref="C875:C882"/>
    <mergeCell ref="B1099:B1106"/>
    <mergeCell ref="B1108:B1115"/>
    <mergeCell ref="B1116:B1126"/>
    <mergeCell ref="B1127:B1134"/>
    <mergeCell ref="B1135:B1138"/>
    <mergeCell ref="B1139:B1152"/>
    <mergeCell ref="B1154:B1161"/>
    <mergeCell ref="B1162:B1196"/>
    <mergeCell ref="B1197:B1205"/>
    <mergeCell ref="B1206:B1219"/>
    <mergeCell ref="B1224:B1227"/>
    <mergeCell ref="B1231:B1237"/>
    <mergeCell ref="B1246:B1248"/>
    <mergeCell ref="B1249:B1250"/>
    <mergeCell ref="A1345:A1350"/>
    <mergeCell ref="A1352:A1357"/>
    <mergeCell ref="A1360:A1363"/>
    <mergeCell ref="A1364:A1365"/>
    <mergeCell ref="A1312:A1313"/>
    <mergeCell ref="A1314:A1317"/>
    <mergeCell ref="A1320:A1322"/>
    <mergeCell ref="A1326:A1327"/>
    <mergeCell ref="A1329:A1331"/>
    <mergeCell ref="A1333:A1339"/>
    <mergeCell ref="A1342:A1344"/>
    <mergeCell ref="B1345:B1350"/>
    <mergeCell ref="B1352:B1357"/>
    <mergeCell ref="B1360:B1363"/>
    <mergeCell ref="B1364:B1365"/>
    <mergeCell ref="B1312:B1313"/>
    <mergeCell ref="B1314:B1317"/>
    <mergeCell ref="B1320:B1322"/>
    <mergeCell ref="B1326:B1327"/>
    <mergeCell ref="B1329:B1331"/>
    <mergeCell ref="B1333:B1339"/>
    <mergeCell ref="B1342:B1344"/>
    <mergeCell ref="B749:B756"/>
    <mergeCell ref="B757:B761"/>
    <mergeCell ref="B762:B771"/>
    <mergeCell ref="B772:B782"/>
    <mergeCell ref="B783:B793"/>
    <mergeCell ref="B794:B804"/>
    <mergeCell ref="B806:B808"/>
    <mergeCell ref="B809:B812"/>
    <mergeCell ref="B813:B818"/>
    <mergeCell ref="B820:B828"/>
    <mergeCell ref="B829:B838"/>
    <mergeCell ref="B839:B842"/>
    <mergeCell ref="B844:B851"/>
    <mergeCell ref="B852:B853"/>
    <mergeCell ref="B854:B860"/>
    <mergeCell ref="B861:B862"/>
    <mergeCell ref="B863:B871"/>
    <mergeCell ref="B872:B889"/>
    <mergeCell ref="B890:B892"/>
    <mergeCell ref="B893:B894"/>
    <mergeCell ref="B896:B900"/>
    <mergeCell ref="B901:B904"/>
    <mergeCell ref="B905:B908"/>
    <mergeCell ref="B910:B921"/>
    <mergeCell ref="B922:B926"/>
    <mergeCell ref="B927:B937"/>
    <mergeCell ref="B938:B946"/>
    <mergeCell ref="B947:B956"/>
    <mergeCell ref="B957:B964"/>
    <mergeCell ref="B965:B973"/>
    <mergeCell ref="B974:B980"/>
    <mergeCell ref="B981:B983"/>
    <mergeCell ref="B984:B990"/>
    <mergeCell ref="B991:B1008"/>
    <mergeCell ref="B1009:B1017"/>
    <mergeCell ref="B1018:B1029"/>
    <mergeCell ref="B1030:B1034"/>
    <mergeCell ref="B1036:B1038"/>
    <mergeCell ref="B1040:B1051"/>
    <mergeCell ref="B1052:B1083"/>
    <mergeCell ref="B1084:B1092"/>
    <mergeCell ref="B1093:B1098"/>
    <mergeCell ref="B1261:B1264"/>
    <mergeCell ref="B1266:B1268"/>
    <mergeCell ref="B1275:B1281"/>
    <mergeCell ref="B1282:B1288"/>
    <mergeCell ref="B1290:B1291"/>
    <mergeCell ref="B1297:B1299"/>
    <mergeCell ref="B1303:B1307"/>
  </mergeCells>
  <hyperlinks>
    <hyperlink r:id="rId1" ref="A2"/>
    <hyperlink r:id="rId2" ref="B2"/>
    <hyperlink display="PROFIL DOSEN : Latar Belakang Pendidikan: jenjang, bidang studi, tempat studi, tahun kelulusan" location="'Tabel Suplemen B5'!A15" ref="A5"/>
    <hyperlink display="Pengalaman akademik – jabatan akademik dan jabatan struktural" location="'Tabel Suplemen B5'!A106" ref="A6"/>
    <hyperlink display="Pengalaman non akademik" location="'Tabel Suplemen B5'!A204" ref="A7"/>
    <hyperlink display="Sertifikasi profesi keinsinyuran" location="'Tabel Suplemen B5'!A218" ref="A8"/>
    <hyperlink display="Keanggotaan organisasi profesi" location="'Tabel Suplemen B5'!A224" ref="A9"/>
    <hyperlink display="Penghargaan yang diperoleh" location="'Tabel Suplemen B5'!A311" ref="A10"/>
    <hyperlink display="Jasa layanan yang pernah diberikan kepada masyarakat" location="'Tabel Suplemen B5'!A347" ref="A11"/>
    <hyperlink display="Judul Publikasi Ilmiah" location="'Tabel Suplemen B5'!A691" ref="A12"/>
    <hyperlink display="Pengembangan Keprofesian" location="'Tabel Suplemen B5'!A1222" ref="A13"/>
    <hyperlink r:id="rId3" ref="B104"/>
    <hyperlink r:id="rId4" ref="B202"/>
    <hyperlink r:id="rId5" ref="B216"/>
    <hyperlink r:id="rId6" ref="B222"/>
    <hyperlink r:id="rId7" ref="B309"/>
    <hyperlink r:id="rId8" ref="B345"/>
    <hyperlink r:id="rId9" ref="F693"/>
    <hyperlink r:id="rId10" ref="F694"/>
    <hyperlink r:id="rId11" ref="F695"/>
    <hyperlink r:id="rId12" ref="F696"/>
    <hyperlink r:id="rId13" ref="F697"/>
    <hyperlink r:id="rId14" ref="F698"/>
    <hyperlink r:id="rId15" ref="F699"/>
    <hyperlink r:id="rId16" ref="F700"/>
    <hyperlink r:id="rId17" ref="F701"/>
    <hyperlink r:id="rId18" ref="F702"/>
    <hyperlink r:id="rId19" ref="F703"/>
    <hyperlink r:id="rId20" ref="F704"/>
    <hyperlink r:id="rId21" ref="F705"/>
    <hyperlink r:id="rId22" ref="F706"/>
    <hyperlink r:id="rId23" ref="F707"/>
    <hyperlink r:id="rId24" ref="F708"/>
    <hyperlink r:id="rId25" ref="F709"/>
    <hyperlink r:id="rId26" ref="F710"/>
    <hyperlink r:id="rId27" ref="F711"/>
    <hyperlink r:id="rId28" ref="F712"/>
    <hyperlink r:id="rId29" ref="F713"/>
    <hyperlink r:id="rId30" ref="F714"/>
    <hyperlink r:id="rId31" ref="F715"/>
    <hyperlink r:id="rId32" ref="F716"/>
    <hyperlink r:id="rId33" ref="F717"/>
    <hyperlink r:id="rId34" ref="F718"/>
    <hyperlink r:id="rId35" ref="F719"/>
    <hyperlink r:id="rId36" ref="F720"/>
    <hyperlink r:id="rId37" ref="F721"/>
    <hyperlink r:id="rId38" ref="F722"/>
    <hyperlink r:id="rId39" ref="F723"/>
    <hyperlink r:id="rId40" ref="F724"/>
    <hyperlink r:id="rId41" ref="F725"/>
    <hyperlink r:id="rId42" ref="F726"/>
    <hyperlink r:id="rId43" ref="F727"/>
    <hyperlink r:id="rId44" ref="F728"/>
    <hyperlink r:id="rId45" ref="F729"/>
    <hyperlink r:id="rId46" ref="F730"/>
    <hyperlink r:id="rId47" ref="F731"/>
    <hyperlink r:id="rId48" ref="F732"/>
    <hyperlink r:id="rId49" ref="F733"/>
    <hyperlink r:id="rId50" ref="F734"/>
    <hyperlink r:id="rId51" ref="F735"/>
    <hyperlink r:id="rId52" ref="F736"/>
    <hyperlink r:id="rId53" ref="F737"/>
    <hyperlink r:id="rId54" ref="F738"/>
    <hyperlink r:id="rId55" ref="F739"/>
    <hyperlink r:id="rId56" ref="F740"/>
    <hyperlink r:id="rId57" ref="F741"/>
    <hyperlink r:id="rId58" ref="F742"/>
    <hyperlink r:id="rId59" ref="F743"/>
    <hyperlink r:id="rId60" ref="F744"/>
    <hyperlink r:id="rId61" ref="F745"/>
    <hyperlink r:id="rId62" ref="F746"/>
    <hyperlink r:id="rId63" ref="D747"/>
    <hyperlink r:id="rId64" ref="F747"/>
    <hyperlink r:id="rId65" ref="D748"/>
    <hyperlink r:id="rId66" ref="F748"/>
    <hyperlink r:id="rId67" ref="D749"/>
    <hyperlink r:id="rId68" ref="F749"/>
    <hyperlink r:id="rId69" ref="D750"/>
    <hyperlink r:id="rId70" ref="F750"/>
    <hyperlink r:id="rId71" ref="F751"/>
    <hyperlink r:id="rId72" ref="F752"/>
    <hyperlink r:id="rId73" ref="F753"/>
    <hyperlink r:id="rId74" ref="F754"/>
    <hyperlink r:id="rId75" ref="F755"/>
    <hyperlink r:id="rId76" ref="F756"/>
    <hyperlink r:id="rId77" ref="D757"/>
    <hyperlink r:id="rId78" ref="F757"/>
    <hyperlink r:id="rId79" ref="D758"/>
    <hyperlink r:id="rId80" ref="F758"/>
    <hyperlink r:id="rId81" ref="D759"/>
    <hyperlink r:id="rId82" ref="F759"/>
    <hyperlink r:id="rId83" ref="D760"/>
    <hyperlink r:id="rId84" ref="F760"/>
    <hyperlink r:id="rId85" ref="D761"/>
    <hyperlink r:id="rId86" ref="F761"/>
    <hyperlink r:id="rId87" ref="D762"/>
    <hyperlink r:id="rId88" ref="F762"/>
    <hyperlink r:id="rId89" ref="F763"/>
    <hyperlink r:id="rId90" ref="F764"/>
    <hyperlink r:id="rId91" ref="F765"/>
    <hyperlink r:id="rId92" ref="F766"/>
    <hyperlink r:id="rId93" ref="F767"/>
    <hyperlink r:id="rId94" ref="F768"/>
    <hyperlink r:id="rId95" ref="F769"/>
    <hyperlink r:id="rId96" ref="F770"/>
    <hyperlink r:id="rId97" ref="F771"/>
    <hyperlink r:id="rId98" ref="F772"/>
    <hyperlink r:id="rId99" ref="F773"/>
    <hyperlink r:id="rId100" ref="F774"/>
    <hyperlink r:id="rId101" ref="F775"/>
    <hyperlink r:id="rId102" ref="F776"/>
    <hyperlink r:id="rId103" ref="F777"/>
    <hyperlink r:id="rId104" ref="F778"/>
    <hyperlink r:id="rId105" ref="F779"/>
    <hyperlink r:id="rId106" ref="F780"/>
    <hyperlink r:id="rId107" ref="F781"/>
    <hyperlink r:id="rId108" ref="F782"/>
    <hyperlink r:id="rId109" ref="F783"/>
    <hyperlink r:id="rId110" ref="F784"/>
    <hyperlink r:id="rId111" ref="F785"/>
    <hyperlink r:id="rId112" ref="F786"/>
    <hyperlink r:id="rId113" ref="F787"/>
    <hyperlink r:id="rId114" ref="F788"/>
    <hyperlink r:id="rId115" ref="F789"/>
    <hyperlink r:id="rId116" ref="F790"/>
    <hyperlink r:id="rId117" ref="F791"/>
    <hyperlink r:id="rId118" ref="F792"/>
    <hyperlink r:id="rId119" ref="F793"/>
    <hyperlink r:id="rId120" ref="F794"/>
    <hyperlink r:id="rId121" ref="F795"/>
    <hyperlink r:id="rId122" ref="F796"/>
    <hyperlink r:id="rId123" ref="F797"/>
    <hyperlink r:id="rId124" ref="F798"/>
    <hyperlink r:id="rId125" ref="F799"/>
    <hyperlink r:id="rId126" ref="F800"/>
    <hyperlink r:id="rId127" ref="F801"/>
    <hyperlink r:id="rId128" ref="F802"/>
    <hyperlink r:id="rId129" ref="F803"/>
    <hyperlink r:id="rId130" ref="F804"/>
    <hyperlink r:id="rId131" ref="D806"/>
    <hyperlink r:id="rId132" ref="F806"/>
    <hyperlink r:id="rId133" ref="D807"/>
    <hyperlink r:id="rId134" ref="F807"/>
    <hyperlink r:id="rId135" ref="D808"/>
    <hyperlink r:id="rId136" ref="F808"/>
    <hyperlink r:id="rId137" ref="F809"/>
    <hyperlink r:id="rId138" ref="F810"/>
    <hyperlink r:id="rId139" ref="F811"/>
    <hyperlink r:id="rId140" ref="F812"/>
    <hyperlink r:id="rId141" ref="D813"/>
    <hyperlink r:id="rId142" ref="F813"/>
    <hyperlink r:id="rId143" ref="D814"/>
    <hyperlink r:id="rId144" ref="F814"/>
    <hyperlink r:id="rId145" ref="D815"/>
    <hyperlink r:id="rId146" ref="F815"/>
    <hyperlink r:id="rId147" ref="D816"/>
    <hyperlink r:id="rId148" ref="F816"/>
    <hyperlink r:id="rId149" ref="D817"/>
    <hyperlink r:id="rId150" ref="F817"/>
    <hyperlink r:id="rId151" ref="D818"/>
    <hyperlink r:id="rId152" ref="F818"/>
    <hyperlink r:id="rId153" ref="D819"/>
    <hyperlink r:id="rId154" ref="F819"/>
    <hyperlink r:id="rId155" ref="D820"/>
    <hyperlink r:id="rId156" ref="F820"/>
    <hyperlink r:id="rId157" ref="D821"/>
    <hyperlink r:id="rId158" ref="F821"/>
    <hyperlink r:id="rId159" ref="D822"/>
    <hyperlink r:id="rId160" ref="F822"/>
    <hyperlink r:id="rId161" ref="D823"/>
    <hyperlink r:id="rId162" ref="F823"/>
    <hyperlink r:id="rId163" ref="D824"/>
    <hyperlink r:id="rId164" ref="F824"/>
    <hyperlink r:id="rId165" ref="D825"/>
    <hyperlink r:id="rId166" ref="F825"/>
    <hyperlink r:id="rId167" ref="D826"/>
    <hyperlink r:id="rId168" ref="F826"/>
    <hyperlink r:id="rId169" ref="D827"/>
    <hyperlink r:id="rId170" ref="F827"/>
    <hyperlink r:id="rId171" ref="D828"/>
    <hyperlink r:id="rId172" ref="F828"/>
    <hyperlink r:id="rId173" ref="D829"/>
    <hyperlink r:id="rId174" ref="F829"/>
    <hyperlink r:id="rId175" ref="D830"/>
    <hyperlink r:id="rId176" ref="F830"/>
    <hyperlink r:id="rId177" ref="D831"/>
    <hyperlink r:id="rId178" ref="F831"/>
    <hyperlink r:id="rId179" ref="D832"/>
    <hyperlink r:id="rId180" ref="D833"/>
    <hyperlink r:id="rId181" ref="F833"/>
    <hyperlink r:id="rId182" ref="D834"/>
    <hyperlink r:id="rId183" ref="F834"/>
    <hyperlink r:id="rId184" ref="D835"/>
    <hyperlink r:id="rId185" ref="F835"/>
    <hyperlink r:id="rId186" ref="D836"/>
    <hyperlink r:id="rId187" ref="F836"/>
    <hyperlink r:id="rId188" ref="D837"/>
    <hyperlink r:id="rId189" ref="F837"/>
    <hyperlink r:id="rId190" ref="D838"/>
    <hyperlink r:id="rId191" ref="F838"/>
    <hyperlink r:id="rId192" ref="D839"/>
    <hyperlink r:id="rId193" ref="F839"/>
    <hyperlink r:id="rId194" ref="D840"/>
    <hyperlink r:id="rId195" ref="F840"/>
    <hyperlink r:id="rId196" ref="D841"/>
    <hyperlink r:id="rId197" ref="F841"/>
    <hyperlink r:id="rId198" ref="D842"/>
    <hyperlink r:id="rId199" ref="F842"/>
    <hyperlink r:id="rId200" ref="F843"/>
    <hyperlink r:id="rId201" ref="D844"/>
    <hyperlink r:id="rId202" ref="F844"/>
    <hyperlink r:id="rId203" ref="F845"/>
    <hyperlink r:id="rId204" ref="D846"/>
    <hyperlink r:id="rId205" ref="D847"/>
    <hyperlink r:id="rId206" ref="F847"/>
    <hyperlink r:id="rId207" ref="F848"/>
    <hyperlink r:id="rId208" ref="F849"/>
    <hyperlink r:id="rId209" ref="F850"/>
    <hyperlink r:id="rId210" ref="F851"/>
    <hyperlink r:id="rId211" ref="F852"/>
    <hyperlink r:id="rId212" ref="F853"/>
    <hyperlink r:id="rId213" ref="F854"/>
    <hyperlink r:id="rId214" ref="F855"/>
    <hyperlink r:id="rId215" ref="F856"/>
    <hyperlink r:id="rId216" ref="F857"/>
    <hyperlink r:id="rId217" ref="F858"/>
    <hyperlink r:id="rId218" ref="F859"/>
    <hyperlink r:id="rId219" ref="F860"/>
    <hyperlink r:id="rId220" ref="F861"/>
    <hyperlink r:id="rId221" ref="F862"/>
    <hyperlink r:id="rId222" ref="D863"/>
    <hyperlink r:id="rId223" ref="F863"/>
    <hyperlink r:id="rId224" ref="D864"/>
    <hyperlink r:id="rId225" ref="F864"/>
    <hyperlink r:id="rId226" ref="D865"/>
    <hyperlink r:id="rId227" ref="F865"/>
    <hyperlink r:id="rId228" ref="D866"/>
    <hyperlink r:id="rId229" ref="F866"/>
    <hyperlink r:id="rId230" ref="F867"/>
    <hyperlink r:id="rId231" ref="F868"/>
    <hyperlink r:id="rId232" ref="F869"/>
    <hyperlink r:id="rId233" ref="F870"/>
    <hyperlink r:id="rId234" ref="D871"/>
    <hyperlink r:id="rId235" ref="F871"/>
    <hyperlink r:id="rId236" ref="D872"/>
    <hyperlink r:id="rId237" ref="F872"/>
    <hyperlink r:id="rId238" ref="D873"/>
    <hyperlink r:id="rId239" ref="F873"/>
    <hyperlink r:id="rId240" ref="D874"/>
    <hyperlink r:id="rId241" ref="F874"/>
    <hyperlink r:id="rId242" ref="F875"/>
    <hyperlink r:id="rId243" ref="F876"/>
    <hyperlink r:id="rId244" ref="F877"/>
    <hyperlink r:id="rId245" ref="F878"/>
    <hyperlink r:id="rId246" ref="F879"/>
    <hyperlink r:id="rId247" ref="F880"/>
    <hyperlink r:id="rId248" ref="F881"/>
    <hyperlink r:id="rId249" ref="F882"/>
    <hyperlink r:id="rId250" ref="F883"/>
    <hyperlink r:id="rId251" ref="F884"/>
    <hyperlink r:id="rId252" ref="F885"/>
    <hyperlink r:id="rId253" ref="F886"/>
    <hyperlink r:id="rId254" ref="F887"/>
    <hyperlink r:id="rId255" ref="F888"/>
    <hyperlink r:id="rId256" ref="F889"/>
    <hyperlink r:id="rId257" ref="F890"/>
    <hyperlink r:id="rId258" ref="F891"/>
    <hyperlink r:id="rId259" ref="F892"/>
    <hyperlink r:id="rId260" ref="F893"/>
    <hyperlink r:id="rId261" ref="F894"/>
    <hyperlink r:id="rId262" ref="D896"/>
    <hyperlink r:id="rId263" ref="F896"/>
    <hyperlink r:id="rId264" ref="D897"/>
    <hyperlink r:id="rId265" ref="F897"/>
    <hyperlink r:id="rId266" ref="D898"/>
    <hyperlink r:id="rId267" ref="F898"/>
    <hyperlink r:id="rId268" ref="D899"/>
    <hyperlink r:id="rId269" ref="F899"/>
    <hyperlink r:id="rId270" ref="D900"/>
    <hyperlink r:id="rId271" ref="F900"/>
    <hyperlink r:id="rId272" ref="D901"/>
    <hyperlink r:id="rId273" ref="D902"/>
    <hyperlink r:id="rId274" ref="D903"/>
    <hyperlink r:id="rId275" ref="D904"/>
    <hyperlink r:id="rId276" ref="D905"/>
    <hyperlink r:id="rId277" ref="F905"/>
    <hyperlink r:id="rId278" ref="D906"/>
    <hyperlink r:id="rId279" ref="F906"/>
    <hyperlink r:id="rId280" ref="D907"/>
    <hyperlink r:id="rId281" ref="F907"/>
    <hyperlink r:id="rId282" ref="D908"/>
    <hyperlink r:id="rId283" ref="F908"/>
    <hyperlink r:id="rId284" ref="D910"/>
    <hyperlink r:id="rId285" ref="F910"/>
    <hyperlink r:id="rId286" ref="D911"/>
    <hyperlink r:id="rId287" ref="F911"/>
    <hyperlink r:id="rId288" ref="D912"/>
    <hyperlink r:id="rId289" ref="F912"/>
    <hyperlink r:id="rId290" ref="D913"/>
    <hyperlink r:id="rId291" ref="F913"/>
    <hyperlink r:id="rId292" ref="D914"/>
    <hyperlink r:id="rId293" ref="F914"/>
    <hyperlink r:id="rId294" ref="D915"/>
    <hyperlink r:id="rId295" ref="F915"/>
    <hyperlink r:id="rId296" ref="D916"/>
    <hyperlink r:id="rId297" ref="F916"/>
    <hyperlink r:id="rId298" ref="D917"/>
    <hyperlink r:id="rId299" ref="F917"/>
    <hyperlink r:id="rId300" ref="D918"/>
    <hyperlink r:id="rId301" ref="F918"/>
    <hyperlink r:id="rId302" ref="D919"/>
    <hyperlink r:id="rId303" ref="F919"/>
    <hyperlink r:id="rId304" ref="D920"/>
    <hyperlink r:id="rId305" ref="F920"/>
    <hyperlink r:id="rId306" ref="D921"/>
    <hyperlink r:id="rId307" ref="F921"/>
    <hyperlink r:id="rId308" ref="D922"/>
    <hyperlink r:id="rId309" ref="F922"/>
    <hyperlink r:id="rId310" ref="D923"/>
    <hyperlink r:id="rId311" ref="F923"/>
    <hyperlink r:id="rId312" ref="D924"/>
    <hyperlink r:id="rId313" ref="F924"/>
    <hyperlink r:id="rId314" ref="D925"/>
    <hyperlink r:id="rId315" ref="F925"/>
    <hyperlink r:id="rId316" ref="D926"/>
    <hyperlink r:id="rId317" ref="F926"/>
    <hyperlink r:id="rId318" ref="D927"/>
    <hyperlink r:id="rId319" ref="F927"/>
    <hyperlink r:id="rId320" ref="D928"/>
    <hyperlink r:id="rId321" ref="F928"/>
    <hyperlink r:id="rId322" ref="D929"/>
    <hyperlink r:id="rId323" ref="F929"/>
    <hyperlink r:id="rId324" ref="D930"/>
    <hyperlink r:id="rId325" ref="F930"/>
    <hyperlink r:id="rId326" ref="D931"/>
    <hyperlink r:id="rId327" ref="F931"/>
    <hyperlink r:id="rId328" ref="D932"/>
    <hyperlink r:id="rId329" ref="F932"/>
    <hyperlink r:id="rId330" ref="D933"/>
    <hyperlink r:id="rId331" ref="F933"/>
    <hyperlink r:id="rId332" ref="D934"/>
    <hyperlink r:id="rId333" ref="F934"/>
    <hyperlink r:id="rId334" ref="D935"/>
    <hyperlink r:id="rId335" ref="F935"/>
    <hyperlink r:id="rId336" ref="D936"/>
    <hyperlink r:id="rId337" ref="F936"/>
    <hyperlink r:id="rId338" ref="D937"/>
    <hyperlink r:id="rId339" ref="F937"/>
    <hyperlink r:id="rId340" ref="D938"/>
    <hyperlink r:id="rId341" ref="F938"/>
    <hyperlink r:id="rId342" ref="D939"/>
    <hyperlink r:id="rId343" ref="F939"/>
    <hyperlink r:id="rId344" ref="D940"/>
    <hyperlink r:id="rId345" ref="F940"/>
    <hyperlink r:id="rId346" ref="D941"/>
    <hyperlink r:id="rId347" ref="F941"/>
    <hyperlink r:id="rId348" ref="D942"/>
    <hyperlink r:id="rId349" ref="F942"/>
    <hyperlink r:id="rId350" ref="D943"/>
    <hyperlink r:id="rId351" ref="F943"/>
    <hyperlink r:id="rId352" ref="D944"/>
    <hyperlink r:id="rId353" ref="F944"/>
    <hyperlink r:id="rId354" ref="D945"/>
    <hyperlink r:id="rId355" ref="F945"/>
    <hyperlink r:id="rId356" ref="D946"/>
    <hyperlink r:id="rId357" ref="F946"/>
    <hyperlink r:id="rId358" ref="D947"/>
    <hyperlink r:id="rId359" ref="F947"/>
    <hyperlink r:id="rId360" ref="D948"/>
    <hyperlink r:id="rId361" ref="F948"/>
    <hyperlink r:id="rId362" ref="D949"/>
    <hyperlink r:id="rId363" ref="F949"/>
    <hyperlink r:id="rId364" ref="D950"/>
    <hyperlink r:id="rId365" ref="F950"/>
    <hyperlink r:id="rId366" ref="D951"/>
    <hyperlink r:id="rId367" ref="F951"/>
    <hyperlink r:id="rId368" ref="D952"/>
    <hyperlink r:id="rId369" ref="F952"/>
    <hyperlink r:id="rId370" ref="D953"/>
    <hyperlink r:id="rId371" ref="F953"/>
    <hyperlink r:id="rId372" ref="D954"/>
    <hyperlink r:id="rId373" ref="F954"/>
    <hyperlink r:id="rId374" ref="D955"/>
    <hyperlink r:id="rId375" ref="F955"/>
    <hyperlink r:id="rId376" ref="D956"/>
    <hyperlink r:id="rId377" ref="F956"/>
    <hyperlink r:id="rId378" ref="D957"/>
    <hyperlink r:id="rId379" ref="F957"/>
    <hyperlink r:id="rId380" ref="D958"/>
    <hyperlink r:id="rId381" ref="F958"/>
    <hyperlink r:id="rId382" ref="D959"/>
    <hyperlink r:id="rId383" ref="F959"/>
    <hyperlink r:id="rId384" ref="D960"/>
    <hyperlink r:id="rId385" ref="F960"/>
    <hyperlink r:id="rId386" ref="D961"/>
    <hyperlink r:id="rId387" ref="F961"/>
    <hyperlink r:id="rId388" ref="D962"/>
    <hyperlink r:id="rId389" ref="F962"/>
    <hyperlink r:id="rId390" ref="D963"/>
    <hyperlink r:id="rId391" ref="F963"/>
    <hyperlink r:id="rId392" ref="D964"/>
    <hyperlink r:id="rId393" ref="F964"/>
    <hyperlink r:id="rId394" ref="D965"/>
    <hyperlink r:id="rId395" ref="F965"/>
    <hyperlink r:id="rId396" ref="D966"/>
    <hyperlink r:id="rId397" ref="F966"/>
    <hyperlink r:id="rId398" ref="D967"/>
    <hyperlink r:id="rId399" ref="F967"/>
    <hyperlink r:id="rId400" ref="D968"/>
    <hyperlink r:id="rId401" ref="F968"/>
    <hyperlink r:id="rId402" ref="D969"/>
    <hyperlink r:id="rId403" ref="F969"/>
    <hyperlink r:id="rId404" ref="D970"/>
    <hyperlink r:id="rId405" ref="F970"/>
    <hyperlink r:id="rId406" ref="D971"/>
    <hyperlink r:id="rId407" ref="F971"/>
    <hyperlink r:id="rId408" ref="D972"/>
    <hyperlink r:id="rId409" ref="F972"/>
    <hyperlink r:id="rId410" ref="D973"/>
    <hyperlink r:id="rId411" ref="F973"/>
    <hyperlink r:id="rId412" ref="D974"/>
    <hyperlink r:id="rId413" ref="F974"/>
    <hyperlink r:id="rId414" ref="D975"/>
    <hyperlink r:id="rId415" ref="F975"/>
    <hyperlink r:id="rId416" ref="D976"/>
    <hyperlink r:id="rId417" ref="F976"/>
    <hyperlink r:id="rId418" ref="D977"/>
    <hyperlink r:id="rId419" ref="F977"/>
    <hyperlink r:id="rId420" ref="D978"/>
    <hyperlink r:id="rId421" ref="F978"/>
    <hyperlink r:id="rId422" ref="D979"/>
    <hyperlink r:id="rId423" ref="F979"/>
    <hyperlink r:id="rId424" ref="D980"/>
    <hyperlink r:id="rId425" ref="F980"/>
    <hyperlink r:id="rId426" ref="D981"/>
    <hyperlink r:id="rId427" ref="F981"/>
    <hyperlink r:id="rId428" ref="D982"/>
    <hyperlink r:id="rId429" ref="F982"/>
    <hyperlink r:id="rId430" ref="D983"/>
    <hyperlink r:id="rId431" ref="F983"/>
    <hyperlink r:id="rId432" ref="D984"/>
    <hyperlink r:id="rId433" ref="F984"/>
    <hyperlink r:id="rId434" ref="D985"/>
    <hyperlink r:id="rId435" ref="F985"/>
    <hyperlink r:id="rId436" ref="D986"/>
    <hyperlink r:id="rId437" ref="F986"/>
    <hyperlink r:id="rId438" ref="D987"/>
    <hyperlink r:id="rId439" ref="F987"/>
    <hyperlink r:id="rId440" ref="D988"/>
    <hyperlink r:id="rId441" ref="F988"/>
    <hyperlink r:id="rId442" ref="D989"/>
    <hyperlink r:id="rId443" ref="F989"/>
    <hyperlink r:id="rId444" ref="D990"/>
    <hyperlink r:id="rId445" ref="F990"/>
    <hyperlink r:id="rId446" ref="D991"/>
    <hyperlink r:id="rId447" ref="F991"/>
    <hyperlink r:id="rId448" ref="D992"/>
    <hyperlink r:id="rId449" ref="F992"/>
    <hyperlink r:id="rId450" ref="D993"/>
    <hyperlink r:id="rId451" ref="F993"/>
    <hyperlink r:id="rId452" ref="D994"/>
    <hyperlink r:id="rId453" ref="F994"/>
    <hyperlink r:id="rId454" ref="D995"/>
    <hyperlink r:id="rId455" ref="F995"/>
    <hyperlink r:id="rId456" ref="D996"/>
    <hyperlink r:id="rId457" ref="F996"/>
    <hyperlink r:id="rId458" ref="D997"/>
    <hyperlink r:id="rId459" ref="F997"/>
    <hyperlink r:id="rId460" ref="D998"/>
    <hyperlink r:id="rId461" ref="F998"/>
    <hyperlink r:id="rId462" ref="D999"/>
    <hyperlink r:id="rId463" ref="F999"/>
    <hyperlink r:id="rId464" ref="D1000"/>
    <hyperlink r:id="rId465" ref="F1000"/>
    <hyperlink r:id="rId466" ref="D1001"/>
    <hyperlink r:id="rId467" ref="F1001"/>
    <hyperlink r:id="rId468" ref="D1002"/>
    <hyperlink r:id="rId469" ref="F1002"/>
    <hyperlink r:id="rId470" ref="D1003"/>
    <hyperlink r:id="rId471" ref="F1003"/>
    <hyperlink r:id="rId472" ref="D1004"/>
    <hyperlink r:id="rId473" ref="F1004"/>
    <hyperlink r:id="rId474" ref="D1005"/>
    <hyperlink r:id="rId475" ref="F1005"/>
    <hyperlink r:id="rId476" ref="D1006"/>
    <hyperlink r:id="rId477" ref="F1006"/>
    <hyperlink r:id="rId478" ref="D1007"/>
    <hyperlink r:id="rId479" ref="F1007"/>
    <hyperlink r:id="rId480" ref="D1008"/>
    <hyperlink r:id="rId481" ref="F1008"/>
    <hyperlink r:id="rId482" ref="D1009"/>
    <hyperlink r:id="rId483" ref="F1009"/>
    <hyperlink r:id="rId484" ref="D1010"/>
    <hyperlink r:id="rId485" ref="F1010"/>
    <hyperlink r:id="rId486" ref="D1011"/>
    <hyperlink r:id="rId487" ref="F1011"/>
    <hyperlink r:id="rId488" ref="D1012"/>
    <hyperlink r:id="rId489" ref="F1012"/>
    <hyperlink r:id="rId490" ref="D1013"/>
    <hyperlink r:id="rId491" ref="F1013"/>
    <hyperlink r:id="rId492" ref="D1014"/>
    <hyperlink r:id="rId493" ref="F1014"/>
    <hyperlink r:id="rId494" ref="D1015"/>
    <hyperlink r:id="rId495" ref="F1015"/>
    <hyperlink r:id="rId496" ref="D1016"/>
    <hyperlink r:id="rId497" ref="F1016"/>
    <hyperlink r:id="rId498" ref="D1017"/>
    <hyperlink r:id="rId499" ref="F1017"/>
    <hyperlink r:id="rId500" ref="D1018"/>
    <hyperlink r:id="rId501" ref="F1018"/>
    <hyperlink r:id="rId502" ref="D1019"/>
    <hyperlink r:id="rId503" ref="F1019"/>
    <hyperlink r:id="rId504" ref="D1020"/>
    <hyperlink r:id="rId505" ref="F1020"/>
    <hyperlink r:id="rId506" ref="D1021"/>
    <hyperlink r:id="rId507" ref="F1021"/>
    <hyperlink r:id="rId508" ref="D1022"/>
    <hyperlink r:id="rId509" ref="F1022"/>
    <hyperlink r:id="rId510" ref="D1023"/>
    <hyperlink r:id="rId511" ref="F1023"/>
    <hyperlink r:id="rId512" ref="D1024"/>
    <hyperlink r:id="rId513" ref="F1024"/>
    <hyperlink r:id="rId514" ref="D1025"/>
    <hyperlink r:id="rId515" ref="F1025"/>
    <hyperlink r:id="rId516" ref="D1026"/>
    <hyperlink r:id="rId517" ref="F1026"/>
    <hyperlink r:id="rId518" ref="D1027"/>
    <hyperlink r:id="rId519" ref="F1027"/>
    <hyperlink r:id="rId520" ref="D1028"/>
    <hyperlink r:id="rId521" ref="F1028"/>
    <hyperlink r:id="rId522" ref="D1029"/>
    <hyperlink r:id="rId523" ref="F1029"/>
    <hyperlink r:id="rId524" ref="D1030"/>
    <hyperlink r:id="rId525" ref="F1030"/>
    <hyperlink r:id="rId526" ref="D1031"/>
    <hyperlink r:id="rId527" ref="F1031"/>
    <hyperlink r:id="rId528" ref="D1032"/>
    <hyperlink r:id="rId529" ref="F1032"/>
    <hyperlink r:id="rId530" ref="D1033"/>
    <hyperlink r:id="rId531" ref="F1033"/>
    <hyperlink r:id="rId532" ref="D1034"/>
    <hyperlink r:id="rId533" ref="F1034"/>
    <hyperlink r:id="rId534" ref="D1035"/>
    <hyperlink r:id="rId535" ref="F1035"/>
    <hyperlink r:id="rId536" ref="D1036"/>
    <hyperlink r:id="rId537" ref="F1036"/>
    <hyperlink r:id="rId538" ref="D1037"/>
    <hyperlink r:id="rId539" ref="F1037"/>
    <hyperlink r:id="rId540" ref="D1038"/>
    <hyperlink r:id="rId541" ref="F1038"/>
    <hyperlink r:id="rId542" ref="D1040"/>
    <hyperlink r:id="rId543" ref="F1040"/>
    <hyperlink r:id="rId544" ref="D1041"/>
    <hyperlink r:id="rId545" ref="F1041"/>
    <hyperlink r:id="rId546" ref="D1042"/>
    <hyperlink r:id="rId547" ref="F1042"/>
    <hyperlink r:id="rId548" ref="D1043"/>
    <hyperlink r:id="rId549" ref="F1043"/>
    <hyperlink r:id="rId550" ref="D1044"/>
    <hyperlink r:id="rId551" ref="F1044"/>
    <hyperlink r:id="rId552" ref="D1045"/>
    <hyperlink r:id="rId553" ref="F1045"/>
    <hyperlink r:id="rId554" ref="D1046"/>
    <hyperlink r:id="rId555" ref="F1046"/>
    <hyperlink r:id="rId556" ref="D1047"/>
    <hyperlink r:id="rId557" ref="F1047"/>
    <hyperlink r:id="rId558" ref="D1048"/>
    <hyperlink r:id="rId559" ref="F1048"/>
    <hyperlink r:id="rId560" ref="D1049"/>
    <hyperlink r:id="rId561" ref="F1049"/>
    <hyperlink r:id="rId562" ref="D1050"/>
    <hyperlink r:id="rId563" ref="F1050"/>
    <hyperlink r:id="rId564" ref="D1051"/>
    <hyperlink r:id="rId565" ref="F1051"/>
    <hyperlink r:id="rId566" ref="D1052"/>
    <hyperlink r:id="rId567" ref="F1052"/>
    <hyperlink r:id="rId568" ref="D1053"/>
    <hyperlink r:id="rId569" ref="F1053"/>
    <hyperlink r:id="rId570" ref="D1054"/>
    <hyperlink r:id="rId571" ref="F1054"/>
    <hyperlink r:id="rId572" ref="D1055"/>
    <hyperlink r:id="rId573" ref="F1055"/>
    <hyperlink r:id="rId574" ref="D1056"/>
    <hyperlink r:id="rId575" ref="F1056"/>
    <hyperlink r:id="rId576" ref="D1057"/>
    <hyperlink r:id="rId577" ref="F1057"/>
    <hyperlink r:id="rId578" ref="D1058"/>
    <hyperlink r:id="rId579" ref="F1058"/>
    <hyperlink r:id="rId580" ref="D1059"/>
    <hyperlink r:id="rId581" ref="F1059"/>
    <hyperlink r:id="rId582" ref="D1060"/>
    <hyperlink r:id="rId583" ref="F1060"/>
    <hyperlink r:id="rId584" ref="D1061"/>
    <hyperlink r:id="rId585" ref="F1061"/>
    <hyperlink r:id="rId586" ref="D1062"/>
    <hyperlink r:id="rId587" ref="F1062"/>
    <hyperlink r:id="rId588" ref="D1063"/>
    <hyperlink r:id="rId589" ref="F1063"/>
    <hyperlink r:id="rId590" ref="D1064"/>
    <hyperlink r:id="rId591" ref="F1064"/>
    <hyperlink r:id="rId592" ref="D1065"/>
    <hyperlink r:id="rId593" ref="F1065"/>
    <hyperlink r:id="rId594" ref="D1066"/>
    <hyperlink r:id="rId595" ref="F1066"/>
    <hyperlink r:id="rId596" ref="D1067"/>
    <hyperlink r:id="rId597" ref="F1067"/>
    <hyperlink r:id="rId598" ref="D1068"/>
    <hyperlink r:id="rId599" ref="F1068"/>
    <hyperlink r:id="rId600" ref="D1069"/>
    <hyperlink r:id="rId601" ref="F1069"/>
    <hyperlink r:id="rId602" ref="D1070"/>
    <hyperlink r:id="rId603" ref="F1070"/>
    <hyperlink r:id="rId604" ref="D1071"/>
    <hyperlink r:id="rId605" ref="F1071"/>
    <hyperlink r:id="rId606" ref="D1072"/>
    <hyperlink r:id="rId607" ref="F1072"/>
    <hyperlink r:id="rId608" ref="D1073"/>
    <hyperlink r:id="rId609" ref="F1073"/>
    <hyperlink r:id="rId610" ref="D1074"/>
    <hyperlink r:id="rId611" ref="F1074"/>
    <hyperlink r:id="rId612" ref="D1075"/>
    <hyperlink r:id="rId613" ref="F1075"/>
    <hyperlink r:id="rId614" ref="D1076"/>
    <hyperlink r:id="rId615" ref="F1076"/>
    <hyperlink r:id="rId616" ref="D1077"/>
    <hyperlink r:id="rId617" ref="F1077"/>
    <hyperlink r:id="rId618" ref="D1078"/>
    <hyperlink r:id="rId619" ref="F1078"/>
    <hyperlink r:id="rId620" ref="D1079"/>
    <hyperlink r:id="rId621" ref="F1079"/>
    <hyperlink r:id="rId622" ref="D1080"/>
    <hyperlink r:id="rId623" ref="F1080"/>
    <hyperlink r:id="rId624" ref="D1081"/>
    <hyperlink r:id="rId625" ref="F1081"/>
    <hyperlink r:id="rId626" ref="D1082"/>
    <hyperlink r:id="rId627" ref="F1082"/>
    <hyperlink r:id="rId628" ref="D1083"/>
    <hyperlink r:id="rId629" ref="F1083"/>
    <hyperlink r:id="rId630" ref="D1084"/>
    <hyperlink r:id="rId631" ref="F1084"/>
    <hyperlink r:id="rId632" ref="D1085"/>
    <hyperlink r:id="rId633" ref="F1085"/>
    <hyperlink r:id="rId634" ref="D1086"/>
    <hyperlink r:id="rId635" ref="F1086"/>
    <hyperlink r:id="rId636" ref="D1087"/>
    <hyperlink r:id="rId637" ref="F1087"/>
    <hyperlink r:id="rId638" ref="D1088"/>
    <hyperlink r:id="rId639" ref="F1088"/>
    <hyperlink r:id="rId640" ref="D1089"/>
    <hyperlink r:id="rId641" ref="F1089"/>
    <hyperlink r:id="rId642" ref="D1090"/>
    <hyperlink r:id="rId643" ref="F1090"/>
    <hyperlink r:id="rId644" ref="D1091"/>
    <hyperlink r:id="rId645" ref="F1091"/>
    <hyperlink r:id="rId646" ref="D1092"/>
    <hyperlink r:id="rId647" ref="F1092"/>
    <hyperlink r:id="rId648" ref="D1093"/>
    <hyperlink r:id="rId649" ref="F1093"/>
    <hyperlink r:id="rId650" ref="D1094"/>
    <hyperlink r:id="rId651" ref="F1094"/>
    <hyperlink r:id="rId652" ref="D1095"/>
    <hyperlink r:id="rId653" ref="F1095"/>
    <hyperlink r:id="rId654" ref="D1096"/>
    <hyperlink r:id="rId655" ref="F1096"/>
    <hyperlink r:id="rId656" ref="D1097"/>
    <hyperlink r:id="rId657" ref="F1097"/>
    <hyperlink r:id="rId658" ref="D1098"/>
    <hyperlink r:id="rId659" ref="F1098"/>
    <hyperlink r:id="rId660" ref="D1099"/>
    <hyperlink r:id="rId661" ref="F1099"/>
    <hyperlink r:id="rId662" ref="D1100"/>
    <hyperlink r:id="rId663" ref="F1100"/>
    <hyperlink r:id="rId664" ref="D1101"/>
    <hyperlink r:id="rId665" ref="F1101"/>
    <hyperlink r:id="rId666" ref="D1102"/>
    <hyperlink r:id="rId667" ref="F1102"/>
    <hyperlink r:id="rId668" ref="D1103"/>
    <hyperlink r:id="rId669" ref="F1103"/>
    <hyperlink r:id="rId670" ref="D1104"/>
    <hyperlink r:id="rId671" ref="F1104"/>
    <hyperlink r:id="rId672" ref="D1105"/>
    <hyperlink r:id="rId673" ref="F1105"/>
    <hyperlink r:id="rId674" ref="D1106"/>
    <hyperlink r:id="rId675" ref="F1106"/>
    <hyperlink r:id="rId676" ref="D1108"/>
    <hyperlink r:id="rId677" ref="F1108"/>
    <hyperlink r:id="rId678" ref="D1109"/>
    <hyperlink r:id="rId679" ref="F1109"/>
    <hyperlink r:id="rId680" ref="D1110"/>
    <hyperlink r:id="rId681" ref="F1110"/>
    <hyperlink r:id="rId682" ref="D1111"/>
    <hyperlink r:id="rId683" ref="F1111"/>
    <hyperlink r:id="rId684" ref="D1112"/>
    <hyperlink r:id="rId685" ref="F1112"/>
    <hyperlink r:id="rId686" ref="D1113"/>
    <hyperlink r:id="rId687" ref="F1113"/>
    <hyperlink r:id="rId688" ref="D1114"/>
    <hyperlink r:id="rId689" ref="F1114"/>
    <hyperlink r:id="rId690" ref="D1115"/>
    <hyperlink r:id="rId691" ref="F1115"/>
    <hyperlink r:id="rId692" ref="D1116"/>
    <hyperlink r:id="rId693" ref="F1116"/>
    <hyperlink r:id="rId694" ref="D1117"/>
    <hyperlink r:id="rId695" ref="F1117"/>
    <hyperlink r:id="rId696" ref="D1118"/>
    <hyperlink r:id="rId697" ref="F1118"/>
    <hyperlink r:id="rId698" ref="D1119"/>
    <hyperlink r:id="rId699" ref="F1119"/>
    <hyperlink r:id="rId700" ref="D1120"/>
    <hyperlink r:id="rId701" ref="F1120"/>
    <hyperlink r:id="rId702" ref="D1121"/>
    <hyperlink r:id="rId703" ref="F1121"/>
    <hyperlink r:id="rId704" ref="D1122"/>
    <hyperlink r:id="rId705" ref="F1122"/>
    <hyperlink r:id="rId706" ref="D1123"/>
    <hyperlink r:id="rId707" ref="F1123"/>
    <hyperlink r:id="rId708" ref="D1124"/>
    <hyperlink r:id="rId709" ref="F1124"/>
    <hyperlink r:id="rId710" ref="D1125"/>
    <hyperlink r:id="rId711" ref="F1125"/>
    <hyperlink r:id="rId712" ref="D1126"/>
    <hyperlink r:id="rId713" ref="F1126"/>
    <hyperlink r:id="rId714" ref="D1127"/>
    <hyperlink r:id="rId715" ref="F1127"/>
    <hyperlink r:id="rId716" ref="D1128"/>
    <hyperlink r:id="rId717" ref="F1128"/>
    <hyperlink r:id="rId718" ref="D1129"/>
    <hyperlink r:id="rId719" ref="F1129"/>
    <hyperlink r:id="rId720" ref="D1130"/>
    <hyperlink r:id="rId721" ref="F1130"/>
    <hyperlink r:id="rId722" ref="D1131"/>
    <hyperlink r:id="rId723" ref="F1131"/>
    <hyperlink r:id="rId724" ref="D1132"/>
    <hyperlink r:id="rId725" ref="F1132"/>
    <hyperlink r:id="rId726" ref="D1133"/>
    <hyperlink r:id="rId727" ref="F1133"/>
    <hyperlink r:id="rId728" ref="D1134"/>
    <hyperlink r:id="rId729" ref="F1134"/>
    <hyperlink r:id="rId730" ref="D1135"/>
    <hyperlink r:id="rId731" ref="F1135"/>
    <hyperlink r:id="rId732" ref="D1136"/>
    <hyperlink r:id="rId733" ref="F1136"/>
    <hyperlink r:id="rId734" ref="D1137"/>
    <hyperlink r:id="rId735" ref="F1137"/>
    <hyperlink r:id="rId736" ref="D1138"/>
    <hyperlink r:id="rId737" ref="F1138"/>
    <hyperlink r:id="rId738" ref="D1139"/>
    <hyperlink r:id="rId739" ref="F1139"/>
    <hyperlink r:id="rId740" ref="D1140"/>
    <hyperlink r:id="rId741" ref="F1140"/>
    <hyperlink r:id="rId742" ref="D1141"/>
    <hyperlink r:id="rId743" ref="F1141"/>
    <hyperlink r:id="rId744" ref="D1142"/>
    <hyperlink r:id="rId745" ref="F1142"/>
    <hyperlink r:id="rId746" ref="D1143"/>
    <hyperlink r:id="rId747" ref="F1143"/>
    <hyperlink r:id="rId748" ref="D1144"/>
    <hyperlink r:id="rId749" ref="F1144"/>
    <hyperlink r:id="rId750" ref="D1145"/>
    <hyperlink r:id="rId751" ref="F1145"/>
    <hyperlink r:id="rId752" ref="D1146"/>
    <hyperlink r:id="rId753" ref="F1146"/>
    <hyperlink r:id="rId754" ref="D1147"/>
    <hyperlink r:id="rId755" ref="F1147"/>
    <hyperlink r:id="rId756" ref="D1148"/>
    <hyperlink r:id="rId757" ref="F1148"/>
    <hyperlink r:id="rId758" ref="D1149"/>
    <hyperlink r:id="rId759" ref="F1149"/>
    <hyperlink r:id="rId760" ref="D1150"/>
    <hyperlink r:id="rId761" ref="F1150"/>
    <hyperlink r:id="rId762" ref="D1151"/>
    <hyperlink r:id="rId763" ref="F1151"/>
    <hyperlink r:id="rId764" ref="D1152"/>
    <hyperlink r:id="rId765" ref="F1152"/>
    <hyperlink r:id="rId766" ref="D1154"/>
    <hyperlink r:id="rId767" ref="F1154"/>
    <hyperlink r:id="rId768" ref="D1155"/>
    <hyperlink r:id="rId769" ref="F1155"/>
    <hyperlink r:id="rId770" ref="D1156"/>
    <hyperlink r:id="rId771" ref="F1156"/>
    <hyperlink r:id="rId772" ref="D1157"/>
    <hyperlink r:id="rId773" ref="F1157"/>
    <hyperlink r:id="rId774" ref="D1158"/>
    <hyperlink r:id="rId775" ref="F1158"/>
    <hyperlink r:id="rId776" ref="D1159"/>
    <hyperlink r:id="rId777" ref="F1159"/>
    <hyperlink r:id="rId778" ref="D1160"/>
    <hyperlink r:id="rId779" ref="F1160"/>
    <hyperlink r:id="rId780" ref="D1161"/>
    <hyperlink r:id="rId781" ref="F1161"/>
    <hyperlink r:id="rId782" ref="D1162"/>
    <hyperlink r:id="rId783" ref="F1162"/>
    <hyperlink r:id="rId784" ref="D1163"/>
    <hyperlink r:id="rId785" ref="F1163"/>
    <hyperlink r:id="rId786" ref="D1164"/>
    <hyperlink r:id="rId787" ref="F1164"/>
    <hyperlink r:id="rId788" ref="D1165"/>
    <hyperlink r:id="rId789" ref="F1165"/>
    <hyperlink r:id="rId790" ref="D1166"/>
    <hyperlink r:id="rId791" ref="F1166"/>
    <hyperlink r:id="rId792" ref="D1167"/>
    <hyperlink r:id="rId793" ref="F1167"/>
    <hyperlink r:id="rId794" ref="D1168"/>
    <hyperlink r:id="rId795" ref="F1168"/>
    <hyperlink r:id="rId796" ref="D1169"/>
    <hyperlink r:id="rId797" ref="F1169"/>
    <hyperlink r:id="rId798" ref="D1170"/>
    <hyperlink r:id="rId799" ref="F1170"/>
    <hyperlink r:id="rId800" ref="D1171"/>
    <hyperlink r:id="rId801" ref="F1171"/>
    <hyperlink r:id="rId802" ref="D1172"/>
    <hyperlink r:id="rId803" ref="F1172"/>
    <hyperlink r:id="rId804" ref="D1173"/>
    <hyperlink r:id="rId805" ref="F1173"/>
    <hyperlink r:id="rId806" ref="D1174"/>
    <hyperlink r:id="rId807" ref="F1174"/>
    <hyperlink r:id="rId808" ref="D1175"/>
    <hyperlink r:id="rId809" ref="F1175"/>
    <hyperlink r:id="rId810" ref="D1176"/>
    <hyperlink r:id="rId811" ref="F1176"/>
    <hyperlink r:id="rId812" ref="D1177"/>
    <hyperlink r:id="rId813" ref="F1177"/>
    <hyperlink r:id="rId814" ref="D1178"/>
    <hyperlink r:id="rId815" ref="F1178"/>
    <hyperlink r:id="rId816" ref="D1179"/>
    <hyperlink r:id="rId817" ref="F1179"/>
    <hyperlink r:id="rId818" ref="D1180"/>
    <hyperlink r:id="rId819" ref="F1180"/>
    <hyperlink r:id="rId820" ref="D1181"/>
    <hyperlink r:id="rId821" ref="F1181"/>
    <hyperlink r:id="rId822" ref="D1182"/>
    <hyperlink r:id="rId823" ref="F1182"/>
    <hyperlink r:id="rId824" ref="D1183"/>
    <hyperlink r:id="rId825" ref="F1183"/>
    <hyperlink r:id="rId826" ref="D1184"/>
    <hyperlink r:id="rId827" ref="F1184"/>
    <hyperlink r:id="rId828" ref="D1185"/>
    <hyperlink r:id="rId829" ref="F1185"/>
    <hyperlink r:id="rId830" ref="D1186"/>
    <hyperlink r:id="rId831" ref="F1186"/>
    <hyperlink r:id="rId832" ref="D1187"/>
    <hyperlink r:id="rId833" ref="F1187"/>
    <hyperlink r:id="rId834" ref="D1188"/>
    <hyperlink r:id="rId835" ref="F1188"/>
    <hyperlink r:id="rId836" ref="D1189"/>
    <hyperlink r:id="rId837" ref="F1189"/>
    <hyperlink r:id="rId838" ref="D1190"/>
    <hyperlink r:id="rId839" ref="F1190"/>
    <hyperlink r:id="rId840" ref="D1191"/>
    <hyperlink r:id="rId841" ref="F1191"/>
    <hyperlink r:id="rId842" ref="D1192"/>
    <hyperlink r:id="rId843" ref="F1192"/>
    <hyperlink r:id="rId844" ref="D1193"/>
    <hyperlink r:id="rId845" ref="F1193"/>
    <hyperlink r:id="rId846" ref="D1194"/>
    <hyperlink r:id="rId847" ref="F1194"/>
    <hyperlink r:id="rId848" ref="D1195"/>
    <hyperlink r:id="rId849" ref="F1195"/>
    <hyperlink r:id="rId850" ref="D1196"/>
    <hyperlink r:id="rId851" ref="F1196"/>
    <hyperlink r:id="rId852" ref="D1197"/>
    <hyperlink r:id="rId853" ref="F1197"/>
    <hyperlink r:id="rId854" ref="D1198"/>
    <hyperlink r:id="rId855" ref="F1198"/>
    <hyperlink r:id="rId856" ref="D1199"/>
    <hyperlink r:id="rId857" ref="F1199"/>
    <hyperlink r:id="rId858" ref="D1200"/>
    <hyperlink r:id="rId859" ref="F1200"/>
    <hyperlink r:id="rId860" ref="D1201"/>
    <hyperlink r:id="rId861" ref="F1201"/>
    <hyperlink r:id="rId862" ref="D1202"/>
    <hyperlink r:id="rId863" ref="F1202"/>
    <hyperlink r:id="rId864" ref="D1203"/>
    <hyperlink r:id="rId865" ref="F1203"/>
    <hyperlink r:id="rId866" ref="D1204"/>
    <hyperlink r:id="rId867" ref="F1204"/>
    <hyperlink r:id="rId868" ref="D1205"/>
    <hyperlink r:id="rId869" ref="F1205"/>
    <hyperlink r:id="rId870" ref="D1206"/>
    <hyperlink r:id="rId871" ref="F1206"/>
    <hyperlink r:id="rId872" ref="D1207"/>
    <hyperlink r:id="rId873" ref="F1207"/>
    <hyperlink r:id="rId874" ref="D1208"/>
    <hyperlink r:id="rId875" ref="F1208"/>
    <hyperlink r:id="rId876" ref="D1209"/>
    <hyperlink r:id="rId877" ref="F1209"/>
    <hyperlink r:id="rId878" ref="D1210"/>
    <hyperlink r:id="rId879" ref="F1210"/>
    <hyperlink r:id="rId880" ref="D1211"/>
    <hyperlink r:id="rId881" ref="F1211"/>
    <hyperlink r:id="rId882" ref="D1212"/>
    <hyperlink r:id="rId883" ref="F1212"/>
    <hyperlink r:id="rId884" ref="D1213"/>
    <hyperlink r:id="rId885" ref="F1213"/>
    <hyperlink r:id="rId886" ref="D1214"/>
    <hyperlink r:id="rId887" ref="F1214"/>
    <hyperlink r:id="rId888" ref="D1215"/>
    <hyperlink r:id="rId889" ref="F1215"/>
    <hyperlink r:id="rId890" ref="D1216"/>
    <hyperlink r:id="rId891" ref="F1216"/>
    <hyperlink r:id="rId892" ref="D1217"/>
    <hyperlink r:id="rId893" ref="F1217"/>
    <hyperlink r:id="rId894" ref="D1218"/>
    <hyperlink r:id="rId895" ref="F1218"/>
    <hyperlink r:id="rId896" ref="D1219"/>
    <hyperlink r:id="rId897" ref="F1219"/>
    <hyperlink r:id="rId898" ref="B1371"/>
  </hyperlinks>
  <drawing r:id="rId89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5.88"/>
    <col customWidth="1" min="2" max="2" width="21.25"/>
    <col customWidth="1" min="3" max="3" width="52.13"/>
    <col customWidth="1" min="4" max="4" width="54.38"/>
    <col customWidth="1" hidden="1" min="5" max="5" width="54.38"/>
    <col customWidth="1" min="6" max="7" width="54.38"/>
    <col customWidth="1" min="8" max="8" width="55.38"/>
  </cols>
  <sheetData>
    <row r="1">
      <c r="A1" s="507" t="s">
        <v>1859</v>
      </c>
      <c r="B1" s="508" t="s">
        <v>1860</v>
      </c>
      <c r="C1" s="508" t="s">
        <v>1861</v>
      </c>
      <c r="D1" s="507" t="s">
        <v>51</v>
      </c>
      <c r="E1" s="507" t="s">
        <v>1860</v>
      </c>
      <c r="F1" s="509" t="s">
        <v>1862</v>
      </c>
      <c r="G1" s="507" t="s">
        <v>1863</v>
      </c>
      <c r="H1" s="507" t="s">
        <v>1864</v>
      </c>
      <c r="I1" s="344"/>
      <c r="J1" s="344"/>
      <c r="K1" s="344"/>
      <c r="L1" s="344"/>
      <c r="M1" s="344"/>
      <c r="N1" s="344"/>
      <c r="O1" s="344"/>
      <c r="P1" s="344"/>
      <c r="Q1" s="344"/>
      <c r="R1" s="344"/>
      <c r="S1" s="344"/>
      <c r="T1" s="344"/>
      <c r="U1" s="344"/>
      <c r="V1" s="344"/>
      <c r="W1" s="344"/>
      <c r="X1" s="344"/>
      <c r="Y1" s="344"/>
      <c r="Z1" s="344"/>
      <c r="AA1" s="344"/>
      <c r="AB1" s="344"/>
      <c r="AC1" s="344"/>
      <c r="AD1" s="344"/>
    </row>
    <row r="2">
      <c r="A2" s="510" t="str">
        <f>'Tabel Suplemen A1'!B3</f>
        <v>Menginternalisasi ketakwaan kepada Tuhan Yang Maha Esa, menaati hukum, disiplin, dan menunjukkan profesionalisme melalui etika profesi, pembelajaran sepanjang hayat, serta respons terhadap isu sosial dan teknologi.</v>
      </c>
      <c r="B2" s="511" t="s">
        <v>1865</v>
      </c>
      <c r="C2" s="511" t="s">
        <v>1866</v>
      </c>
      <c r="D2" s="512" t="s">
        <v>77</v>
      </c>
      <c r="E2" s="512" t="s">
        <v>1867</v>
      </c>
      <c r="F2" s="513" t="s">
        <v>1868</v>
      </c>
      <c r="G2" s="512" t="s">
        <v>1869</v>
      </c>
      <c r="H2" s="514" t="s">
        <v>1870</v>
      </c>
      <c r="I2" s="515" t="s">
        <v>1871</v>
      </c>
      <c r="J2" s="344"/>
      <c r="K2" s="344"/>
      <c r="L2" s="344"/>
      <c r="M2" s="344"/>
      <c r="N2" s="344"/>
      <c r="O2" s="344"/>
      <c r="P2" s="344"/>
      <c r="Q2" s="344"/>
      <c r="R2" s="344"/>
      <c r="S2" s="344"/>
      <c r="T2" s="344"/>
      <c r="U2" s="344"/>
      <c r="V2" s="344"/>
      <c r="W2" s="344"/>
      <c r="X2" s="344"/>
      <c r="Y2" s="344"/>
      <c r="Z2" s="344"/>
      <c r="AA2" s="344"/>
      <c r="AB2" s="344"/>
      <c r="AC2" s="344"/>
      <c r="AD2" s="344"/>
    </row>
    <row r="3">
      <c r="A3" s="510"/>
      <c r="B3" s="511"/>
      <c r="C3" s="511"/>
      <c r="D3" s="512"/>
      <c r="E3" s="512" t="s">
        <v>1872</v>
      </c>
      <c r="F3" s="513" t="s">
        <v>1873</v>
      </c>
      <c r="G3" s="512" t="s">
        <v>1874</v>
      </c>
      <c r="H3" s="514" t="s">
        <v>1870</v>
      </c>
      <c r="I3" s="516"/>
      <c r="J3" s="344"/>
      <c r="K3" s="344"/>
      <c r="L3" s="344"/>
      <c r="M3" s="344"/>
      <c r="N3" s="344"/>
      <c r="O3" s="344"/>
      <c r="P3" s="344"/>
      <c r="Q3" s="344"/>
      <c r="R3" s="344"/>
      <c r="S3" s="344"/>
      <c r="T3" s="344"/>
      <c r="U3" s="344"/>
      <c r="V3" s="344"/>
      <c r="W3" s="344"/>
      <c r="X3" s="344"/>
      <c r="Y3" s="344"/>
      <c r="Z3" s="344"/>
      <c r="AA3" s="344"/>
      <c r="AB3" s="344"/>
      <c r="AC3" s="344"/>
      <c r="AD3" s="344"/>
    </row>
    <row r="4">
      <c r="A4" s="510"/>
      <c r="B4" s="511"/>
      <c r="C4" s="511"/>
      <c r="D4" s="512"/>
      <c r="E4" s="512" t="s">
        <v>1875</v>
      </c>
      <c r="F4" s="513" t="s">
        <v>1876</v>
      </c>
      <c r="G4" s="512" t="s">
        <v>1877</v>
      </c>
      <c r="H4" s="514" t="s">
        <v>1870</v>
      </c>
      <c r="I4" s="516"/>
      <c r="J4" s="344"/>
      <c r="K4" s="344"/>
      <c r="L4" s="344"/>
      <c r="M4" s="344"/>
      <c r="N4" s="344"/>
      <c r="O4" s="344"/>
      <c r="P4" s="344"/>
      <c r="Q4" s="344"/>
      <c r="R4" s="344"/>
      <c r="S4" s="344"/>
      <c r="T4" s="344"/>
      <c r="U4" s="344"/>
      <c r="V4" s="344"/>
      <c r="W4" s="344"/>
      <c r="X4" s="344"/>
      <c r="Y4" s="344"/>
      <c r="Z4" s="344"/>
      <c r="AA4" s="344"/>
      <c r="AB4" s="344"/>
      <c r="AC4" s="344"/>
      <c r="AD4" s="344"/>
    </row>
    <row r="5">
      <c r="A5" s="510"/>
      <c r="B5" s="511"/>
      <c r="C5" s="511"/>
      <c r="D5" s="512" t="s">
        <v>139</v>
      </c>
      <c r="E5" s="512" t="s">
        <v>1878</v>
      </c>
      <c r="F5" s="513" t="s">
        <v>1879</v>
      </c>
      <c r="G5" s="512" t="s">
        <v>1877</v>
      </c>
      <c r="H5" s="514" t="s">
        <v>1880</v>
      </c>
      <c r="I5" s="516"/>
      <c r="J5" s="344"/>
      <c r="K5" s="344"/>
      <c r="L5" s="344"/>
      <c r="M5" s="344"/>
      <c r="N5" s="344"/>
      <c r="O5" s="344"/>
      <c r="P5" s="344"/>
      <c r="Q5" s="344"/>
      <c r="R5" s="344"/>
      <c r="S5" s="344"/>
      <c r="T5" s="344"/>
      <c r="U5" s="344"/>
      <c r="V5" s="344"/>
      <c r="W5" s="344"/>
      <c r="X5" s="344"/>
      <c r="Y5" s="344"/>
      <c r="Z5" s="344"/>
      <c r="AA5" s="344"/>
      <c r="AB5" s="344"/>
      <c r="AC5" s="344"/>
      <c r="AD5" s="344"/>
    </row>
    <row r="6">
      <c r="A6" s="510"/>
      <c r="B6" s="511"/>
      <c r="C6" s="511"/>
      <c r="D6" s="512" t="s">
        <v>229</v>
      </c>
      <c r="E6" s="512" t="s">
        <v>1881</v>
      </c>
      <c r="F6" s="513" t="s">
        <v>1882</v>
      </c>
      <c r="G6" s="512" t="s">
        <v>1883</v>
      </c>
      <c r="H6" s="514" t="s">
        <v>1884</v>
      </c>
      <c r="I6" s="516"/>
      <c r="J6" s="344"/>
      <c r="K6" s="344"/>
      <c r="L6" s="344"/>
      <c r="M6" s="344"/>
      <c r="N6" s="344"/>
      <c r="O6" s="344"/>
      <c r="P6" s="344"/>
      <c r="Q6" s="344"/>
      <c r="R6" s="344"/>
      <c r="S6" s="344"/>
      <c r="T6" s="344"/>
      <c r="U6" s="344"/>
      <c r="V6" s="344"/>
      <c r="W6" s="344"/>
      <c r="X6" s="344"/>
      <c r="Y6" s="344"/>
      <c r="Z6" s="344"/>
      <c r="AA6" s="344"/>
      <c r="AB6" s="344"/>
      <c r="AC6" s="344"/>
      <c r="AD6" s="344"/>
    </row>
    <row r="7">
      <c r="A7" s="510"/>
      <c r="B7" s="511"/>
      <c r="C7" s="511"/>
      <c r="D7" s="512" t="s">
        <v>172</v>
      </c>
      <c r="E7" s="512" t="s">
        <v>1885</v>
      </c>
      <c r="F7" s="513" t="s">
        <v>1886</v>
      </c>
      <c r="G7" s="512" t="s">
        <v>1887</v>
      </c>
      <c r="H7" s="514" t="s">
        <v>1880</v>
      </c>
      <c r="I7" s="516"/>
      <c r="J7" s="344"/>
      <c r="K7" s="344"/>
      <c r="L7" s="344"/>
      <c r="M7" s="344"/>
      <c r="N7" s="344"/>
      <c r="O7" s="344"/>
      <c r="P7" s="344"/>
      <c r="Q7" s="344"/>
      <c r="R7" s="344"/>
      <c r="S7" s="344"/>
      <c r="T7" s="344"/>
      <c r="U7" s="344"/>
      <c r="V7" s="344"/>
      <c r="W7" s="344"/>
      <c r="X7" s="344"/>
      <c r="Y7" s="344"/>
      <c r="Z7" s="344"/>
      <c r="AA7" s="344"/>
      <c r="AB7" s="344"/>
      <c r="AC7" s="344"/>
      <c r="AD7" s="344"/>
    </row>
    <row r="8">
      <c r="A8" s="510"/>
      <c r="B8" s="511"/>
      <c r="C8" s="511"/>
      <c r="D8" s="512" t="s">
        <v>199</v>
      </c>
      <c r="E8" s="512" t="s">
        <v>1888</v>
      </c>
      <c r="F8" s="513" t="s">
        <v>1889</v>
      </c>
      <c r="G8" s="512" t="s">
        <v>1890</v>
      </c>
      <c r="H8" s="514" t="s">
        <v>1891</v>
      </c>
      <c r="I8" s="516"/>
      <c r="J8" s="344"/>
      <c r="K8" s="344"/>
      <c r="L8" s="344"/>
      <c r="M8" s="344"/>
      <c r="N8" s="344"/>
      <c r="O8" s="344"/>
      <c r="P8" s="344"/>
      <c r="Q8" s="344"/>
      <c r="R8" s="344"/>
      <c r="S8" s="344"/>
      <c r="T8" s="344"/>
      <c r="U8" s="344"/>
      <c r="V8" s="344"/>
      <c r="W8" s="344"/>
      <c r="X8" s="344"/>
      <c r="Y8" s="344"/>
      <c r="Z8" s="344"/>
      <c r="AA8" s="344"/>
      <c r="AB8" s="344"/>
      <c r="AC8" s="344"/>
      <c r="AD8" s="344"/>
    </row>
    <row r="9">
      <c r="A9" s="510"/>
      <c r="B9" s="511" t="s">
        <v>1892</v>
      </c>
      <c r="C9" s="511" t="s">
        <v>1893</v>
      </c>
      <c r="D9" s="512" t="s">
        <v>139</v>
      </c>
      <c r="E9" s="512" t="s">
        <v>1894</v>
      </c>
      <c r="F9" s="513" t="s">
        <v>1895</v>
      </c>
      <c r="G9" s="512" t="s">
        <v>1896</v>
      </c>
      <c r="H9" s="517" t="s">
        <v>1897</v>
      </c>
      <c r="I9" s="344"/>
      <c r="J9" s="344"/>
      <c r="K9" s="344"/>
      <c r="L9" s="344"/>
      <c r="M9" s="344"/>
      <c r="N9" s="344"/>
      <c r="O9" s="344"/>
      <c r="P9" s="344"/>
      <c r="Q9" s="344"/>
      <c r="R9" s="344"/>
      <c r="S9" s="344"/>
      <c r="T9" s="344"/>
      <c r="U9" s="344"/>
      <c r="V9" s="344"/>
      <c r="W9" s="344"/>
      <c r="X9" s="344"/>
      <c r="Y9" s="344"/>
      <c r="Z9" s="344"/>
      <c r="AA9" s="344"/>
      <c r="AB9" s="344"/>
      <c r="AC9" s="344"/>
      <c r="AD9" s="344"/>
    </row>
    <row r="10">
      <c r="A10" s="510"/>
      <c r="B10" s="511"/>
      <c r="C10" s="511"/>
      <c r="D10" s="512" t="s">
        <v>229</v>
      </c>
      <c r="E10" s="512" t="s">
        <v>1898</v>
      </c>
      <c r="F10" s="513" t="s">
        <v>1899</v>
      </c>
      <c r="G10" s="512" t="s">
        <v>1883</v>
      </c>
      <c r="H10" s="518" t="s">
        <v>1884</v>
      </c>
      <c r="I10" s="344"/>
      <c r="J10" s="344"/>
      <c r="K10" s="344"/>
      <c r="L10" s="344"/>
      <c r="M10" s="344"/>
      <c r="N10" s="344"/>
      <c r="O10" s="344"/>
      <c r="P10" s="344"/>
      <c r="Q10" s="344"/>
      <c r="R10" s="344"/>
      <c r="S10" s="344"/>
      <c r="T10" s="344"/>
      <c r="U10" s="344"/>
      <c r="V10" s="344"/>
      <c r="W10" s="344"/>
      <c r="X10" s="344"/>
      <c r="Y10" s="344"/>
      <c r="Z10" s="344"/>
      <c r="AA10" s="344"/>
      <c r="AB10" s="344"/>
      <c r="AC10" s="344"/>
      <c r="AD10" s="344"/>
    </row>
    <row r="11">
      <c r="A11" s="510"/>
      <c r="B11" s="511"/>
      <c r="C11" s="511"/>
      <c r="D11" s="512" t="s">
        <v>61</v>
      </c>
      <c r="E11" s="512"/>
      <c r="F11" s="513" t="s">
        <v>1900</v>
      </c>
      <c r="G11" s="512" t="s">
        <v>1901</v>
      </c>
      <c r="H11" s="518" t="s">
        <v>1884</v>
      </c>
      <c r="I11" s="344"/>
      <c r="J11" s="344"/>
      <c r="K11" s="344"/>
      <c r="L11" s="344"/>
      <c r="M11" s="344"/>
      <c r="N11" s="344"/>
      <c r="O11" s="344"/>
      <c r="P11" s="344"/>
      <c r="Q11" s="344"/>
      <c r="R11" s="344"/>
      <c r="S11" s="344"/>
      <c r="T11" s="344"/>
      <c r="U11" s="344"/>
      <c r="V11" s="344"/>
      <c r="W11" s="344"/>
      <c r="X11" s="344"/>
      <c r="Y11" s="344"/>
      <c r="Z11" s="344"/>
      <c r="AA11" s="344"/>
      <c r="AB11" s="344"/>
      <c r="AC11" s="344"/>
      <c r="AD11" s="344"/>
    </row>
    <row r="12">
      <c r="A12" s="510"/>
      <c r="B12" s="511"/>
      <c r="C12" s="511"/>
      <c r="D12" s="512" t="s">
        <v>82</v>
      </c>
      <c r="E12" s="512"/>
      <c r="F12" s="513" t="s">
        <v>1902</v>
      </c>
      <c r="G12" s="512" t="s">
        <v>1903</v>
      </c>
      <c r="H12" s="518" t="s">
        <v>1884</v>
      </c>
      <c r="I12" s="344"/>
      <c r="J12" s="344"/>
      <c r="K12" s="344"/>
      <c r="L12" s="344"/>
      <c r="M12" s="344"/>
      <c r="N12" s="344"/>
      <c r="O12" s="344"/>
      <c r="P12" s="344"/>
      <c r="Q12" s="344"/>
      <c r="R12" s="344"/>
      <c r="S12" s="344"/>
      <c r="T12" s="344"/>
      <c r="U12" s="344"/>
      <c r="V12" s="344"/>
      <c r="W12" s="344"/>
      <c r="X12" s="344"/>
      <c r="Y12" s="344"/>
      <c r="Z12" s="344"/>
      <c r="AA12" s="344"/>
      <c r="AB12" s="344"/>
      <c r="AC12" s="344"/>
      <c r="AD12" s="344"/>
    </row>
    <row r="13">
      <c r="A13" s="510"/>
      <c r="B13" s="511"/>
      <c r="C13" s="511"/>
      <c r="D13" s="512"/>
      <c r="E13" s="512"/>
      <c r="F13" s="513" t="s">
        <v>1904</v>
      </c>
      <c r="G13" s="512" t="s">
        <v>1905</v>
      </c>
      <c r="H13" s="518" t="s">
        <v>1906</v>
      </c>
      <c r="I13" s="344"/>
      <c r="J13" s="344"/>
      <c r="K13" s="344"/>
      <c r="L13" s="344"/>
      <c r="M13" s="344"/>
      <c r="N13" s="344"/>
      <c r="O13" s="344"/>
      <c r="P13" s="344"/>
      <c r="Q13" s="344"/>
      <c r="R13" s="344"/>
      <c r="S13" s="344"/>
      <c r="T13" s="344"/>
      <c r="U13" s="344"/>
      <c r="V13" s="344"/>
      <c r="W13" s="344"/>
      <c r="X13" s="344"/>
      <c r="Y13" s="344"/>
      <c r="Z13" s="344"/>
      <c r="AA13" s="344"/>
      <c r="AB13" s="344"/>
      <c r="AC13" s="344"/>
      <c r="AD13" s="344"/>
    </row>
    <row r="14">
      <c r="A14" s="510"/>
      <c r="B14" s="511"/>
      <c r="C14" s="511"/>
      <c r="D14" s="512"/>
      <c r="E14" s="512"/>
      <c r="F14" s="513" t="s">
        <v>1904</v>
      </c>
      <c r="G14" s="512" t="s">
        <v>1905</v>
      </c>
      <c r="H14" s="518" t="s">
        <v>1906</v>
      </c>
      <c r="I14" s="344"/>
      <c r="J14" s="344"/>
      <c r="K14" s="344"/>
      <c r="L14" s="344"/>
      <c r="M14" s="344"/>
      <c r="N14" s="344"/>
      <c r="O14" s="344"/>
      <c r="P14" s="344"/>
      <c r="Q14" s="344"/>
      <c r="R14" s="344"/>
      <c r="S14" s="344"/>
      <c r="T14" s="344"/>
      <c r="U14" s="344"/>
      <c r="V14" s="344"/>
      <c r="W14" s="344"/>
      <c r="X14" s="344"/>
      <c r="Y14" s="344"/>
      <c r="Z14" s="344"/>
      <c r="AA14" s="344"/>
      <c r="AB14" s="344"/>
      <c r="AC14" s="344"/>
      <c r="AD14" s="344"/>
    </row>
    <row r="15">
      <c r="A15" s="510"/>
      <c r="B15" s="511"/>
      <c r="C15" s="511"/>
      <c r="D15" s="512" t="s">
        <v>105</v>
      </c>
      <c r="E15" s="512"/>
      <c r="F15" s="513" t="s">
        <v>1907</v>
      </c>
      <c r="G15" s="512" t="s">
        <v>1883</v>
      </c>
      <c r="H15" s="518" t="s">
        <v>1906</v>
      </c>
      <c r="I15" s="344"/>
      <c r="J15" s="344"/>
      <c r="K15" s="344"/>
      <c r="L15" s="344"/>
      <c r="M15" s="344"/>
      <c r="N15" s="344"/>
      <c r="O15" s="344"/>
      <c r="P15" s="344"/>
      <c r="Q15" s="344"/>
      <c r="R15" s="344"/>
      <c r="S15" s="344"/>
      <c r="T15" s="344"/>
      <c r="U15" s="344"/>
      <c r="V15" s="344"/>
      <c r="W15" s="344"/>
      <c r="X15" s="344"/>
      <c r="Y15" s="344"/>
      <c r="Z15" s="344"/>
      <c r="AA15" s="344"/>
      <c r="AB15" s="344"/>
      <c r="AC15" s="344"/>
      <c r="AD15" s="344"/>
    </row>
    <row r="16">
      <c r="A16" s="510"/>
      <c r="B16" s="511"/>
      <c r="C16" s="511"/>
      <c r="D16" s="512" t="s">
        <v>158</v>
      </c>
      <c r="E16" s="512"/>
      <c r="F16" s="513" t="s">
        <v>1908</v>
      </c>
      <c r="G16" s="512" t="s">
        <v>1909</v>
      </c>
      <c r="H16" s="518" t="s">
        <v>1910</v>
      </c>
      <c r="I16" s="344"/>
      <c r="J16" s="344"/>
      <c r="K16" s="344"/>
      <c r="L16" s="344"/>
      <c r="M16" s="344"/>
      <c r="N16" s="344"/>
      <c r="O16" s="344"/>
      <c r="P16" s="344"/>
      <c r="Q16" s="344"/>
      <c r="R16" s="344"/>
      <c r="S16" s="344"/>
      <c r="T16" s="344"/>
      <c r="U16" s="344"/>
      <c r="V16" s="344"/>
      <c r="W16" s="344"/>
      <c r="X16" s="344"/>
      <c r="Y16" s="344"/>
      <c r="Z16" s="344"/>
      <c r="AA16" s="344"/>
      <c r="AB16" s="344"/>
      <c r="AC16" s="344"/>
      <c r="AD16" s="344"/>
    </row>
    <row r="17">
      <c r="A17" s="510"/>
      <c r="B17" s="511"/>
      <c r="C17" s="511"/>
      <c r="D17" s="512" t="s">
        <v>193</v>
      </c>
      <c r="E17" s="512"/>
      <c r="F17" s="513" t="s">
        <v>1911</v>
      </c>
      <c r="G17" s="512" t="s">
        <v>1912</v>
      </c>
      <c r="H17" s="518" t="s">
        <v>1913</v>
      </c>
      <c r="I17" s="344"/>
      <c r="J17" s="344"/>
      <c r="K17" s="344"/>
      <c r="L17" s="344"/>
      <c r="M17" s="344"/>
      <c r="N17" s="344"/>
      <c r="O17" s="344"/>
      <c r="P17" s="344"/>
      <c r="Q17" s="344"/>
      <c r="R17" s="344"/>
      <c r="S17" s="344"/>
      <c r="T17" s="344"/>
      <c r="U17" s="344"/>
      <c r="V17" s="344"/>
      <c r="W17" s="344"/>
      <c r="X17" s="344"/>
      <c r="Y17" s="344"/>
      <c r="Z17" s="344"/>
      <c r="AA17" s="344"/>
      <c r="AB17" s="344"/>
      <c r="AC17" s="344"/>
      <c r="AD17" s="344"/>
    </row>
    <row r="18">
      <c r="A18" s="519" t="str">
        <f>'Tabel Suplemen A1'!B4</f>
        <v>Menguasai konsep teoritis bidang pengetahuan mengenai berbagai prinsip rekayasa sistem/perangkat lunak dalam merancang solusi aplikasi multi-platform yang relevan dengan kebutuhan stakeholder.</v>
      </c>
      <c r="B18" s="520" t="s">
        <v>1914</v>
      </c>
      <c r="C18" s="520" t="s">
        <v>1915</v>
      </c>
      <c r="D18" s="512" t="s">
        <v>199</v>
      </c>
      <c r="E18" s="512" t="s">
        <v>1916</v>
      </c>
      <c r="F18" s="513" t="s">
        <v>1917</v>
      </c>
      <c r="G18" s="512" t="s">
        <v>1912</v>
      </c>
      <c r="H18" s="514" t="s">
        <v>1891</v>
      </c>
      <c r="I18" s="344"/>
      <c r="J18" s="344"/>
      <c r="K18" s="344"/>
      <c r="L18" s="344"/>
      <c r="M18" s="344"/>
      <c r="N18" s="344"/>
      <c r="O18" s="344"/>
      <c r="P18" s="344"/>
      <c r="Q18" s="344"/>
      <c r="R18" s="344"/>
      <c r="S18" s="344"/>
      <c r="T18" s="344"/>
      <c r="U18" s="344"/>
      <c r="V18" s="344"/>
      <c r="W18" s="344"/>
      <c r="X18" s="344"/>
      <c r="Y18" s="344"/>
      <c r="Z18" s="344"/>
      <c r="AA18" s="344"/>
      <c r="AB18" s="344"/>
      <c r="AC18" s="344"/>
      <c r="AD18" s="344"/>
    </row>
    <row r="19">
      <c r="A19" s="519"/>
      <c r="B19" s="520"/>
      <c r="C19" s="520"/>
      <c r="D19" s="512" t="s">
        <v>1918</v>
      </c>
      <c r="E19" s="512"/>
      <c r="F19" s="513" t="s">
        <v>1919</v>
      </c>
      <c r="G19" s="512" t="s">
        <v>1890</v>
      </c>
      <c r="H19" s="514" t="s">
        <v>1913</v>
      </c>
      <c r="I19" s="344"/>
      <c r="J19" s="344"/>
      <c r="K19" s="344"/>
      <c r="L19" s="344"/>
      <c r="M19" s="344"/>
      <c r="N19" s="344"/>
      <c r="O19" s="344"/>
      <c r="P19" s="344"/>
      <c r="Q19" s="344"/>
      <c r="R19" s="344"/>
      <c r="S19" s="344"/>
      <c r="T19" s="344"/>
      <c r="U19" s="344"/>
      <c r="V19" s="344"/>
      <c r="W19" s="344"/>
      <c r="X19" s="344"/>
      <c r="Y19" s="344"/>
      <c r="Z19" s="344"/>
      <c r="AA19" s="344"/>
      <c r="AB19" s="344"/>
      <c r="AC19" s="344"/>
      <c r="AD19" s="344"/>
    </row>
    <row r="20">
      <c r="A20" s="519"/>
      <c r="B20" s="520"/>
      <c r="C20" s="520"/>
      <c r="D20" s="512" t="s">
        <v>163</v>
      </c>
      <c r="E20" s="512"/>
      <c r="F20" s="513" t="s">
        <v>1920</v>
      </c>
      <c r="G20" s="512" t="s">
        <v>1890</v>
      </c>
      <c r="H20" s="514" t="s">
        <v>1913</v>
      </c>
      <c r="I20" s="344"/>
      <c r="J20" s="344"/>
      <c r="K20" s="344"/>
      <c r="L20" s="344"/>
      <c r="M20" s="344"/>
      <c r="N20" s="344"/>
      <c r="O20" s="344"/>
      <c r="P20" s="344"/>
      <c r="Q20" s="344"/>
      <c r="R20" s="344"/>
      <c r="S20" s="344"/>
      <c r="T20" s="344"/>
      <c r="U20" s="344"/>
      <c r="V20" s="344"/>
      <c r="W20" s="344"/>
      <c r="X20" s="344"/>
      <c r="Y20" s="344"/>
      <c r="Z20" s="344"/>
      <c r="AA20" s="344"/>
      <c r="AB20" s="344"/>
      <c r="AC20" s="344"/>
      <c r="AD20" s="344"/>
    </row>
    <row r="21">
      <c r="A21" s="519"/>
      <c r="B21" s="520" t="s">
        <v>1921</v>
      </c>
      <c r="C21" s="520" t="s">
        <v>1922</v>
      </c>
      <c r="D21" s="512" t="s">
        <v>86</v>
      </c>
      <c r="E21" s="521"/>
      <c r="F21" s="513" t="s">
        <v>1923</v>
      </c>
      <c r="G21" s="512" t="s">
        <v>1887</v>
      </c>
      <c r="H21" s="522" t="s">
        <v>1924</v>
      </c>
      <c r="I21" s="344"/>
      <c r="J21" s="344"/>
      <c r="K21" s="344"/>
      <c r="L21" s="344"/>
      <c r="M21" s="344"/>
      <c r="N21" s="344"/>
      <c r="O21" s="344"/>
      <c r="P21" s="344"/>
      <c r="Q21" s="344"/>
      <c r="R21" s="344"/>
      <c r="S21" s="344"/>
      <c r="T21" s="344"/>
      <c r="U21" s="344"/>
      <c r="V21" s="344"/>
      <c r="W21" s="344"/>
      <c r="X21" s="344"/>
      <c r="Y21" s="344"/>
      <c r="Z21" s="344"/>
      <c r="AA21" s="344"/>
      <c r="AB21" s="344"/>
      <c r="AC21" s="344"/>
      <c r="AD21" s="344"/>
    </row>
    <row r="22">
      <c r="A22" s="519"/>
      <c r="B22" s="520"/>
      <c r="C22" s="520"/>
      <c r="D22" s="512"/>
      <c r="E22" s="521"/>
      <c r="F22" s="513" t="s">
        <v>1925</v>
      </c>
      <c r="G22" s="512" t="s">
        <v>1887</v>
      </c>
      <c r="H22" s="514" t="s">
        <v>1924</v>
      </c>
      <c r="I22" s="344"/>
      <c r="J22" s="344"/>
      <c r="K22" s="344"/>
      <c r="L22" s="344"/>
      <c r="M22" s="344"/>
      <c r="N22" s="344"/>
      <c r="O22" s="344"/>
      <c r="P22" s="344"/>
      <c r="Q22" s="344"/>
      <c r="R22" s="344"/>
      <c r="S22" s="344"/>
      <c r="T22" s="344"/>
      <c r="U22" s="344"/>
      <c r="V22" s="344"/>
      <c r="W22" s="344"/>
      <c r="X22" s="344"/>
      <c r="Y22" s="344"/>
      <c r="Z22" s="344"/>
      <c r="AA22" s="344"/>
      <c r="AB22" s="344"/>
      <c r="AC22" s="344"/>
      <c r="AD22" s="344"/>
    </row>
    <row r="23">
      <c r="A23" s="519"/>
      <c r="B23" s="523" t="s">
        <v>1926</v>
      </c>
      <c r="C23" s="523" t="s">
        <v>1927</v>
      </c>
      <c r="D23" s="524" t="s">
        <v>92</v>
      </c>
      <c r="E23" s="525"/>
      <c r="F23" s="526" t="s">
        <v>1928</v>
      </c>
      <c r="G23" s="527" t="s">
        <v>1929</v>
      </c>
      <c r="H23" s="514" t="s">
        <v>1930</v>
      </c>
      <c r="I23" s="344"/>
      <c r="J23" s="344"/>
      <c r="K23" s="344"/>
      <c r="L23" s="344"/>
      <c r="M23" s="344"/>
      <c r="N23" s="344"/>
      <c r="O23" s="344"/>
      <c r="P23" s="344"/>
      <c r="Q23" s="344"/>
      <c r="R23" s="344"/>
      <c r="S23" s="344"/>
      <c r="T23" s="344"/>
      <c r="U23" s="344"/>
      <c r="V23" s="344"/>
      <c r="W23" s="344"/>
      <c r="X23" s="344"/>
      <c r="Y23" s="344"/>
      <c r="Z23" s="344"/>
      <c r="AA23" s="344"/>
      <c r="AB23" s="344"/>
      <c r="AC23" s="344"/>
      <c r="AD23" s="344"/>
    </row>
    <row r="24">
      <c r="A24" s="519"/>
      <c r="B24" s="523"/>
      <c r="C24" s="523"/>
      <c r="D24" s="524" t="s">
        <v>94</v>
      </c>
      <c r="E24" s="525"/>
      <c r="F24" s="526" t="s">
        <v>1931</v>
      </c>
      <c r="G24" s="527" t="s">
        <v>1932</v>
      </c>
      <c r="H24" s="514" t="s">
        <v>1933</v>
      </c>
      <c r="I24" s="344"/>
      <c r="J24" s="344"/>
      <c r="K24" s="344"/>
      <c r="L24" s="344"/>
      <c r="M24" s="344"/>
      <c r="N24" s="344"/>
      <c r="O24" s="344"/>
      <c r="P24" s="344"/>
      <c r="Q24" s="344"/>
      <c r="R24" s="344"/>
      <c r="S24" s="344"/>
      <c r="T24" s="344"/>
      <c r="U24" s="344"/>
      <c r="V24" s="344"/>
      <c r="W24" s="344"/>
      <c r="X24" s="344"/>
      <c r="Y24" s="344"/>
      <c r="Z24" s="344"/>
      <c r="AA24" s="344"/>
      <c r="AB24" s="344"/>
      <c r="AC24" s="344"/>
      <c r="AD24" s="344"/>
    </row>
    <row r="25">
      <c r="A25" s="519"/>
      <c r="B25" s="523"/>
      <c r="C25" s="523"/>
      <c r="D25" s="524" t="s">
        <v>103</v>
      </c>
      <c r="E25" s="525"/>
      <c r="F25" s="526" t="s">
        <v>1934</v>
      </c>
      <c r="G25" s="527" t="s">
        <v>1887</v>
      </c>
      <c r="H25" s="514" t="s">
        <v>1880</v>
      </c>
      <c r="I25" s="344"/>
      <c r="J25" s="344"/>
      <c r="K25" s="344"/>
      <c r="L25" s="344"/>
      <c r="M25" s="344"/>
      <c r="N25" s="344"/>
      <c r="O25" s="344"/>
      <c r="P25" s="344"/>
      <c r="Q25" s="344"/>
      <c r="R25" s="344"/>
      <c r="S25" s="344"/>
      <c r="T25" s="344"/>
      <c r="U25" s="344"/>
      <c r="V25" s="344"/>
      <c r="W25" s="344"/>
      <c r="X25" s="344"/>
      <c r="Y25" s="344"/>
      <c r="Z25" s="344"/>
      <c r="AA25" s="344"/>
      <c r="AB25" s="344"/>
      <c r="AC25" s="344"/>
      <c r="AD25" s="344"/>
    </row>
    <row r="26">
      <c r="A26" s="519"/>
      <c r="B26" s="523"/>
      <c r="C26" s="523"/>
      <c r="D26" s="524" t="s">
        <v>109</v>
      </c>
      <c r="E26" s="525"/>
      <c r="F26" s="526" t="s">
        <v>1935</v>
      </c>
      <c r="G26" s="527" t="s">
        <v>1932</v>
      </c>
      <c r="H26" s="514" t="s">
        <v>1936</v>
      </c>
      <c r="I26" s="344"/>
      <c r="J26" s="344"/>
      <c r="K26" s="344"/>
      <c r="L26" s="344"/>
      <c r="M26" s="344"/>
      <c r="N26" s="344"/>
      <c r="O26" s="344"/>
      <c r="P26" s="344"/>
      <c r="Q26" s="344"/>
      <c r="R26" s="344"/>
      <c r="S26" s="344"/>
      <c r="T26" s="344"/>
      <c r="U26" s="344"/>
      <c r="V26" s="344"/>
      <c r="W26" s="344"/>
      <c r="X26" s="344"/>
      <c r="Y26" s="344"/>
      <c r="Z26" s="344"/>
      <c r="AA26" s="344"/>
      <c r="AB26" s="344"/>
      <c r="AC26" s="344"/>
      <c r="AD26" s="344"/>
    </row>
    <row r="27">
      <c r="A27" s="519"/>
      <c r="B27" s="523" t="s">
        <v>1937</v>
      </c>
      <c r="C27" s="523" t="s">
        <v>1938</v>
      </c>
      <c r="D27" s="524" t="s">
        <v>541</v>
      </c>
      <c r="E27" s="525"/>
      <c r="F27" s="526" t="s">
        <v>1939</v>
      </c>
      <c r="G27" s="527" t="s">
        <v>1887</v>
      </c>
      <c r="H27" s="514" t="s">
        <v>1880</v>
      </c>
      <c r="I27" s="344"/>
      <c r="J27" s="344"/>
      <c r="K27" s="344"/>
      <c r="L27" s="344"/>
      <c r="M27" s="344"/>
      <c r="N27" s="344"/>
      <c r="O27" s="344"/>
      <c r="P27" s="344"/>
      <c r="Q27" s="344"/>
      <c r="R27" s="344"/>
      <c r="S27" s="344"/>
      <c r="T27" s="344"/>
      <c r="U27" s="344"/>
      <c r="V27" s="344"/>
      <c r="W27" s="344"/>
      <c r="X27" s="344"/>
      <c r="Y27" s="344"/>
      <c r="Z27" s="344"/>
      <c r="AA27" s="344"/>
      <c r="AB27" s="344"/>
      <c r="AC27" s="344"/>
      <c r="AD27" s="344"/>
    </row>
    <row r="28">
      <c r="A28" s="519"/>
      <c r="B28" s="523" t="s">
        <v>1940</v>
      </c>
      <c r="C28" s="523" t="s">
        <v>1941</v>
      </c>
      <c r="D28" s="524" t="s">
        <v>1918</v>
      </c>
      <c r="E28" s="525"/>
      <c r="F28" s="526" t="s">
        <v>1942</v>
      </c>
      <c r="G28" s="527" t="s">
        <v>1912</v>
      </c>
      <c r="H28" s="514" t="s">
        <v>1913</v>
      </c>
      <c r="I28" s="344"/>
      <c r="J28" s="344"/>
      <c r="K28" s="344"/>
      <c r="L28" s="344"/>
      <c r="M28" s="344"/>
      <c r="N28" s="344"/>
      <c r="O28" s="344"/>
      <c r="P28" s="344"/>
      <c r="Q28" s="344"/>
      <c r="R28" s="344"/>
      <c r="S28" s="344"/>
      <c r="T28" s="344"/>
      <c r="U28" s="344"/>
      <c r="V28" s="344"/>
      <c r="W28" s="344"/>
      <c r="X28" s="344"/>
      <c r="Y28" s="344"/>
      <c r="Z28" s="344"/>
      <c r="AA28" s="344"/>
      <c r="AB28" s="344"/>
      <c r="AC28" s="344"/>
      <c r="AD28" s="344"/>
    </row>
    <row r="29">
      <c r="A29" s="519"/>
      <c r="B29" s="523"/>
      <c r="C29" s="523"/>
      <c r="D29" s="524" t="s">
        <v>90</v>
      </c>
      <c r="E29" s="525"/>
      <c r="F29" s="526" t="s">
        <v>1943</v>
      </c>
      <c r="G29" s="527" t="s">
        <v>1887</v>
      </c>
      <c r="H29" s="514" t="s">
        <v>1944</v>
      </c>
      <c r="I29" s="344"/>
      <c r="J29" s="344"/>
      <c r="K29" s="344"/>
      <c r="L29" s="344"/>
      <c r="M29" s="344"/>
      <c r="N29" s="344"/>
      <c r="O29" s="344"/>
      <c r="P29" s="344"/>
      <c r="Q29" s="344"/>
      <c r="R29" s="344"/>
      <c r="S29" s="344"/>
      <c r="T29" s="344"/>
      <c r="U29" s="344"/>
      <c r="V29" s="344"/>
      <c r="W29" s="344"/>
      <c r="X29" s="344"/>
      <c r="Y29" s="344"/>
      <c r="Z29" s="344"/>
      <c r="AA29" s="344"/>
      <c r="AB29" s="344"/>
      <c r="AC29" s="344"/>
      <c r="AD29" s="344"/>
    </row>
    <row r="30">
      <c r="A30" s="519"/>
      <c r="B30" s="523"/>
      <c r="C30" s="523"/>
      <c r="D30" s="524" t="s">
        <v>163</v>
      </c>
      <c r="E30" s="525"/>
      <c r="F30" s="526" t="s">
        <v>1945</v>
      </c>
      <c r="G30" s="527" t="s">
        <v>1912</v>
      </c>
      <c r="H30" s="514" t="s">
        <v>1913</v>
      </c>
      <c r="I30" s="344"/>
      <c r="J30" s="344"/>
      <c r="K30" s="344"/>
      <c r="L30" s="344"/>
      <c r="M30" s="344"/>
      <c r="N30" s="344"/>
      <c r="O30" s="344"/>
      <c r="P30" s="344"/>
      <c r="Q30" s="344"/>
      <c r="R30" s="344"/>
      <c r="S30" s="344"/>
      <c r="T30" s="344"/>
      <c r="U30" s="344"/>
      <c r="V30" s="344"/>
      <c r="W30" s="344"/>
      <c r="X30" s="344"/>
      <c r="Y30" s="344"/>
      <c r="Z30" s="344"/>
      <c r="AA30" s="344"/>
      <c r="AB30" s="344"/>
      <c r="AC30" s="344"/>
      <c r="AD30" s="344"/>
    </row>
    <row r="31">
      <c r="A31" s="519"/>
      <c r="B31" s="523" t="s">
        <v>1946</v>
      </c>
      <c r="C31" s="523" t="s">
        <v>1947</v>
      </c>
      <c r="D31" s="524" t="s">
        <v>541</v>
      </c>
      <c r="E31" s="525"/>
      <c r="F31" s="526" t="s">
        <v>1948</v>
      </c>
      <c r="G31" s="527" t="s">
        <v>1887</v>
      </c>
      <c r="H31" s="514" t="s">
        <v>1949</v>
      </c>
      <c r="I31" s="344"/>
      <c r="J31" s="344"/>
      <c r="K31" s="344"/>
      <c r="L31" s="344"/>
      <c r="M31" s="344"/>
      <c r="N31" s="344"/>
      <c r="O31" s="344"/>
      <c r="P31" s="344"/>
      <c r="Q31" s="344"/>
      <c r="R31" s="344"/>
      <c r="S31" s="344"/>
      <c r="T31" s="344"/>
      <c r="U31" s="344"/>
      <c r="V31" s="344"/>
      <c r="W31" s="344"/>
      <c r="X31" s="344"/>
      <c r="Y31" s="344"/>
      <c r="Z31" s="344"/>
      <c r="AA31" s="344"/>
      <c r="AB31" s="344"/>
      <c r="AC31" s="344"/>
      <c r="AD31" s="344"/>
    </row>
    <row r="32">
      <c r="A32" s="519"/>
      <c r="B32" s="523"/>
      <c r="C32" s="523"/>
      <c r="D32" s="524" t="s">
        <v>88</v>
      </c>
      <c r="E32" s="525"/>
      <c r="F32" s="526" t="s">
        <v>1950</v>
      </c>
      <c r="G32" s="527" t="s">
        <v>1951</v>
      </c>
      <c r="H32" s="514" t="s">
        <v>1952</v>
      </c>
      <c r="I32" s="344"/>
      <c r="J32" s="344"/>
      <c r="K32" s="344"/>
      <c r="L32" s="344"/>
      <c r="M32" s="344"/>
      <c r="N32" s="344"/>
      <c r="O32" s="344"/>
      <c r="P32" s="344"/>
      <c r="Q32" s="344"/>
      <c r="R32" s="344"/>
      <c r="S32" s="344"/>
      <c r="T32" s="344"/>
      <c r="U32" s="344"/>
      <c r="V32" s="344"/>
      <c r="W32" s="344"/>
      <c r="X32" s="344"/>
      <c r="Y32" s="344"/>
      <c r="Z32" s="344"/>
      <c r="AA32" s="344"/>
      <c r="AB32" s="344"/>
      <c r="AC32" s="344"/>
      <c r="AD32" s="344"/>
    </row>
    <row r="33">
      <c r="A33" s="519"/>
      <c r="B33" s="523" t="s">
        <v>1953</v>
      </c>
      <c r="C33" s="523" t="s">
        <v>1954</v>
      </c>
      <c r="D33" s="524" t="s">
        <v>1955</v>
      </c>
      <c r="E33" s="525"/>
      <c r="F33" s="526" t="s">
        <v>1956</v>
      </c>
      <c r="G33" s="527" t="s">
        <v>1957</v>
      </c>
      <c r="H33" s="514" t="s">
        <v>1958</v>
      </c>
      <c r="I33" s="344"/>
      <c r="J33" s="344"/>
      <c r="K33" s="344"/>
      <c r="L33" s="344"/>
      <c r="M33" s="344"/>
      <c r="N33" s="344"/>
      <c r="O33" s="344"/>
      <c r="P33" s="344"/>
      <c r="Q33" s="344"/>
      <c r="R33" s="344"/>
      <c r="S33" s="344"/>
      <c r="T33" s="344"/>
      <c r="U33" s="344"/>
      <c r="V33" s="344"/>
      <c r="W33" s="344"/>
      <c r="X33" s="344"/>
      <c r="Y33" s="344"/>
      <c r="Z33" s="344"/>
      <c r="AA33" s="344"/>
      <c r="AB33" s="344"/>
      <c r="AC33" s="344"/>
      <c r="AD33" s="344"/>
    </row>
    <row r="34">
      <c r="A34" s="519"/>
      <c r="B34" s="523" t="s">
        <v>1959</v>
      </c>
      <c r="C34" s="523" t="s">
        <v>1960</v>
      </c>
      <c r="D34" s="524" t="s">
        <v>65</v>
      </c>
      <c r="E34" s="525"/>
      <c r="F34" s="526" t="s">
        <v>1961</v>
      </c>
      <c r="G34" s="527" t="s">
        <v>1887</v>
      </c>
      <c r="H34" s="514" t="s">
        <v>1949</v>
      </c>
      <c r="I34" s="344"/>
      <c r="J34" s="344"/>
      <c r="K34" s="344"/>
      <c r="L34" s="344"/>
      <c r="M34" s="344"/>
      <c r="N34" s="344"/>
      <c r="O34" s="344"/>
      <c r="P34" s="344"/>
      <c r="Q34" s="344"/>
      <c r="R34" s="344"/>
      <c r="S34" s="344"/>
      <c r="T34" s="344"/>
      <c r="U34" s="344"/>
      <c r="V34" s="344"/>
      <c r="W34" s="344"/>
      <c r="X34" s="344"/>
      <c r="Y34" s="344"/>
      <c r="Z34" s="344"/>
      <c r="AA34" s="344"/>
      <c r="AB34" s="344"/>
      <c r="AC34" s="344"/>
      <c r="AD34" s="344"/>
    </row>
    <row r="35">
      <c r="A35" s="519"/>
      <c r="B35" s="523"/>
      <c r="C35" s="523"/>
      <c r="D35" s="524" t="s">
        <v>1962</v>
      </c>
      <c r="E35" s="525"/>
      <c r="F35" s="526" t="s">
        <v>1963</v>
      </c>
      <c r="G35" s="527" t="s">
        <v>1887</v>
      </c>
      <c r="H35" s="514" t="s">
        <v>1964</v>
      </c>
      <c r="I35" s="344"/>
      <c r="J35" s="344"/>
      <c r="K35" s="344"/>
      <c r="L35" s="344"/>
      <c r="M35" s="344"/>
      <c r="N35" s="344"/>
      <c r="O35" s="344"/>
      <c r="P35" s="344"/>
      <c r="Q35" s="344"/>
      <c r="R35" s="344"/>
      <c r="S35" s="344"/>
      <c r="T35" s="344"/>
      <c r="U35" s="344"/>
      <c r="V35" s="344"/>
      <c r="W35" s="344"/>
      <c r="X35" s="344"/>
      <c r="Y35" s="344"/>
      <c r="Z35" s="344"/>
      <c r="AA35" s="344"/>
      <c r="AB35" s="344"/>
      <c r="AC35" s="344"/>
      <c r="AD35" s="344"/>
    </row>
    <row r="36">
      <c r="A36" s="519"/>
      <c r="B36" s="523"/>
      <c r="C36" s="523"/>
      <c r="D36" s="524"/>
      <c r="E36" s="525"/>
      <c r="F36" s="526" t="s">
        <v>1965</v>
      </c>
      <c r="G36" s="527" t="s">
        <v>1887</v>
      </c>
      <c r="H36" s="514" t="s">
        <v>1964</v>
      </c>
      <c r="I36" s="344"/>
      <c r="J36" s="344"/>
      <c r="K36" s="344"/>
      <c r="L36" s="344"/>
      <c r="M36" s="344"/>
      <c r="N36" s="344"/>
      <c r="O36" s="344"/>
      <c r="P36" s="344"/>
      <c r="Q36" s="344"/>
      <c r="R36" s="344"/>
      <c r="S36" s="344"/>
      <c r="T36" s="344"/>
      <c r="U36" s="344"/>
      <c r="V36" s="344"/>
      <c r="W36" s="344"/>
      <c r="X36" s="344"/>
      <c r="Y36" s="344"/>
      <c r="Z36" s="344"/>
      <c r="AA36" s="344"/>
      <c r="AB36" s="344"/>
      <c r="AC36" s="344"/>
      <c r="AD36" s="344"/>
    </row>
    <row r="37">
      <c r="A37" s="519"/>
      <c r="B37" s="523" t="s">
        <v>1966</v>
      </c>
      <c r="C37" s="523" t="s">
        <v>1967</v>
      </c>
      <c r="D37" s="525"/>
      <c r="E37" s="525"/>
      <c r="F37" s="528"/>
      <c r="G37" s="529"/>
      <c r="H37" s="514"/>
      <c r="I37" s="344"/>
      <c r="J37" s="344"/>
      <c r="K37" s="344"/>
      <c r="L37" s="344"/>
      <c r="M37" s="344"/>
      <c r="N37" s="344"/>
      <c r="O37" s="344"/>
      <c r="P37" s="344"/>
      <c r="Q37" s="344"/>
      <c r="R37" s="344"/>
      <c r="S37" s="344"/>
      <c r="T37" s="344"/>
      <c r="U37" s="344"/>
      <c r="V37" s="344"/>
      <c r="W37" s="344"/>
      <c r="X37" s="344"/>
      <c r="Y37" s="344"/>
      <c r="Z37" s="344"/>
      <c r="AA37" s="344"/>
      <c r="AB37" s="344"/>
      <c r="AC37" s="344"/>
      <c r="AD37" s="344"/>
    </row>
    <row r="38">
      <c r="A38" s="519"/>
      <c r="B38" s="523" t="s">
        <v>1968</v>
      </c>
      <c r="C38" s="523" t="s">
        <v>1969</v>
      </c>
      <c r="D38" s="525"/>
      <c r="E38" s="525"/>
      <c r="F38" s="528"/>
      <c r="G38" s="529"/>
      <c r="H38" s="514"/>
      <c r="I38" s="344"/>
      <c r="J38" s="344"/>
      <c r="K38" s="344"/>
      <c r="L38" s="344"/>
      <c r="M38" s="344"/>
      <c r="N38" s="344"/>
      <c r="O38" s="344"/>
      <c r="P38" s="344"/>
      <c r="Q38" s="344"/>
      <c r="R38" s="344"/>
      <c r="S38" s="344"/>
      <c r="T38" s="344"/>
      <c r="U38" s="344"/>
      <c r="V38" s="344"/>
      <c r="W38" s="344"/>
      <c r="X38" s="344"/>
      <c r="Y38" s="344"/>
      <c r="Z38" s="344"/>
      <c r="AA38" s="344"/>
      <c r="AB38" s="344"/>
      <c r="AC38" s="344"/>
      <c r="AD38" s="344"/>
    </row>
    <row r="39">
      <c r="A39" s="519"/>
      <c r="B39" s="523" t="s">
        <v>1970</v>
      </c>
      <c r="C39" s="523" t="s">
        <v>1971</v>
      </c>
      <c r="D39" s="524" t="s">
        <v>1918</v>
      </c>
      <c r="E39" s="525"/>
      <c r="F39" s="526" t="s">
        <v>1972</v>
      </c>
      <c r="G39" s="527" t="s">
        <v>1912</v>
      </c>
      <c r="H39" s="514" t="s">
        <v>1913</v>
      </c>
      <c r="I39" s="344"/>
      <c r="J39" s="344"/>
      <c r="K39" s="344"/>
      <c r="L39" s="344"/>
      <c r="M39" s="344"/>
      <c r="N39" s="344"/>
      <c r="O39" s="344"/>
      <c r="P39" s="344"/>
      <c r="Q39" s="344"/>
      <c r="R39" s="344"/>
      <c r="S39" s="344"/>
      <c r="T39" s="344"/>
      <c r="U39" s="344"/>
      <c r="V39" s="344"/>
      <c r="W39" s="344"/>
      <c r="X39" s="344"/>
      <c r="Y39" s="344"/>
      <c r="Z39" s="344"/>
      <c r="AA39" s="344"/>
      <c r="AB39" s="344"/>
      <c r="AC39" s="344"/>
      <c r="AD39" s="344"/>
    </row>
    <row r="40">
      <c r="A40" s="519"/>
      <c r="B40" s="523"/>
      <c r="C40" s="523"/>
      <c r="D40" s="524" t="s">
        <v>1973</v>
      </c>
      <c r="E40" s="525"/>
      <c r="F40" s="526" t="s">
        <v>1974</v>
      </c>
      <c r="G40" s="527" t="s">
        <v>1887</v>
      </c>
      <c r="H40" s="514" t="s">
        <v>1924</v>
      </c>
      <c r="I40" s="344"/>
      <c r="J40" s="344"/>
      <c r="K40" s="344"/>
      <c r="L40" s="344"/>
      <c r="M40" s="344"/>
      <c r="N40" s="344"/>
      <c r="O40" s="344"/>
      <c r="P40" s="344"/>
      <c r="Q40" s="344"/>
      <c r="R40" s="344"/>
      <c r="S40" s="344"/>
      <c r="T40" s="344"/>
      <c r="U40" s="344"/>
      <c r="V40" s="344"/>
      <c r="W40" s="344"/>
      <c r="X40" s="344"/>
      <c r="Y40" s="344"/>
      <c r="Z40" s="344"/>
      <c r="AA40" s="344"/>
      <c r="AB40" s="344"/>
      <c r="AC40" s="344"/>
      <c r="AD40" s="344"/>
    </row>
    <row r="41">
      <c r="A41" s="519"/>
      <c r="B41" s="523"/>
      <c r="C41" s="523"/>
      <c r="D41" s="524" t="s">
        <v>90</v>
      </c>
      <c r="E41" s="525"/>
      <c r="F41" s="526" t="s">
        <v>1975</v>
      </c>
      <c r="G41" s="527" t="s">
        <v>1976</v>
      </c>
      <c r="H41" s="514" t="s">
        <v>1977</v>
      </c>
      <c r="I41" s="344"/>
      <c r="J41" s="344"/>
      <c r="K41" s="344"/>
      <c r="L41" s="344"/>
      <c r="M41" s="344"/>
      <c r="N41" s="344"/>
      <c r="O41" s="344"/>
      <c r="P41" s="344"/>
      <c r="Q41" s="344"/>
      <c r="R41" s="344"/>
      <c r="S41" s="344"/>
      <c r="T41" s="344"/>
      <c r="U41" s="344"/>
      <c r="V41" s="344"/>
      <c r="W41" s="344"/>
      <c r="X41" s="344"/>
      <c r="Y41" s="344"/>
      <c r="Z41" s="344"/>
      <c r="AA41" s="344"/>
      <c r="AB41" s="344"/>
      <c r="AC41" s="344"/>
      <c r="AD41" s="344"/>
    </row>
    <row r="42">
      <c r="A42" s="519"/>
      <c r="B42" s="523"/>
      <c r="C42" s="523"/>
      <c r="D42" s="524" t="s">
        <v>113</v>
      </c>
      <c r="E42" s="525"/>
      <c r="F42" s="526" t="s">
        <v>1978</v>
      </c>
      <c r="G42" s="527" t="s">
        <v>1979</v>
      </c>
      <c r="H42" s="514" t="s">
        <v>1980</v>
      </c>
      <c r="I42" s="344"/>
      <c r="J42" s="344"/>
      <c r="K42" s="344"/>
      <c r="L42" s="344"/>
      <c r="M42" s="344"/>
      <c r="N42" s="344"/>
      <c r="O42" s="344"/>
      <c r="P42" s="344"/>
      <c r="Q42" s="344"/>
      <c r="R42" s="344"/>
      <c r="S42" s="344"/>
      <c r="T42" s="344"/>
      <c r="U42" s="344"/>
      <c r="V42" s="344"/>
      <c r="W42" s="344"/>
      <c r="X42" s="344"/>
      <c r="Y42" s="344"/>
      <c r="Z42" s="344"/>
      <c r="AA42" s="344"/>
      <c r="AB42" s="344"/>
      <c r="AC42" s="344"/>
      <c r="AD42" s="344"/>
    </row>
    <row r="43">
      <c r="A43" s="519"/>
      <c r="B43" s="523"/>
      <c r="C43" s="523"/>
      <c r="D43" s="524" t="s">
        <v>115</v>
      </c>
      <c r="E43" s="525"/>
      <c r="F43" s="526" t="s">
        <v>1981</v>
      </c>
      <c r="G43" s="527" t="s">
        <v>1982</v>
      </c>
      <c r="H43" s="514" t="s">
        <v>1983</v>
      </c>
      <c r="I43" s="344"/>
      <c r="J43" s="344"/>
      <c r="K43" s="344"/>
      <c r="L43" s="344"/>
      <c r="M43" s="344"/>
      <c r="N43" s="344"/>
      <c r="O43" s="344"/>
      <c r="P43" s="344"/>
      <c r="Q43" s="344"/>
      <c r="R43" s="344"/>
      <c r="S43" s="344"/>
      <c r="T43" s="344"/>
      <c r="U43" s="344"/>
      <c r="V43" s="344"/>
      <c r="W43" s="344"/>
      <c r="X43" s="344"/>
      <c r="Y43" s="344"/>
      <c r="Z43" s="344"/>
      <c r="AA43" s="344"/>
      <c r="AB43" s="344"/>
      <c r="AC43" s="344"/>
      <c r="AD43" s="344"/>
    </row>
    <row r="44">
      <c r="A44" s="519"/>
      <c r="B44" s="523"/>
      <c r="C44" s="523"/>
      <c r="D44" s="524" t="s">
        <v>163</v>
      </c>
      <c r="E44" s="525"/>
      <c r="F44" s="526" t="s">
        <v>1984</v>
      </c>
      <c r="G44" s="527" t="s">
        <v>1912</v>
      </c>
      <c r="H44" s="514" t="s">
        <v>1913</v>
      </c>
      <c r="I44" s="344"/>
      <c r="J44" s="344"/>
      <c r="K44" s="344"/>
      <c r="L44" s="344"/>
      <c r="M44" s="344"/>
      <c r="N44" s="344"/>
      <c r="O44" s="344"/>
      <c r="P44" s="344"/>
      <c r="Q44" s="344"/>
      <c r="R44" s="344"/>
      <c r="S44" s="344"/>
      <c r="T44" s="344"/>
      <c r="U44" s="344"/>
      <c r="V44" s="344"/>
      <c r="W44" s="344"/>
      <c r="X44" s="344"/>
      <c r="Y44" s="344"/>
      <c r="Z44" s="344"/>
      <c r="AA44" s="344"/>
      <c r="AB44" s="344"/>
      <c r="AC44" s="344"/>
      <c r="AD44" s="344"/>
    </row>
    <row r="45">
      <c r="A45" s="519" t="str">
        <f>'Tabel Suplemen A1'!B5</f>
        <v>Mampu mengelola tim, melakukan manajemen diri, berkomunikasi secara lisan maupun tertulis dengan baik, serta mampu melakukan presentasi.</v>
      </c>
      <c r="B45" s="523" t="s">
        <v>1985</v>
      </c>
      <c r="C45" s="523" t="s">
        <v>1986</v>
      </c>
      <c r="D45" s="524" t="s">
        <v>139</v>
      </c>
      <c r="E45" s="524" t="s">
        <v>1987</v>
      </c>
      <c r="F45" s="526" t="s">
        <v>1988</v>
      </c>
      <c r="G45" s="527" t="s">
        <v>1989</v>
      </c>
      <c r="H45" s="514" t="s">
        <v>1990</v>
      </c>
      <c r="I45" s="344"/>
      <c r="J45" s="344"/>
      <c r="K45" s="344"/>
      <c r="L45" s="344"/>
      <c r="M45" s="344"/>
      <c r="N45" s="344"/>
      <c r="O45" s="344"/>
      <c r="P45" s="344"/>
      <c r="Q45" s="344"/>
      <c r="R45" s="344"/>
      <c r="S45" s="344"/>
      <c r="T45" s="344"/>
      <c r="U45" s="344"/>
      <c r="V45" s="344"/>
      <c r="W45" s="344"/>
      <c r="X45" s="344"/>
      <c r="Y45" s="344"/>
      <c r="Z45" s="344"/>
      <c r="AA45" s="344"/>
      <c r="AB45" s="344"/>
      <c r="AC45" s="344"/>
      <c r="AD45" s="344"/>
    </row>
    <row r="46">
      <c r="A46" s="519"/>
      <c r="B46" s="523"/>
      <c r="C46" s="523"/>
      <c r="D46" s="524" t="s">
        <v>229</v>
      </c>
      <c r="E46" s="530" t="s">
        <v>1991</v>
      </c>
      <c r="F46" s="526" t="s">
        <v>1992</v>
      </c>
      <c r="G46" s="527" t="s">
        <v>1883</v>
      </c>
      <c r="H46" s="514" t="s">
        <v>1906</v>
      </c>
      <c r="I46" s="344"/>
      <c r="J46" s="344"/>
      <c r="K46" s="344"/>
      <c r="L46" s="344"/>
      <c r="M46" s="344"/>
      <c r="N46" s="344"/>
      <c r="O46" s="344"/>
      <c r="P46" s="344"/>
      <c r="Q46" s="344"/>
      <c r="R46" s="344"/>
      <c r="S46" s="344"/>
      <c r="T46" s="344"/>
      <c r="U46" s="344"/>
      <c r="V46" s="344"/>
      <c r="W46" s="344"/>
      <c r="X46" s="344"/>
      <c r="Y46" s="344"/>
      <c r="Z46" s="344"/>
      <c r="AA46" s="344"/>
      <c r="AB46" s="344"/>
      <c r="AC46" s="344"/>
      <c r="AD46" s="344"/>
    </row>
    <row r="47">
      <c r="A47" s="519"/>
      <c r="B47" s="523"/>
      <c r="C47" s="523"/>
      <c r="D47" s="524"/>
      <c r="E47" s="530" t="s">
        <v>1993</v>
      </c>
      <c r="F47" s="526" t="s">
        <v>1994</v>
      </c>
      <c r="G47" s="527" t="s">
        <v>1883</v>
      </c>
      <c r="H47" s="514" t="s">
        <v>1906</v>
      </c>
      <c r="I47" s="344"/>
      <c r="J47" s="344"/>
      <c r="K47" s="344"/>
      <c r="L47" s="344"/>
      <c r="M47" s="344"/>
      <c r="N47" s="344"/>
      <c r="O47" s="344"/>
      <c r="P47" s="344"/>
      <c r="Q47" s="344"/>
      <c r="R47" s="344"/>
      <c r="S47" s="344"/>
      <c r="T47" s="344"/>
      <c r="U47" s="344"/>
      <c r="V47" s="344"/>
      <c r="W47" s="344"/>
      <c r="X47" s="344"/>
      <c r="Y47" s="344"/>
      <c r="Z47" s="344"/>
      <c r="AA47" s="344"/>
      <c r="AB47" s="344"/>
      <c r="AC47" s="344"/>
      <c r="AD47" s="344"/>
    </row>
    <row r="48">
      <c r="A48" s="519"/>
      <c r="B48" s="523"/>
      <c r="C48" s="523"/>
      <c r="D48" s="524" t="s">
        <v>199</v>
      </c>
      <c r="E48" s="530"/>
      <c r="F48" s="526" t="s">
        <v>1995</v>
      </c>
      <c r="G48" s="527" t="s">
        <v>1912</v>
      </c>
      <c r="H48" s="514" t="s">
        <v>1913</v>
      </c>
      <c r="I48" s="344"/>
      <c r="J48" s="344"/>
      <c r="K48" s="344"/>
      <c r="L48" s="344"/>
      <c r="M48" s="344"/>
      <c r="N48" s="344"/>
      <c r="O48" s="344"/>
      <c r="P48" s="344"/>
      <c r="Q48" s="344"/>
      <c r="R48" s="344"/>
      <c r="S48" s="344"/>
      <c r="T48" s="344"/>
      <c r="U48" s="344"/>
      <c r="V48" s="344"/>
      <c r="W48" s="344"/>
      <c r="X48" s="344"/>
      <c r="Y48" s="344"/>
      <c r="Z48" s="344"/>
      <c r="AA48" s="344"/>
      <c r="AB48" s="344"/>
      <c r="AC48" s="344"/>
      <c r="AD48" s="344"/>
    </row>
    <row r="49">
      <c r="A49" s="519"/>
      <c r="B49" s="523"/>
      <c r="C49" s="523"/>
      <c r="D49" s="524" t="s">
        <v>1918</v>
      </c>
      <c r="E49" s="530"/>
      <c r="F49" s="526" t="s">
        <v>1996</v>
      </c>
      <c r="G49" s="527" t="s">
        <v>1912</v>
      </c>
      <c r="H49" s="514" t="s">
        <v>1913</v>
      </c>
      <c r="I49" s="344"/>
      <c r="J49" s="344"/>
      <c r="K49" s="344"/>
      <c r="L49" s="344"/>
      <c r="M49" s="344"/>
      <c r="N49" s="344"/>
      <c r="O49" s="344"/>
      <c r="P49" s="344"/>
      <c r="Q49" s="344"/>
      <c r="R49" s="344"/>
      <c r="S49" s="344"/>
      <c r="T49" s="344"/>
      <c r="U49" s="344"/>
      <c r="V49" s="344"/>
      <c r="W49" s="344"/>
      <c r="X49" s="344"/>
      <c r="Y49" s="344"/>
      <c r="Z49" s="344"/>
      <c r="AA49" s="344"/>
      <c r="AB49" s="344"/>
      <c r="AC49" s="344"/>
      <c r="AD49" s="344"/>
    </row>
    <row r="50">
      <c r="A50" s="519"/>
      <c r="B50" s="523"/>
      <c r="C50" s="523"/>
      <c r="D50" s="524"/>
      <c r="E50" s="530"/>
      <c r="F50" s="526" t="s">
        <v>1997</v>
      </c>
      <c r="G50" s="527" t="s">
        <v>1912</v>
      </c>
      <c r="H50" s="514" t="s">
        <v>1913</v>
      </c>
      <c r="I50" s="344"/>
      <c r="J50" s="344"/>
      <c r="K50" s="344"/>
      <c r="L50" s="344"/>
      <c r="M50" s="344"/>
      <c r="N50" s="344"/>
      <c r="O50" s="344"/>
      <c r="P50" s="344"/>
      <c r="Q50" s="344"/>
      <c r="R50" s="344"/>
      <c r="S50" s="344"/>
      <c r="T50" s="344"/>
      <c r="U50" s="344"/>
      <c r="V50" s="344"/>
      <c r="W50" s="344"/>
      <c r="X50" s="344"/>
      <c r="Y50" s="344"/>
      <c r="Z50" s="344"/>
      <c r="AA50" s="344"/>
      <c r="AB50" s="344"/>
      <c r="AC50" s="344"/>
      <c r="AD50" s="344"/>
    </row>
    <row r="51">
      <c r="A51" s="519"/>
      <c r="B51" s="523"/>
      <c r="C51" s="523"/>
      <c r="D51" s="524" t="s">
        <v>1998</v>
      </c>
      <c r="E51" s="530"/>
      <c r="F51" s="526" t="s">
        <v>1999</v>
      </c>
      <c r="G51" s="527" t="s">
        <v>2000</v>
      </c>
      <c r="H51" s="514" t="s">
        <v>2001</v>
      </c>
      <c r="I51" s="344"/>
      <c r="J51" s="344"/>
      <c r="K51" s="344"/>
      <c r="L51" s="344"/>
      <c r="M51" s="344"/>
      <c r="N51" s="344"/>
      <c r="O51" s="344"/>
      <c r="P51" s="344"/>
      <c r="Q51" s="344"/>
      <c r="R51" s="344"/>
      <c r="S51" s="344"/>
      <c r="T51" s="344"/>
      <c r="U51" s="344"/>
      <c r="V51" s="344"/>
      <c r="W51" s="344"/>
      <c r="X51" s="344"/>
      <c r="Y51" s="344"/>
      <c r="Z51" s="344"/>
      <c r="AA51" s="344"/>
      <c r="AB51" s="344"/>
      <c r="AC51" s="344"/>
      <c r="AD51" s="344"/>
    </row>
    <row r="52">
      <c r="A52" s="519"/>
      <c r="B52" s="523"/>
      <c r="C52" s="523"/>
      <c r="D52" s="524"/>
      <c r="E52" s="530"/>
      <c r="F52" s="526" t="s">
        <v>2002</v>
      </c>
      <c r="G52" s="527" t="s">
        <v>2003</v>
      </c>
      <c r="H52" s="514" t="s">
        <v>2004</v>
      </c>
      <c r="I52" s="344"/>
      <c r="J52" s="344"/>
      <c r="K52" s="344"/>
      <c r="L52" s="344"/>
      <c r="M52" s="344"/>
      <c r="N52" s="344"/>
      <c r="O52" s="344"/>
      <c r="P52" s="344"/>
      <c r="Q52" s="344"/>
      <c r="R52" s="344"/>
      <c r="S52" s="344"/>
      <c r="T52" s="344"/>
      <c r="U52" s="344"/>
      <c r="V52" s="344"/>
      <c r="W52" s="344"/>
      <c r="X52" s="344"/>
      <c r="Y52" s="344"/>
      <c r="Z52" s="344"/>
      <c r="AA52" s="344"/>
      <c r="AB52" s="344"/>
      <c r="AC52" s="344"/>
      <c r="AD52" s="344"/>
    </row>
    <row r="53">
      <c r="A53" s="510"/>
      <c r="B53" s="523" t="s">
        <v>2005</v>
      </c>
      <c r="C53" s="523" t="s">
        <v>2006</v>
      </c>
      <c r="D53" s="524" t="s">
        <v>139</v>
      </c>
      <c r="E53" s="524" t="s">
        <v>2007</v>
      </c>
      <c r="F53" s="526" t="s">
        <v>2008</v>
      </c>
      <c r="G53" s="527" t="s">
        <v>2009</v>
      </c>
      <c r="H53" s="522" t="s">
        <v>1990</v>
      </c>
      <c r="I53" s="344"/>
      <c r="J53" s="344"/>
      <c r="K53" s="344"/>
      <c r="L53" s="344"/>
      <c r="M53" s="344"/>
      <c r="N53" s="344"/>
      <c r="O53" s="344"/>
      <c r="P53" s="344"/>
      <c r="Q53" s="344"/>
      <c r="R53" s="344"/>
      <c r="S53" s="344"/>
      <c r="T53" s="344"/>
      <c r="U53" s="344"/>
      <c r="V53" s="344"/>
      <c r="W53" s="344"/>
      <c r="X53" s="344"/>
      <c r="Y53" s="344"/>
      <c r="Z53" s="344"/>
      <c r="AA53" s="344"/>
      <c r="AB53" s="344"/>
      <c r="AC53" s="344"/>
      <c r="AD53" s="344"/>
    </row>
    <row r="54">
      <c r="A54" s="510"/>
      <c r="B54" s="523"/>
      <c r="C54" s="523"/>
      <c r="D54" s="524" t="s">
        <v>199</v>
      </c>
      <c r="E54" s="524"/>
      <c r="F54" s="526" t="s">
        <v>2010</v>
      </c>
      <c r="G54" s="527" t="s">
        <v>1912</v>
      </c>
      <c r="H54" s="522" t="s">
        <v>1913</v>
      </c>
      <c r="I54" s="344"/>
      <c r="J54" s="344"/>
      <c r="K54" s="344"/>
      <c r="L54" s="344"/>
      <c r="M54" s="344"/>
      <c r="N54" s="344"/>
      <c r="O54" s="344"/>
      <c r="P54" s="344"/>
      <c r="Q54" s="344"/>
      <c r="R54" s="344"/>
      <c r="S54" s="344"/>
      <c r="T54" s="344"/>
      <c r="U54" s="344"/>
      <c r="V54" s="344"/>
      <c r="W54" s="344"/>
      <c r="X54" s="344"/>
      <c r="Y54" s="344"/>
      <c r="Z54" s="344"/>
      <c r="AA54" s="344"/>
      <c r="AB54" s="344"/>
      <c r="AC54" s="344"/>
      <c r="AD54" s="344"/>
    </row>
    <row r="55">
      <c r="A55" s="510"/>
      <c r="B55" s="523"/>
      <c r="C55" s="523"/>
      <c r="D55" s="524" t="s">
        <v>163</v>
      </c>
      <c r="E55" s="524"/>
      <c r="F55" s="526" t="s">
        <v>1996</v>
      </c>
      <c r="G55" s="527" t="s">
        <v>1912</v>
      </c>
      <c r="H55" s="522" t="s">
        <v>1913</v>
      </c>
      <c r="I55" s="344"/>
      <c r="J55" s="344"/>
      <c r="K55" s="344"/>
      <c r="L55" s="344"/>
      <c r="M55" s="344"/>
      <c r="N55" s="344"/>
      <c r="O55" s="344"/>
      <c r="P55" s="344"/>
      <c r="Q55" s="344"/>
      <c r="R55" s="344"/>
      <c r="S55" s="344"/>
      <c r="T55" s="344"/>
      <c r="U55" s="344"/>
      <c r="V55" s="344"/>
      <c r="W55" s="344"/>
      <c r="X55" s="344"/>
      <c r="Y55" s="344"/>
      <c r="Z55" s="344"/>
      <c r="AA55" s="344"/>
      <c r="AB55" s="344"/>
      <c r="AC55" s="344"/>
      <c r="AD55" s="344"/>
    </row>
    <row r="56">
      <c r="A56" s="510"/>
      <c r="B56" s="523"/>
      <c r="C56" s="523"/>
      <c r="D56" s="524"/>
      <c r="E56" s="524"/>
      <c r="F56" s="526" t="s">
        <v>2011</v>
      </c>
      <c r="G56" s="527" t="s">
        <v>1912</v>
      </c>
      <c r="H56" s="522" t="s">
        <v>1913</v>
      </c>
      <c r="I56" s="344"/>
      <c r="J56" s="344"/>
      <c r="K56" s="344"/>
      <c r="L56" s="344"/>
      <c r="M56" s="344"/>
      <c r="N56" s="344"/>
      <c r="O56" s="344"/>
      <c r="P56" s="344"/>
      <c r="Q56" s="344"/>
      <c r="R56" s="344"/>
      <c r="S56" s="344"/>
      <c r="T56" s="344"/>
      <c r="U56" s="344"/>
      <c r="V56" s="344"/>
      <c r="W56" s="344"/>
      <c r="X56" s="344"/>
      <c r="Y56" s="344"/>
      <c r="Z56" s="344"/>
      <c r="AA56" s="344"/>
      <c r="AB56" s="344"/>
      <c r="AC56" s="344"/>
      <c r="AD56" s="344"/>
    </row>
    <row r="57">
      <c r="A57" s="510"/>
      <c r="B57" s="523"/>
      <c r="C57" s="523"/>
      <c r="D57" s="524" t="s">
        <v>101</v>
      </c>
      <c r="E57" s="524"/>
      <c r="F57" s="526" t="s">
        <v>2012</v>
      </c>
      <c r="G57" s="527" t="s">
        <v>1912</v>
      </c>
      <c r="H57" s="522" t="s">
        <v>1913</v>
      </c>
      <c r="I57" s="344"/>
      <c r="J57" s="344"/>
      <c r="K57" s="344"/>
      <c r="L57" s="344"/>
      <c r="M57" s="344"/>
      <c r="N57" s="344"/>
      <c r="O57" s="344"/>
      <c r="P57" s="344"/>
      <c r="Q57" s="344"/>
      <c r="R57" s="344"/>
      <c r="S57" s="344"/>
      <c r="T57" s="344"/>
      <c r="U57" s="344"/>
      <c r="V57" s="344"/>
      <c r="W57" s="344"/>
      <c r="X57" s="344"/>
      <c r="Y57" s="344"/>
      <c r="Z57" s="344"/>
      <c r="AA57" s="344"/>
      <c r="AB57" s="344"/>
      <c r="AC57" s="344"/>
      <c r="AD57" s="344"/>
    </row>
    <row r="58">
      <c r="A58" s="510"/>
      <c r="B58" s="523" t="s">
        <v>2013</v>
      </c>
      <c r="C58" s="523" t="s">
        <v>2014</v>
      </c>
      <c r="D58" s="524" t="s">
        <v>158</v>
      </c>
      <c r="E58" s="525"/>
      <c r="F58" s="526" t="s">
        <v>2015</v>
      </c>
      <c r="G58" s="527" t="s">
        <v>1909</v>
      </c>
      <c r="H58" s="522" t="s">
        <v>1910</v>
      </c>
      <c r="I58" s="344"/>
      <c r="J58" s="344"/>
      <c r="K58" s="344"/>
      <c r="L58" s="344"/>
      <c r="M58" s="344"/>
      <c r="N58" s="344"/>
      <c r="O58" s="344"/>
      <c r="P58" s="344"/>
      <c r="Q58" s="344"/>
      <c r="R58" s="344"/>
      <c r="S58" s="344"/>
      <c r="T58" s="344"/>
      <c r="U58" s="344"/>
      <c r="V58" s="344"/>
      <c r="W58" s="344"/>
      <c r="X58" s="344"/>
      <c r="Y58" s="344"/>
      <c r="Z58" s="344"/>
      <c r="AA58" s="344"/>
      <c r="AB58" s="344"/>
      <c r="AC58" s="344"/>
      <c r="AD58" s="344"/>
    </row>
    <row r="59">
      <c r="A59" s="510"/>
      <c r="B59" s="523"/>
      <c r="C59" s="523"/>
      <c r="D59" s="524"/>
      <c r="E59" s="525"/>
      <c r="F59" s="526" t="s">
        <v>2016</v>
      </c>
      <c r="G59" s="527" t="s">
        <v>2017</v>
      </c>
      <c r="H59" s="514" t="s">
        <v>2018</v>
      </c>
      <c r="I59" s="344"/>
      <c r="J59" s="344"/>
      <c r="K59" s="344"/>
      <c r="L59" s="344"/>
      <c r="M59" s="344"/>
      <c r="N59" s="344"/>
      <c r="O59" s="344"/>
      <c r="P59" s="344"/>
      <c r="Q59" s="344"/>
      <c r="R59" s="344"/>
      <c r="S59" s="344"/>
      <c r="T59" s="344"/>
      <c r="U59" s="344"/>
      <c r="V59" s="344"/>
      <c r="W59" s="344"/>
      <c r="X59" s="344"/>
      <c r="Y59" s="344"/>
      <c r="Z59" s="344"/>
      <c r="AA59" s="344"/>
      <c r="AB59" s="344"/>
      <c r="AC59" s="344"/>
      <c r="AD59" s="344"/>
    </row>
    <row r="60">
      <c r="A60" s="510"/>
      <c r="B60" s="523"/>
      <c r="C60" s="523"/>
      <c r="D60" s="524" t="s">
        <v>193</v>
      </c>
      <c r="E60" s="525"/>
      <c r="F60" s="526" t="s">
        <v>2019</v>
      </c>
      <c r="G60" s="527" t="s">
        <v>1912</v>
      </c>
      <c r="H60" s="514" t="s">
        <v>1913</v>
      </c>
      <c r="I60" s="344"/>
      <c r="J60" s="344"/>
      <c r="K60" s="344"/>
      <c r="L60" s="344"/>
      <c r="M60" s="344"/>
      <c r="N60" s="344"/>
      <c r="O60" s="344"/>
      <c r="P60" s="344"/>
      <c r="Q60" s="344"/>
      <c r="R60" s="344"/>
      <c r="S60" s="344"/>
      <c r="T60" s="344"/>
      <c r="U60" s="344"/>
      <c r="V60" s="344"/>
      <c r="W60" s="344"/>
      <c r="X60" s="344"/>
      <c r="Y60" s="344"/>
      <c r="Z60" s="344"/>
      <c r="AA60" s="344"/>
      <c r="AB60" s="344"/>
      <c r="AC60" s="344"/>
      <c r="AD60" s="344"/>
    </row>
    <row r="61">
      <c r="A61" s="510"/>
      <c r="B61" s="523"/>
      <c r="C61" s="523"/>
      <c r="D61" s="524"/>
      <c r="E61" s="525"/>
      <c r="F61" s="526" t="s">
        <v>2020</v>
      </c>
      <c r="G61" s="527" t="s">
        <v>1912</v>
      </c>
      <c r="H61" s="514" t="s">
        <v>1913</v>
      </c>
      <c r="I61" s="344"/>
      <c r="J61" s="344"/>
      <c r="K61" s="344"/>
      <c r="L61" s="344"/>
      <c r="M61" s="344"/>
      <c r="N61" s="344"/>
      <c r="O61" s="344"/>
      <c r="P61" s="344"/>
      <c r="Q61" s="344"/>
      <c r="R61" s="344"/>
      <c r="S61" s="344"/>
      <c r="T61" s="344"/>
      <c r="U61" s="344"/>
      <c r="V61" s="344"/>
      <c r="W61" s="344"/>
      <c r="X61" s="344"/>
      <c r="Y61" s="344"/>
      <c r="Z61" s="344"/>
      <c r="AA61" s="344"/>
      <c r="AB61" s="344"/>
      <c r="AC61" s="344"/>
      <c r="AD61" s="344"/>
    </row>
    <row r="62">
      <c r="A62" s="510"/>
      <c r="B62" s="523"/>
      <c r="C62" s="523"/>
      <c r="D62" s="524" t="s">
        <v>71</v>
      </c>
      <c r="E62" s="525"/>
      <c r="F62" s="526" t="s">
        <v>2021</v>
      </c>
      <c r="G62" s="527" t="s">
        <v>2022</v>
      </c>
      <c r="H62" s="514" t="s">
        <v>2023</v>
      </c>
      <c r="I62" s="344"/>
      <c r="J62" s="344"/>
      <c r="K62" s="344"/>
      <c r="L62" s="344"/>
      <c r="M62" s="344"/>
      <c r="N62" s="344"/>
      <c r="O62" s="344"/>
      <c r="P62" s="344"/>
      <c r="Q62" s="344"/>
      <c r="R62" s="344"/>
      <c r="S62" s="344"/>
      <c r="T62" s="344"/>
      <c r="U62" s="344"/>
      <c r="V62" s="344"/>
      <c r="W62" s="344"/>
      <c r="X62" s="344"/>
      <c r="Y62" s="344"/>
      <c r="Z62" s="344"/>
      <c r="AA62" s="344"/>
      <c r="AB62" s="344"/>
      <c r="AC62" s="344"/>
      <c r="AD62" s="344"/>
    </row>
    <row r="63">
      <c r="A63" s="510"/>
      <c r="B63" s="523"/>
      <c r="C63" s="523"/>
      <c r="D63" s="524"/>
      <c r="E63" s="525"/>
      <c r="F63" s="526" t="s">
        <v>2024</v>
      </c>
      <c r="G63" s="527" t="s">
        <v>2025</v>
      </c>
      <c r="H63" s="514" t="s">
        <v>2023</v>
      </c>
      <c r="I63" s="344"/>
      <c r="J63" s="344"/>
      <c r="K63" s="344"/>
      <c r="L63" s="344"/>
      <c r="M63" s="344"/>
      <c r="N63" s="344"/>
      <c r="O63" s="344"/>
      <c r="P63" s="344"/>
      <c r="Q63" s="344"/>
      <c r="R63" s="344"/>
      <c r="S63" s="344"/>
      <c r="T63" s="344"/>
      <c r="U63" s="344"/>
      <c r="V63" s="344"/>
      <c r="W63" s="344"/>
      <c r="X63" s="344"/>
      <c r="Y63" s="344"/>
      <c r="Z63" s="344"/>
      <c r="AA63" s="344"/>
      <c r="AB63" s="344"/>
      <c r="AC63" s="344"/>
      <c r="AD63" s="344"/>
    </row>
    <row r="64">
      <c r="A64" s="510"/>
      <c r="B64" s="523"/>
      <c r="C64" s="523"/>
      <c r="D64" s="524" t="s">
        <v>117</v>
      </c>
      <c r="E64" s="525"/>
      <c r="F64" s="526" t="s">
        <v>2026</v>
      </c>
      <c r="G64" s="527" t="s">
        <v>2027</v>
      </c>
      <c r="H64" s="514" t="s">
        <v>2023</v>
      </c>
      <c r="I64" s="344"/>
      <c r="J64" s="344"/>
      <c r="K64" s="344"/>
      <c r="L64" s="344"/>
      <c r="M64" s="344"/>
      <c r="N64" s="344"/>
      <c r="O64" s="344"/>
      <c r="P64" s="344"/>
      <c r="Q64" s="344"/>
      <c r="R64" s="344"/>
      <c r="S64" s="344"/>
      <c r="T64" s="344"/>
      <c r="U64" s="344"/>
      <c r="V64" s="344"/>
      <c r="W64" s="344"/>
      <c r="X64" s="344"/>
      <c r="Y64" s="344"/>
      <c r="Z64" s="344"/>
      <c r="AA64" s="344"/>
      <c r="AB64" s="344"/>
      <c r="AC64" s="344"/>
      <c r="AD64" s="344"/>
    </row>
    <row r="65">
      <c r="A65" s="510"/>
      <c r="B65" s="523"/>
      <c r="C65" s="523"/>
      <c r="D65" s="524"/>
      <c r="E65" s="525"/>
      <c r="F65" s="526" t="s">
        <v>2021</v>
      </c>
      <c r="G65" s="527" t="s">
        <v>2028</v>
      </c>
      <c r="H65" s="514" t="s">
        <v>2023</v>
      </c>
      <c r="I65" s="344"/>
      <c r="J65" s="344"/>
      <c r="K65" s="344"/>
      <c r="L65" s="344"/>
      <c r="M65" s="344"/>
      <c r="N65" s="344"/>
      <c r="O65" s="344"/>
      <c r="P65" s="344"/>
      <c r="Q65" s="344"/>
      <c r="R65" s="344"/>
      <c r="S65" s="344"/>
      <c r="T65" s="344"/>
      <c r="U65" s="344"/>
      <c r="V65" s="344"/>
      <c r="W65" s="344"/>
      <c r="X65" s="344"/>
      <c r="Y65" s="344"/>
      <c r="Z65" s="344"/>
      <c r="AA65" s="344"/>
      <c r="AB65" s="344"/>
      <c r="AC65" s="344"/>
      <c r="AD65" s="344"/>
    </row>
    <row r="66">
      <c r="A66" s="510"/>
      <c r="B66" s="523"/>
      <c r="C66" s="523"/>
      <c r="D66" s="524" t="s">
        <v>124</v>
      </c>
      <c r="E66" s="525"/>
      <c r="F66" s="526" t="s">
        <v>2029</v>
      </c>
      <c r="G66" s="527" t="s">
        <v>1883</v>
      </c>
      <c r="H66" s="514" t="s">
        <v>2023</v>
      </c>
      <c r="I66" s="344"/>
      <c r="J66" s="344"/>
      <c r="K66" s="344"/>
      <c r="L66" s="344"/>
      <c r="M66" s="344"/>
      <c r="N66" s="344"/>
      <c r="O66" s="344"/>
      <c r="P66" s="344"/>
      <c r="Q66" s="344"/>
      <c r="R66" s="344"/>
      <c r="S66" s="344"/>
      <c r="T66" s="344"/>
      <c r="U66" s="344"/>
      <c r="V66" s="344"/>
      <c r="W66" s="344"/>
      <c r="X66" s="344"/>
      <c r="Y66" s="344"/>
      <c r="Z66" s="344"/>
      <c r="AA66" s="344"/>
      <c r="AB66" s="344"/>
      <c r="AC66" s="344"/>
      <c r="AD66" s="344"/>
    </row>
    <row r="67">
      <c r="A67" s="510"/>
      <c r="B67" s="523"/>
      <c r="C67" s="523"/>
      <c r="D67" s="524"/>
      <c r="E67" s="525"/>
      <c r="F67" s="526" t="s">
        <v>2030</v>
      </c>
      <c r="G67" s="527" t="s">
        <v>1883</v>
      </c>
      <c r="H67" s="514" t="s">
        <v>2023</v>
      </c>
      <c r="I67" s="344"/>
      <c r="J67" s="344"/>
      <c r="K67" s="344"/>
      <c r="L67" s="344"/>
      <c r="M67" s="344"/>
      <c r="N67" s="344"/>
      <c r="O67" s="344"/>
      <c r="P67" s="344"/>
      <c r="Q67" s="344"/>
      <c r="R67" s="344"/>
      <c r="S67" s="344"/>
      <c r="T67" s="344"/>
      <c r="U67" s="344"/>
      <c r="V67" s="344"/>
      <c r="W67" s="344"/>
      <c r="X67" s="344"/>
      <c r="Y67" s="344"/>
      <c r="Z67" s="344"/>
      <c r="AA67" s="344"/>
      <c r="AB67" s="344"/>
      <c r="AC67" s="344"/>
      <c r="AD67" s="344"/>
    </row>
    <row r="68">
      <c r="A68" s="519" t="str">
        <f>'Tabel Suplemen A1'!B6</f>
        <v>Mampu menyusun deskripsi saintifik hasil kajian implikasi pengembangan atau implementasi ilmu pengetahuan teknologi dalam bentuk skripsi atau laporan tugas akhir atau artikel ilmiah.</v>
      </c>
      <c r="B68" s="523" t="s">
        <v>2031</v>
      </c>
      <c r="C68" s="523" t="s">
        <v>2032</v>
      </c>
      <c r="D68" s="531" t="s">
        <v>2033</v>
      </c>
      <c r="E68" s="532"/>
      <c r="F68" s="533" t="s">
        <v>2034</v>
      </c>
      <c r="G68" s="534" t="s">
        <v>2035</v>
      </c>
      <c r="H68" s="514" t="s">
        <v>2036</v>
      </c>
      <c r="I68" s="344"/>
      <c r="J68" s="344"/>
      <c r="K68" s="344"/>
      <c r="L68" s="344"/>
      <c r="M68" s="344"/>
      <c r="N68" s="344"/>
      <c r="O68" s="344"/>
      <c r="P68" s="344"/>
      <c r="Q68" s="344"/>
      <c r="R68" s="344"/>
      <c r="S68" s="344"/>
      <c r="T68" s="344"/>
      <c r="U68" s="344"/>
      <c r="V68" s="344"/>
      <c r="W68" s="344"/>
      <c r="X68" s="344"/>
      <c r="Y68" s="344"/>
      <c r="Z68" s="344"/>
      <c r="AA68" s="344"/>
      <c r="AB68" s="344"/>
      <c r="AC68" s="344"/>
      <c r="AD68" s="344"/>
    </row>
    <row r="69">
      <c r="A69" s="519"/>
      <c r="B69" s="523"/>
      <c r="C69" s="523"/>
      <c r="D69" s="531"/>
      <c r="E69" s="532"/>
      <c r="F69" s="533" t="s">
        <v>2037</v>
      </c>
      <c r="G69" s="534" t="s">
        <v>2038</v>
      </c>
      <c r="H69" s="514" t="s">
        <v>2039</v>
      </c>
      <c r="I69" s="344"/>
      <c r="J69" s="344"/>
      <c r="K69" s="344"/>
      <c r="L69" s="344"/>
      <c r="M69" s="344"/>
      <c r="N69" s="344"/>
      <c r="O69" s="344"/>
      <c r="P69" s="344"/>
      <c r="Q69" s="344"/>
      <c r="R69" s="344"/>
      <c r="S69" s="344"/>
      <c r="T69" s="344"/>
      <c r="U69" s="344"/>
      <c r="V69" s="344"/>
      <c r="W69" s="344"/>
      <c r="X69" s="344"/>
      <c r="Y69" s="344"/>
      <c r="Z69" s="344"/>
      <c r="AA69" s="344"/>
      <c r="AB69" s="344"/>
      <c r="AC69" s="344"/>
      <c r="AD69" s="344"/>
    </row>
    <row r="70">
      <c r="A70" s="519"/>
      <c r="B70" s="523" t="s">
        <v>2040</v>
      </c>
      <c r="C70" s="523" t="s">
        <v>2041</v>
      </c>
      <c r="D70" s="531" t="s">
        <v>101</v>
      </c>
      <c r="E70" s="532"/>
      <c r="F70" s="533" t="s">
        <v>2042</v>
      </c>
      <c r="G70" s="534" t="s">
        <v>1912</v>
      </c>
      <c r="H70" s="514" t="s">
        <v>1913</v>
      </c>
      <c r="I70" s="344"/>
      <c r="J70" s="344"/>
      <c r="K70" s="344"/>
      <c r="L70" s="344"/>
      <c r="M70" s="344"/>
      <c r="N70" s="344"/>
      <c r="O70" s="344"/>
      <c r="P70" s="344"/>
      <c r="Q70" s="344"/>
      <c r="R70" s="344"/>
      <c r="S70" s="344"/>
      <c r="T70" s="344"/>
      <c r="U70" s="344"/>
      <c r="V70" s="344"/>
      <c r="W70" s="344"/>
      <c r="X70" s="344"/>
      <c r="Y70" s="344"/>
      <c r="Z70" s="344"/>
      <c r="AA70" s="344"/>
      <c r="AB70" s="344"/>
      <c r="AC70" s="344"/>
      <c r="AD70" s="344"/>
    </row>
    <row r="71">
      <c r="A71" s="519"/>
      <c r="B71" s="523" t="s">
        <v>2043</v>
      </c>
      <c r="C71" s="523" t="s">
        <v>2044</v>
      </c>
      <c r="D71" s="531" t="s">
        <v>141</v>
      </c>
      <c r="E71" s="532"/>
      <c r="F71" s="533" t="s">
        <v>2045</v>
      </c>
      <c r="G71" s="534" t="s">
        <v>1887</v>
      </c>
      <c r="H71" s="514" t="s">
        <v>1949</v>
      </c>
      <c r="I71" s="344"/>
      <c r="J71" s="344"/>
      <c r="K71" s="344"/>
      <c r="L71" s="344"/>
      <c r="M71" s="344"/>
      <c r="N71" s="344"/>
      <c r="O71" s="344"/>
      <c r="P71" s="344"/>
      <c r="Q71" s="344"/>
      <c r="R71" s="344"/>
      <c r="S71" s="344"/>
      <c r="T71" s="344"/>
      <c r="U71" s="344"/>
      <c r="V71" s="344"/>
      <c r="W71" s="344"/>
      <c r="X71" s="344"/>
      <c r="Y71" s="344"/>
      <c r="Z71" s="344"/>
      <c r="AA71" s="344"/>
      <c r="AB71" s="344"/>
      <c r="AC71" s="344"/>
      <c r="AD71" s="344"/>
    </row>
    <row r="72">
      <c r="A72" s="519"/>
      <c r="B72" s="523" t="s">
        <v>2046</v>
      </c>
      <c r="C72" s="523" t="s">
        <v>2047</v>
      </c>
      <c r="D72" s="531" t="s">
        <v>199</v>
      </c>
      <c r="E72" s="532"/>
      <c r="F72" s="533" t="s">
        <v>2048</v>
      </c>
      <c r="G72" s="534" t="s">
        <v>1912</v>
      </c>
      <c r="H72" s="514" t="s">
        <v>1913</v>
      </c>
      <c r="I72" s="344"/>
      <c r="J72" s="344"/>
      <c r="K72" s="344"/>
      <c r="L72" s="344"/>
      <c r="M72" s="344"/>
      <c r="N72" s="344"/>
      <c r="O72" s="344"/>
      <c r="P72" s="344"/>
      <c r="Q72" s="344"/>
      <c r="R72" s="344"/>
      <c r="S72" s="344"/>
      <c r="T72" s="344"/>
      <c r="U72" s="344"/>
      <c r="V72" s="344"/>
      <c r="W72" s="344"/>
      <c r="X72" s="344"/>
      <c r="Y72" s="344"/>
      <c r="Z72" s="344"/>
      <c r="AA72" s="344"/>
      <c r="AB72" s="344"/>
      <c r="AC72" s="344"/>
      <c r="AD72" s="344"/>
    </row>
    <row r="73">
      <c r="A73" s="519" t="str">
        <f>'Tabel Suplemen A1'!B7</f>
        <v>Mampu menerapkan solusi teknologi komputasi dan infrastruktur digital dengan mempertimbangkan berbagai teknik/pendekatan yang sesuai dengan kebutuhan.</v>
      </c>
      <c r="B73" s="523" t="s">
        <v>2049</v>
      </c>
      <c r="C73" s="523" t="s">
        <v>2050</v>
      </c>
      <c r="D73" s="531" t="s">
        <v>2051</v>
      </c>
      <c r="E73" s="532"/>
      <c r="F73" s="533" t="s">
        <v>2052</v>
      </c>
      <c r="G73" s="534" t="s">
        <v>2053</v>
      </c>
      <c r="H73" s="514" t="s">
        <v>2054</v>
      </c>
      <c r="I73" s="344"/>
      <c r="J73" s="344"/>
      <c r="K73" s="344"/>
      <c r="L73" s="344"/>
      <c r="M73" s="344"/>
      <c r="N73" s="344"/>
      <c r="O73" s="344"/>
      <c r="P73" s="344"/>
      <c r="Q73" s="344"/>
      <c r="R73" s="344"/>
      <c r="S73" s="344"/>
      <c r="T73" s="344"/>
      <c r="U73" s="344"/>
      <c r="V73" s="344"/>
      <c r="W73" s="344"/>
      <c r="X73" s="344"/>
      <c r="Y73" s="344"/>
      <c r="Z73" s="344"/>
      <c r="AA73" s="344"/>
      <c r="AB73" s="344"/>
      <c r="AC73" s="344"/>
      <c r="AD73" s="344"/>
    </row>
    <row r="74">
      <c r="A74" s="519"/>
      <c r="B74" s="523" t="s">
        <v>2055</v>
      </c>
      <c r="C74" s="523" t="s">
        <v>2056</v>
      </c>
      <c r="D74" s="531" t="s">
        <v>88</v>
      </c>
      <c r="E74" s="532"/>
      <c r="F74" s="533" t="s">
        <v>2057</v>
      </c>
      <c r="G74" s="534" t="s">
        <v>1982</v>
      </c>
      <c r="H74" s="522" t="s">
        <v>2058</v>
      </c>
      <c r="I74" s="344"/>
      <c r="J74" s="344"/>
      <c r="K74" s="344"/>
      <c r="L74" s="344"/>
      <c r="M74" s="344"/>
      <c r="N74" s="344"/>
      <c r="O74" s="344"/>
      <c r="P74" s="344"/>
      <c r="Q74" s="344"/>
      <c r="R74" s="344"/>
      <c r="S74" s="344"/>
      <c r="T74" s="344"/>
      <c r="U74" s="344"/>
      <c r="V74" s="344"/>
      <c r="W74" s="344"/>
      <c r="X74" s="344"/>
      <c r="Y74" s="344"/>
      <c r="Z74" s="344"/>
      <c r="AA74" s="344"/>
      <c r="AB74" s="344"/>
      <c r="AC74" s="344"/>
      <c r="AD74" s="344"/>
    </row>
    <row r="75">
      <c r="A75" s="519"/>
      <c r="B75" s="523"/>
      <c r="C75" s="523"/>
      <c r="D75" s="531"/>
      <c r="E75" s="532"/>
      <c r="F75" s="533" t="s">
        <v>2059</v>
      </c>
      <c r="G75" s="534" t="s">
        <v>1982</v>
      </c>
      <c r="H75" s="522" t="s">
        <v>2058</v>
      </c>
      <c r="I75" s="344"/>
      <c r="J75" s="344"/>
      <c r="K75" s="344"/>
      <c r="L75" s="344"/>
      <c r="M75" s="344"/>
      <c r="N75" s="344"/>
      <c r="O75" s="344"/>
      <c r="P75" s="344"/>
      <c r="Q75" s="344"/>
      <c r="R75" s="344"/>
      <c r="S75" s="344"/>
      <c r="T75" s="344"/>
      <c r="U75" s="344"/>
      <c r="V75" s="344"/>
      <c r="W75" s="344"/>
      <c r="X75" s="344"/>
      <c r="Y75" s="344"/>
      <c r="Z75" s="344"/>
      <c r="AA75" s="344"/>
      <c r="AB75" s="344"/>
      <c r="AC75" s="344"/>
      <c r="AD75" s="344"/>
    </row>
    <row r="76">
      <c r="A76" s="519"/>
      <c r="B76" s="523"/>
      <c r="C76" s="523"/>
      <c r="D76" s="531" t="s">
        <v>65</v>
      </c>
      <c r="E76" s="532"/>
      <c r="F76" s="533" t="s">
        <v>2060</v>
      </c>
      <c r="G76" s="534" t="s">
        <v>1887</v>
      </c>
      <c r="H76" s="522" t="s">
        <v>1949</v>
      </c>
      <c r="I76" s="344"/>
      <c r="J76" s="344"/>
      <c r="K76" s="344"/>
      <c r="L76" s="344"/>
      <c r="M76" s="344"/>
      <c r="N76" s="344"/>
      <c r="O76" s="344"/>
      <c r="P76" s="344"/>
      <c r="Q76" s="344"/>
      <c r="R76" s="344"/>
      <c r="S76" s="344"/>
      <c r="T76" s="344"/>
      <c r="U76" s="344"/>
      <c r="V76" s="344"/>
      <c r="W76" s="344"/>
      <c r="X76" s="344"/>
      <c r="Y76" s="344"/>
      <c r="Z76" s="344"/>
      <c r="AA76" s="344"/>
      <c r="AB76" s="344"/>
      <c r="AC76" s="344"/>
      <c r="AD76" s="344"/>
    </row>
    <row r="77">
      <c r="A77" s="519"/>
      <c r="B77" s="523"/>
      <c r="C77" s="523"/>
      <c r="D77" s="531" t="s">
        <v>2061</v>
      </c>
      <c r="E77" s="532"/>
      <c r="F77" s="533" t="s">
        <v>2062</v>
      </c>
      <c r="G77" s="534" t="s">
        <v>2063</v>
      </c>
      <c r="H77" s="522" t="s">
        <v>2064</v>
      </c>
      <c r="I77" s="344"/>
      <c r="J77" s="344"/>
      <c r="K77" s="344"/>
      <c r="L77" s="344"/>
      <c r="M77" s="344"/>
      <c r="N77" s="344"/>
      <c r="O77" s="344"/>
      <c r="P77" s="344"/>
      <c r="Q77" s="344"/>
      <c r="R77" s="344"/>
      <c r="S77" s="344"/>
      <c r="T77" s="344"/>
      <c r="U77" s="344"/>
      <c r="V77" s="344"/>
      <c r="W77" s="344"/>
      <c r="X77" s="344"/>
      <c r="Y77" s="344"/>
      <c r="Z77" s="344"/>
      <c r="AA77" s="344"/>
      <c r="AB77" s="344"/>
      <c r="AC77" s="344"/>
      <c r="AD77" s="344"/>
    </row>
    <row r="78">
      <c r="A78" s="519"/>
      <c r="B78" s="523"/>
      <c r="C78" s="523"/>
      <c r="D78" s="531" t="s">
        <v>170</v>
      </c>
      <c r="E78" s="532"/>
      <c r="F78" s="533" t="s">
        <v>2065</v>
      </c>
      <c r="G78" s="534" t="s">
        <v>1976</v>
      </c>
      <c r="H78" s="522" t="s">
        <v>2066</v>
      </c>
      <c r="I78" s="344"/>
      <c r="J78" s="344"/>
      <c r="K78" s="344"/>
      <c r="L78" s="344"/>
      <c r="M78" s="344"/>
      <c r="N78" s="344"/>
      <c r="O78" s="344"/>
      <c r="P78" s="344"/>
      <c r="Q78" s="344"/>
      <c r="R78" s="344"/>
      <c r="S78" s="344"/>
      <c r="T78" s="344"/>
      <c r="U78" s="344"/>
      <c r="V78" s="344"/>
      <c r="W78" s="344"/>
      <c r="X78" s="344"/>
      <c r="Y78" s="344"/>
      <c r="Z78" s="344"/>
      <c r="AA78" s="344"/>
      <c r="AB78" s="344"/>
      <c r="AC78" s="344"/>
      <c r="AD78" s="344"/>
    </row>
    <row r="79">
      <c r="A79" s="519"/>
      <c r="B79" s="523"/>
      <c r="C79" s="523"/>
      <c r="D79" s="531"/>
      <c r="E79" s="532"/>
      <c r="F79" s="533" t="s">
        <v>2067</v>
      </c>
      <c r="G79" s="534" t="s">
        <v>1976</v>
      </c>
      <c r="H79" s="522" t="s">
        <v>2068</v>
      </c>
      <c r="I79" s="344"/>
      <c r="J79" s="344"/>
      <c r="K79" s="344"/>
      <c r="L79" s="344"/>
      <c r="M79" s="344"/>
      <c r="N79" s="344"/>
      <c r="O79" s="344"/>
      <c r="P79" s="344"/>
      <c r="Q79" s="344"/>
      <c r="R79" s="344"/>
      <c r="S79" s="344"/>
      <c r="T79" s="344"/>
      <c r="U79" s="344"/>
      <c r="V79" s="344"/>
      <c r="W79" s="344"/>
      <c r="X79" s="344"/>
      <c r="Y79" s="344"/>
      <c r="Z79" s="344"/>
      <c r="AA79" s="344"/>
      <c r="AB79" s="344"/>
      <c r="AC79" s="344"/>
      <c r="AD79" s="344"/>
    </row>
    <row r="80">
      <c r="A80" s="519"/>
      <c r="B80" s="523"/>
      <c r="C80" s="523"/>
      <c r="D80" s="531"/>
      <c r="E80" s="532"/>
      <c r="F80" s="533" t="s">
        <v>2069</v>
      </c>
      <c r="G80" s="534" t="s">
        <v>1976</v>
      </c>
      <c r="H80" s="522" t="s">
        <v>2070</v>
      </c>
      <c r="I80" s="344"/>
      <c r="J80" s="344"/>
      <c r="K80" s="344"/>
      <c r="L80" s="344"/>
      <c r="M80" s="344"/>
      <c r="N80" s="344"/>
      <c r="O80" s="344"/>
      <c r="P80" s="344"/>
      <c r="Q80" s="344"/>
      <c r="R80" s="344"/>
      <c r="S80" s="344"/>
      <c r="T80" s="344"/>
      <c r="U80" s="344"/>
      <c r="V80" s="344"/>
      <c r="W80" s="344"/>
      <c r="X80" s="344"/>
      <c r="Y80" s="344"/>
      <c r="Z80" s="344"/>
      <c r="AA80" s="344"/>
      <c r="AB80" s="344"/>
      <c r="AC80" s="344"/>
      <c r="AD80" s="344"/>
    </row>
    <row r="81">
      <c r="A81" s="519"/>
      <c r="B81" s="523" t="s">
        <v>2071</v>
      </c>
      <c r="C81" s="523" t="s">
        <v>2072</v>
      </c>
      <c r="D81" s="531" t="s">
        <v>541</v>
      </c>
      <c r="E81" s="532"/>
      <c r="F81" s="533" t="s">
        <v>2073</v>
      </c>
      <c r="G81" s="534" t="s">
        <v>1887</v>
      </c>
      <c r="H81" s="522" t="s">
        <v>1949</v>
      </c>
      <c r="I81" s="344"/>
      <c r="J81" s="344"/>
      <c r="K81" s="344"/>
      <c r="L81" s="344"/>
      <c r="M81" s="344"/>
      <c r="N81" s="344"/>
      <c r="O81" s="344"/>
      <c r="P81" s="344"/>
      <c r="Q81" s="344"/>
      <c r="R81" s="344"/>
      <c r="S81" s="344"/>
      <c r="T81" s="344"/>
      <c r="U81" s="344"/>
      <c r="V81" s="344"/>
      <c r="W81" s="344"/>
      <c r="X81" s="344"/>
      <c r="Y81" s="344"/>
      <c r="Z81" s="344"/>
      <c r="AA81" s="344"/>
      <c r="AB81" s="344"/>
      <c r="AC81" s="344"/>
      <c r="AD81" s="344"/>
    </row>
    <row r="82">
      <c r="A82" s="519"/>
      <c r="B82" s="523"/>
      <c r="C82" s="523"/>
      <c r="D82" s="531" t="s">
        <v>168</v>
      </c>
      <c r="E82" s="532"/>
      <c r="F82" s="533" t="s">
        <v>2074</v>
      </c>
      <c r="G82" s="534" t="s">
        <v>1982</v>
      </c>
      <c r="H82" s="522" t="s">
        <v>1924</v>
      </c>
      <c r="I82" s="344"/>
      <c r="J82" s="344"/>
      <c r="K82" s="344"/>
      <c r="L82" s="344"/>
      <c r="M82" s="344"/>
      <c r="N82" s="344"/>
      <c r="O82" s="344"/>
      <c r="P82" s="344"/>
      <c r="Q82" s="344"/>
      <c r="R82" s="344"/>
      <c r="S82" s="344"/>
      <c r="T82" s="344"/>
      <c r="U82" s="344"/>
      <c r="V82" s="344"/>
      <c r="W82" s="344"/>
      <c r="X82" s="344"/>
      <c r="Y82" s="344"/>
      <c r="Z82" s="344"/>
      <c r="AA82" s="344"/>
      <c r="AB82" s="344"/>
      <c r="AC82" s="344"/>
      <c r="AD82" s="344"/>
    </row>
    <row r="83">
      <c r="A83" s="519"/>
      <c r="B83" s="523"/>
      <c r="C83" s="523"/>
      <c r="D83" s="531"/>
      <c r="E83" s="532"/>
      <c r="F83" s="533" t="s">
        <v>2075</v>
      </c>
      <c r="G83" s="534" t="s">
        <v>1982</v>
      </c>
      <c r="H83" s="522" t="s">
        <v>1924</v>
      </c>
      <c r="I83" s="344"/>
      <c r="J83" s="344"/>
      <c r="K83" s="344"/>
      <c r="L83" s="344"/>
      <c r="M83" s="344"/>
      <c r="N83" s="344"/>
      <c r="O83" s="344"/>
      <c r="P83" s="344"/>
      <c r="Q83" s="344"/>
      <c r="R83" s="344"/>
      <c r="S83" s="344"/>
      <c r="T83" s="344"/>
      <c r="U83" s="344"/>
      <c r="V83" s="344"/>
      <c r="W83" s="344"/>
      <c r="X83" s="344"/>
      <c r="Y83" s="344"/>
      <c r="Z83" s="344"/>
      <c r="AA83" s="344"/>
      <c r="AB83" s="344"/>
      <c r="AC83" s="344"/>
      <c r="AD83" s="344"/>
    </row>
    <row r="84">
      <c r="A84" s="519"/>
      <c r="B84" s="523" t="s">
        <v>2076</v>
      </c>
      <c r="C84" s="523" t="s">
        <v>2077</v>
      </c>
      <c r="D84" s="531" t="s">
        <v>2078</v>
      </c>
      <c r="E84" s="532"/>
      <c r="F84" s="533" t="s">
        <v>2079</v>
      </c>
      <c r="G84" s="534" t="s">
        <v>2009</v>
      </c>
      <c r="H84" s="522" t="s">
        <v>2080</v>
      </c>
      <c r="I84" s="344"/>
      <c r="J84" s="344"/>
      <c r="K84" s="344"/>
      <c r="L84" s="344"/>
      <c r="M84" s="344"/>
      <c r="N84" s="344"/>
      <c r="O84" s="344"/>
      <c r="P84" s="344"/>
      <c r="Q84" s="344"/>
      <c r="R84" s="344"/>
      <c r="S84" s="344"/>
      <c r="T84" s="344"/>
      <c r="U84" s="344"/>
      <c r="V84" s="344"/>
      <c r="W84" s="344"/>
      <c r="X84" s="344"/>
      <c r="Y84" s="344"/>
      <c r="Z84" s="344"/>
      <c r="AA84" s="344"/>
      <c r="AB84" s="344"/>
      <c r="AC84" s="344"/>
      <c r="AD84" s="344"/>
    </row>
    <row r="85">
      <c r="A85" s="519"/>
      <c r="B85" s="523"/>
      <c r="C85" s="523"/>
      <c r="D85" s="531" t="s">
        <v>128</v>
      </c>
      <c r="E85" s="532"/>
      <c r="F85" s="533" t="s">
        <v>2081</v>
      </c>
      <c r="G85" s="534" t="s">
        <v>1982</v>
      </c>
      <c r="H85" s="522" t="s">
        <v>2058</v>
      </c>
      <c r="I85" s="344"/>
      <c r="J85" s="344"/>
      <c r="K85" s="344"/>
      <c r="L85" s="344"/>
      <c r="M85" s="344"/>
      <c r="N85" s="344"/>
      <c r="O85" s="344"/>
      <c r="P85" s="344"/>
      <c r="Q85" s="344"/>
      <c r="R85" s="344"/>
      <c r="S85" s="344"/>
      <c r="T85" s="344"/>
      <c r="U85" s="344"/>
      <c r="V85" s="344"/>
      <c r="W85" s="344"/>
      <c r="X85" s="344"/>
      <c r="Y85" s="344"/>
      <c r="Z85" s="344"/>
      <c r="AA85" s="344"/>
      <c r="AB85" s="344"/>
      <c r="AC85" s="344"/>
      <c r="AD85" s="344"/>
    </row>
    <row r="86">
      <c r="A86" s="519"/>
      <c r="B86" s="523"/>
      <c r="C86" s="523"/>
      <c r="D86" s="531" t="s">
        <v>130</v>
      </c>
      <c r="E86" s="532"/>
      <c r="F86" s="533" t="s">
        <v>2082</v>
      </c>
      <c r="G86" s="534" t="s">
        <v>1982</v>
      </c>
      <c r="H86" s="522" t="s">
        <v>2083</v>
      </c>
      <c r="I86" s="344"/>
      <c r="J86" s="344"/>
      <c r="K86" s="344"/>
      <c r="L86" s="344"/>
      <c r="M86" s="344"/>
      <c r="N86" s="344"/>
      <c r="O86" s="344"/>
      <c r="P86" s="344"/>
      <c r="Q86" s="344"/>
      <c r="R86" s="344"/>
      <c r="S86" s="344"/>
      <c r="T86" s="344"/>
      <c r="U86" s="344"/>
      <c r="V86" s="344"/>
      <c r="W86" s="344"/>
      <c r="X86" s="344"/>
      <c r="Y86" s="344"/>
      <c r="Z86" s="344"/>
      <c r="AA86" s="344"/>
      <c r="AB86" s="344"/>
      <c r="AC86" s="344"/>
      <c r="AD86" s="344"/>
    </row>
    <row r="87">
      <c r="A87" s="519"/>
      <c r="B87" s="523" t="s">
        <v>2084</v>
      </c>
      <c r="C87" s="523" t="s">
        <v>2085</v>
      </c>
      <c r="D87" s="531" t="s">
        <v>2086</v>
      </c>
      <c r="E87" s="532"/>
      <c r="F87" s="533" t="s">
        <v>2087</v>
      </c>
      <c r="G87" s="534" t="s">
        <v>1976</v>
      </c>
      <c r="H87" s="522" t="s">
        <v>2088</v>
      </c>
      <c r="I87" s="344"/>
      <c r="J87" s="344"/>
      <c r="K87" s="344"/>
      <c r="L87" s="344"/>
      <c r="M87" s="344"/>
      <c r="N87" s="344"/>
      <c r="O87" s="344"/>
      <c r="P87" s="344"/>
      <c r="Q87" s="344"/>
      <c r="R87" s="344"/>
      <c r="S87" s="344"/>
      <c r="T87" s="344"/>
      <c r="U87" s="344"/>
      <c r="V87" s="344"/>
      <c r="W87" s="344"/>
      <c r="X87" s="344"/>
      <c r="Y87" s="344"/>
      <c r="Z87" s="344"/>
      <c r="AA87" s="344"/>
      <c r="AB87" s="344"/>
      <c r="AC87" s="344"/>
      <c r="AD87" s="344"/>
    </row>
    <row r="88">
      <c r="A88" s="519"/>
      <c r="B88" s="523" t="s">
        <v>2089</v>
      </c>
      <c r="C88" s="523" t="s">
        <v>2090</v>
      </c>
      <c r="D88" s="531" t="s">
        <v>2091</v>
      </c>
      <c r="E88" s="532"/>
      <c r="F88" s="533" t="s">
        <v>2092</v>
      </c>
      <c r="G88" s="534" t="s">
        <v>1887</v>
      </c>
      <c r="H88" s="522" t="s">
        <v>1949</v>
      </c>
      <c r="I88" s="344"/>
      <c r="J88" s="344"/>
      <c r="K88" s="344"/>
      <c r="L88" s="344"/>
      <c r="M88" s="344"/>
      <c r="N88" s="344"/>
      <c r="O88" s="344"/>
      <c r="P88" s="344"/>
      <c r="Q88" s="344"/>
      <c r="R88" s="344"/>
      <c r="S88" s="344"/>
      <c r="T88" s="344"/>
      <c r="U88" s="344"/>
      <c r="V88" s="344"/>
      <c r="W88" s="344"/>
      <c r="X88" s="344"/>
      <c r="Y88" s="344"/>
      <c r="Z88" s="344"/>
      <c r="AA88" s="344"/>
      <c r="AB88" s="344"/>
      <c r="AC88" s="344"/>
      <c r="AD88" s="344"/>
    </row>
    <row r="89">
      <c r="A89" s="519"/>
      <c r="B89" s="523" t="s">
        <v>2093</v>
      </c>
      <c r="C89" s="523" t="s">
        <v>2094</v>
      </c>
      <c r="D89" s="531" t="s">
        <v>172</v>
      </c>
      <c r="E89" s="531" t="s">
        <v>2095</v>
      </c>
      <c r="F89" s="533" t="s">
        <v>2096</v>
      </c>
      <c r="G89" s="534" t="s">
        <v>1887</v>
      </c>
      <c r="H89" s="522" t="s">
        <v>1949</v>
      </c>
      <c r="I89" s="344"/>
      <c r="J89" s="344"/>
      <c r="K89" s="344"/>
      <c r="L89" s="344"/>
      <c r="M89" s="344"/>
      <c r="N89" s="344"/>
      <c r="O89" s="344"/>
      <c r="P89" s="344"/>
      <c r="Q89" s="344"/>
      <c r="R89" s="344"/>
      <c r="S89" s="344"/>
      <c r="T89" s="344"/>
      <c r="U89" s="344"/>
      <c r="V89" s="344"/>
      <c r="W89" s="344"/>
      <c r="X89" s="344"/>
      <c r="Y89" s="344"/>
      <c r="Z89" s="344"/>
      <c r="AA89" s="344"/>
      <c r="AB89" s="344"/>
      <c r="AC89" s="344"/>
      <c r="AD89" s="344"/>
    </row>
    <row r="90">
      <c r="A90" s="519"/>
      <c r="B90" s="523"/>
      <c r="C90" s="523"/>
      <c r="D90" s="531" t="s">
        <v>170</v>
      </c>
      <c r="E90" s="531"/>
      <c r="F90" s="533" t="s">
        <v>2097</v>
      </c>
      <c r="G90" s="534" t="s">
        <v>1976</v>
      </c>
      <c r="H90" s="522" t="s">
        <v>2098</v>
      </c>
      <c r="I90" s="344"/>
      <c r="J90" s="344"/>
      <c r="K90" s="344"/>
      <c r="L90" s="344"/>
      <c r="M90" s="344"/>
      <c r="N90" s="344"/>
      <c r="O90" s="344"/>
      <c r="P90" s="344"/>
      <c r="Q90" s="344"/>
      <c r="R90" s="344"/>
      <c r="S90" s="344"/>
      <c r="T90" s="344"/>
      <c r="U90" s="344"/>
      <c r="V90" s="344"/>
      <c r="W90" s="344"/>
      <c r="X90" s="344"/>
      <c r="Y90" s="344"/>
      <c r="Z90" s="344"/>
      <c r="AA90" s="344"/>
      <c r="AB90" s="344"/>
      <c r="AC90" s="344"/>
      <c r="AD90" s="344"/>
    </row>
    <row r="91">
      <c r="A91" s="519"/>
      <c r="B91" s="523"/>
      <c r="C91" s="523"/>
      <c r="D91" s="531"/>
      <c r="E91" s="531"/>
      <c r="F91" s="533" t="s">
        <v>2099</v>
      </c>
      <c r="G91" s="534" t="s">
        <v>1976</v>
      </c>
      <c r="H91" s="522" t="s">
        <v>2100</v>
      </c>
      <c r="I91" s="344"/>
      <c r="J91" s="344"/>
      <c r="K91" s="344"/>
      <c r="L91" s="344"/>
      <c r="M91" s="344"/>
      <c r="N91" s="344"/>
      <c r="O91" s="344"/>
      <c r="P91" s="344"/>
      <c r="Q91" s="344"/>
      <c r="R91" s="344"/>
      <c r="S91" s="344"/>
      <c r="T91" s="344"/>
      <c r="U91" s="344"/>
      <c r="V91" s="344"/>
      <c r="W91" s="344"/>
      <c r="X91" s="344"/>
      <c r="Y91" s="344"/>
      <c r="Z91" s="344"/>
      <c r="AA91" s="344"/>
      <c r="AB91" s="344"/>
      <c r="AC91" s="344"/>
      <c r="AD91" s="344"/>
    </row>
    <row r="92">
      <c r="A92" s="519" t="str">
        <f>'Tabel Suplemen A1'!B8</f>
        <v>Mampu merancang, mengimplementasikan, menguji, melakukan deployment, memelihara, serta menjamin mutu perangkat lunak yang menjawab permasalahan dan memenuhi kebutuhan stakeholder.</v>
      </c>
      <c r="B92" s="527" t="s">
        <v>2101</v>
      </c>
      <c r="C92" s="527" t="s">
        <v>2102</v>
      </c>
      <c r="D92" s="531" t="s">
        <v>86</v>
      </c>
      <c r="E92" s="532"/>
      <c r="F92" s="533" t="s">
        <v>2103</v>
      </c>
      <c r="G92" s="534" t="s">
        <v>1887</v>
      </c>
      <c r="H92" s="522" t="s">
        <v>1924</v>
      </c>
      <c r="I92" s="344"/>
      <c r="J92" s="344"/>
      <c r="K92" s="344"/>
      <c r="L92" s="344"/>
      <c r="M92" s="344"/>
      <c r="N92" s="344"/>
      <c r="O92" s="344"/>
      <c r="P92" s="344"/>
      <c r="Q92" s="344"/>
      <c r="R92" s="344"/>
      <c r="S92" s="344"/>
      <c r="T92" s="344"/>
      <c r="U92" s="344"/>
      <c r="V92" s="344"/>
      <c r="W92" s="344"/>
      <c r="X92" s="344"/>
      <c r="Y92" s="344"/>
      <c r="Z92" s="344"/>
      <c r="AA92" s="344"/>
      <c r="AB92" s="344"/>
      <c r="AC92" s="344"/>
      <c r="AD92" s="344"/>
    </row>
    <row r="93">
      <c r="A93" s="510"/>
      <c r="B93" s="527" t="s">
        <v>2104</v>
      </c>
      <c r="C93" s="527" t="s">
        <v>2105</v>
      </c>
      <c r="D93" s="531" t="s">
        <v>1918</v>
      </c>
      <c r="E93" s="532"/>
      <c r="F93" s="533" t="s">
        <v>2106</v>
      </c>
      <c r="G93" s="534" t="s">
        <v>1912</v>
      </c>
      <c r="H93" s="522" t="s">
        <v>1913</v>
      </c>
      <c r="I93" s="344"/>
      <c r="J93" s="344"/>
      <c r="K93" s="344"/>
      <c r="L93" s="344"/>
      <c r="M93" s="344"/>
      <c r="N93" s="344"/>
      <c r="O93" s="344"/>
      <c r="P93" s="344"/>
      <c r="Q93" s="344"/>
      <c r="R93" s="344"/>
      <c r="S93" s="344"/>
      <c r="T93" s="344"/>
      <c r="U93" s="344"/>
      <c r="V93" s="344"/>
      <c r="W93" s="344"/>
      <c r="X93" s="344"/>
      <c r="Y93" s="344"/>
      <c r="Z93" s="344"/>
      <c r="AA93" s="344"/>
      <c r="AB93" s="344"/>
      <c r="AC93" s="344"/>
      <c r="AD93" s="344"/>
    </row>
    <row r="94">
      <c r="A94" s="510"/>
      <c r="B94" s="527"/>
      <c r="C94" s="527"/>
      <c r="D94" s="531" t="s">
        <v>90</v>
      </c>
      <c r="E94" s="532"/>
      <c r="F94" s="533" t="s">
        <v>2107</v>
      </c>
      <c r="G94" s="534" t="s">
        <v>1976</v>
      </c>
      <c r="H94" s="522" t="s">
        <v>2108</v>
      </c>
      <c r="I94" s="344"/>
      <c r="J94" s="344"/>
      <c r="K94" s="344"/>
      <c r="L94" s="344"/>
      <c r="M94" s="344"/>
      <c r="N94" s="344"/>
      <c r="O94" s="344"/>
      <c r="P94" s="344"/>
      <c r="Q94" s="344"/>
      <c r="R94" s="344"/>
      <c r="S94" s="344"/>
      <c r="T94" s="344"/>
      <c r="U94" s="344"/>
      <c r="V94" s="344"/>
      <c r="W94" s="344"/>
      <c r="X94" s="344"/>
      <c r="Y94" s="344"/>
      <c r="Z94" s="344"/>
      <c r="AA94" s="344"/>
      <c r="AB94" s="344"/>
      <c r="AC94" s="344"/>
      <c r="AD94" s="344"/>
    </row>
    <row r="95">
      <c r="A95" s="510"/>
      <c r="B95" s="527"/>
      <c r="C95" s="527"/>
      <c r="D95" s="531" t="s">
        <v>2109</v>
      </c>
      <c r="E95" s="532"/>
      <c r="F95" s="533" t="s">
        <v>2110</v>
      </c>
      <c r="G95" s="534" t="s">
        <v>1887</v>
      </c>
      <c r="H95" s="522" t="s">
        <v>1924</v>
      </c>
      <c r="I95" s="344"/>
      <c r="J95" s="344"/>
      <c r="K95" s="344"/>
      <c r="L95" s="344"/>
      <c r="M95" s="344"/>
      <c r="N95" s="344"/>
      <c r="O95" s="344"/>
      <c r="P95" s="344"/>
      <c r="Q95" s="344"/>
      <c r="R95" s="344"/>
      <c r="S95" s="344"/>
      <c r="T95" s="344"/>
      <c r="U95" s="344"/>
      <c r="V95" s="344"/>
      <c r="W95" s="344"/>
      <c r="X95" s="344"/>
      <c r="Y95" s="344"/>
      <c r="Z95" s="344"/>
      <c r="AA95" s="344"/>
      <c r="AB95" s="344"/>
      <c r="AC95" s="344"/>
      <c r="AD95" s="344"/>
    </row>
    <row r="96">
      <c r="A96" s="510"/>
      <c r="B96" s="527"/>
      <c r="C96" s="527"/>
      <c r="D96" s="531" t="s">
        <v>163</v>
      </c>
      <c r="E96" s="532"/>
      <c r="F96" s="533" t="s">
        <v>2111</v>
      </c>
      <c r="G96" s="534" t="s">
        <v>1912</v>
      </c>
      <c r="H96" s="522" t="s">
        <v>1913</v>
      </c>
      <c r="I96" s="344"/>
      <c r="J96" s="344"/>
      <c r="K96" s="344"/>
      <c r="L96" s="344"/>
      <c r="M96" s="344"/>
      <c r="N96" s="344"/>
      <c r="O96" s="344"/>
      <c r="P96" s="344"/>
      <c r="Q96" s="344"/>
      <c r="R96" s="344"/>
      <c r="S96" s="344"/>
      <c r="T96" s="344"/>
      <c r="U96" s="344"/>
      <c r="V96" s="344"/>
      <c r="W96" s="344"/>
      <c r="X96" s="344"/>
      <c r="Y96" s="344"/>
      <c r="Z96" s="344"/>
      <c r="AA96" s="344"/>
      <c r="AB96" s="344"/>
      <c r="AC96" s="344"/>
      <c r="AD96" s="344"/>
    </row>
    <row r="97">
      <c r="A97" s="510"/>
      <c r="B97" s="527"/>
      <c r="C97" s="527"/>
      <c r="D97" s="531" t="s">
        <v>136</v>
      </c>
      <c r="E97" s="532"/>
      <c r="F97" s="533" t="s">
        <v>2112</v>
      </c>
      <c r="G97" s="534" t="s">
        <v>2003</v>
      </c>
      <c r="H97" s="522" t="s">
        <v>2113</v>
      </c>
      <c r="I97" s="344"/>
      <c r="J97" s="344"/>
      <c r="K97" s="344"/>
      <c r="L97" s="344"/>
      <c r="M97" s="344"/>
      <c r="N97" s="344"/>
      <c r="O97" s="344"/>
      <c r="P97" s="344"/>
      <c r="Q97" s="344"/>
      <c r="R97" s="344"/>
      <c r="S97" s="344"/>
      <c r="T97" s="344"/>
      <c r="U97" s="344"/>
      <c r="V97" s="344"/>
      <c r="W97" s="344"/>
      <c r="X97" s="344"/>
      <c r="Y97" s="344"/>
      <c r="Z97" s="344"/>
      <c r="AA97" s="344"/>
      <c r="AB97" s="344"/>
      <c r="AC97" s="344"/>
      <c r="AD97" s="344"/>
    </row>
    <row r="98">
      <c r="A98" s="510"/>
      <c r="B98" s="527"/>
      <c r="C98" s="527"/>
      <c r="D98" s="531"/>
      <c r="E98" s="532"/>
      <c r="F98" s="533" t="s">
        <v>2114</v>
      </c>
      <c r="G98" s="534" t="s">
        <v>2115</v>
      </c>
      <c r="H98" s="522" t="s">
        <v>2113</v>
      </c>
      <c r="I98" s="344"/>
      <c r="J98" s="344"/>
      <c r="K98" s="344"/>
      <c r="L98" s="344"/>
      <c r="M98" s="344"/>
      <c r="N98" s="344"/>
      <c r="O98" s="344"/>
      <c r="P98" s="344"/>
      <c r="Q98" s="344"/>
      <c r="R98" s="344"/>
      <c r="S98" s="344"/>
      <c r="T98" s="344"/>
      <c r="U98" s="344"/>
      <c r="V98" s="344"/>
      <c r="W98" s="344"/>
      <c r="X98" s="344"/>
      <c r="Y98" s="344"/>
      <c r="Z98" s="344"/>
      <c r="AA98" s="344"/>
      <c r="AB98" s="344"/>
      <c r="AC98" s="344"/>
      <c r="AD98" s="344"/>
    </row>
    <row r="99">
      <c r="A99" s="510"/>
      <c r="B99" s="527" t="s">
        <v>2116</v>
      </c>
      <c r="C99" s="527" t="s">
        <v>2117</v>
      </c>
      <c r="D99" s="531" t="s">
        <v>232</v>
      </c>
      <c r="E99" s="532"/>
      <c r="F99" s="533" t="s">
        <v>2118</v>
      </c>
      <c r="G99" s="534" t="s">
        <v>2119</v>
      </c>
      <c r="H99" s="522" t="s">
        <v>2120</v>
      </c>
      <c r="I99" s="344"/>
      <c r="J99" s="344"/>
      <c r="K99" s="344"/>
      <c r="L99" s="344"/>
      <c r="M99" s="344"/>
      <c r="N99" s="344"/>
      <c r="O99" s="344"/>
      <c r="P99" s="344"/>
      <c r="Q99" s="344"/>
      <c r="R99" s="344"/>
      <c r="S99" s="344"/>
      <c r="T99" s="344"/>
      <c r="U99" s="344"/>
      <c r="V99" s="344"/>
      <c r="W99" s="344"/>
      <c r="X99" s="344"/>
      <c r="Y99" s="344"/>
      <c r="Z99" s="344"/>
      <c r="AA99" s="344"/>
      <c r="AB99" s="344"/>
      <c r="AC99" s="344"/>
      <c r="AD99" s="344"/>
    </row>
    <row r="100">
      <c r="A100" s="510"/>
      <c r="B100" s="527"/>
      <c r="C100" s="527"/>
      <c r="D100" s="531" t="s">
        <v>132</v>
      </c>
      <c r="E100" s="532"/>
      <c r="F100" s="533" t="s">
        <v>2121</v>
      </c>
      <c r="G100" s="534" t="s">
        <v>2122</v>
      </c>
      <c r="H100" s="522" t="s">
        <v>2123</v>
      </c>
      <c r="I100" s="344"/>
      <c r="J100" s="344"/>
      <c r="K100" s="344"/>
      <c r="L100" s="344"/>
      <c r="M100" s="344"/>
      <c r="N100" s="344"/>
      <c r="O100" s="344"/>
      <c r="P100" s="344"/>
      <c r="Q100" s="344"/>
      <c r="R100" s="344"/>
      <c r="S100" s="344"/>
      <c r="T100" s="344"/>
      <c r="U100" s="344"/>
      <c r="V100" s="344"/>
      <c r="W100" s="344"/>
      <c r="X100" s="344"/>
      <c r="Y100" s="344"/>
      <c r="Z100" s="344"/>
      <c r="AA100" s="344"/>
      <c r="AB100" s="344"/>
      <c r="AC100" s="344"/>
      <c r="AD100" s="344"/>
    </row>
    <row r="101">
      <c r="A101" s="510"/>
      <c r="B101" s="527"/>
      <c r="C101" s="527"/>
      <c r="D101" s="531" t="s">
        <v>143</v>
      </c>
      <c r="E101" s="532"/>
      <c r="F101" s="533" t="s">
        <v>2124</v>
      </c>
      <c r="G101" s="534" t="s">
        <v>2125</v>
      </c>
      <c r="H101" s="522" t="s">
        <v>2126</v>
      </c>
      <c r="I101" s="344"/>
      <c r="J101" s="344"/>
      <c r="K101" s="344"/>
      <c r="L101" s="344"/>
      <c r="M101" s="344"/>
      <c r="N101" s="344"/>
      <c r="O101" s="344"/>
      <c r="P101" s="344"/>
      <c r="Q101" s="344"/>
      <c r="R101" s="344"/>
      <c r="S101" s="344"/>
      <c r="T101" s="344"/>
      <c r="U101" s="344"/>
      <c r="V101" s="344"/>
      <c r="W101" s="344"/>
      <c r="X101" s="344"/>
      <c r="Y101" s="344"/>
      <c r="Z101" s="344"/>
      <c r="AA101" s="344"/>
      <c r="AB101" s="344"/>
      <c r="AC101" s="344"/>
      <c r="AD101" s="344"/>
    </row>
    <row r="102">
      <c r="A102" s="510"/>
      <c r="B102" s="527"/>
      <c r="C102" s="527"/>
      <c r="D102" s="531" t="s">
        <v>160</v>
      </c>
      <c r="E102" s="532"/>
      <c r="F102" s="533" t="s">
        <v>2127</v>
      </c>
      <c r="G102" s="534" t="s">
        <v>1989</v>
      </c>
      <c r="H102" s="522" t="s">
        <v>2128</v>
      </c>
      <c r="I102" s="344"/>
      <c r="J102" s="344"/>
      <c r="K102" s="344"/>
      <c r="L102" s="344"/>
      <c r="M102" s="344"/>
      <c r="N102" s="344"/>
      <c r="O102" s="344"/>
      <c r="P102" s="344"/>
      <c r="Q102" s="344"/>
      <c r="R102" s="344"/>
      <c r="S102" s="344"/>
      <c r="T102" s="344"/>
      <c r="U102" s="344"/>
      <c r="V102" s="344"/>
      <c r="W102" s="344"/>
      <c r="X102" s="344"/>
      <c r="Y102" s="344"/>
      <c r="Z102" s="344"/>
      <c r="AA102" s="344"/>
      <c r="AB102" s="344"/>
      <c r="AC102" s="344"/>
      <c r="AD102" s="344"/>
    </row>
    <row r="103">
      <c r="A103" s="510"/>
      <c r="B103" s="527" t="s">
        <v>2129</v>
      </c>
      <c r="C103" s="527" t="s">
        <v>2130</v>
      </c>
      <c r="D103" s="531" t="s">
        <v>149</v>
      </c>
      <c r="E103" s="532"/>
      <c r="F103" s="533" t="s">
        <v>2131</v>
      </c>
      <c r="G103" s="534" t="s">
        <v>1887</v>
      </c>
      <c r="H103" s="522" t="s">
        <v>1949</v>
      </c>
      <c r="I103" s="344"/>
      <c r="J103" s="344"/>
      <c r="K103" s="344"/>
      <c r="L103" s="344"/>
      <c r="M103" s="344"/>
      <c r="N103" s="344"/>
      <c r="O103" s="344"/>
      <c r="P103" s="344"/>
      <c r="Q103" s="344"/>
      <c r="R103" s="344"/>
      <c r="S103" s="344"/>
      <c r="T103" s="344"/>
      <c r="U103" s="344"/>
      <c r="V103" s="344"/>
      <c r="W103" s="344"/>
      <c r="X103" s="344"/>
      <c r="Y103" s="344"/>
      <c r="Z103" s="344"/>
      <c r="AA103" s="344"/>
      <c r="AB103" s="344"/>
      <c r="AC103" s="344"/>
      <c r="AD103" s="344"/>
    </row>
    <row r="104">
      <c r="A104" s="510"/>
      <c r="B104" s="527" t="s">
        <v>2132</v>
      </c>
      <c r="C104" s="527" t="s">
        <v>2133</v>
      </c>
      <c r="D104" s="531" t="s">
        <v>113</v>
      </c>
      <c r="E104" s="532"/>
      <c r="F104" s="533" t="s">
        <v>2134</v>
      </c>
      <c r="G104" s="534" t="s">
        <v>2135</v>
      </c>
      <c r="H104" s="522" t="s">
        <v>2136</v>
      </c>
      <c r="I104" s="344"/>
      <c r="J104" s="344"/>
      <c r="K104" s="344"/>
      <c r="L104" s="344"/>
      <c r="M104" s="344"/>
      <c r="N104" s="344"/>
      <c r="O104" s="344"/>
      <c r="P104" s="344"/>
      <c r="Q104" s="344"/>
      <c r="R104" s="344"/>
      <c r="S104" s="344"/>
      <c r="T104" s="344"/>
      <c r="U104" s="344"/>
      <c r="V104" s="344"/>
      <c r="W104" s="344"/>
      <c r="X104" s="344"/>
      <c r="Y104" s="344"/>
      <c r="Z104" s="344"/>
      <c r="AA104" s="344"/>
      <c r="AB104" s="344"/>
      <c r="AC104" s="344"/>
      <c r="AD104" s="344"/>
    </row>
    <row r="105">
      <c r="A105" s="510"/>
      <c r="B105" s="527"/>
      <c r="C105" s="527"/>
      <c r="D105" s="531" t="s">
        <v>149</v>
      </c>
      <c r="E105" s="532"/>
      <c r="F105" s="533" t="s">
        <v>2137</v>
      </c>
      <c r="G105" s="534" t="s">
        <v>1887</v>
      </c>
      <c r="H105" s="522" t="s">
        <v>1949</v>
      </c>
      <c r="I105" s="344"/>
      <c r="J105" s="344"/>
      <c r="K105" s="344"/>
      <c r="L105" s="344"/>
      <c r="M105" s="344"/>
      <c r="N105" s="344"/>
      <c r="O105" s="344"/>
      <c r="P105" s="344"/>
      <c r="Q105" s="344"/>
      <c r="R105" s="344"/>
      <c r="S105" s="344"/>
      <c r="T105" s="344"/>
      <c r="U105" s="344"/>
      <c r="V105" s="344"/>
      <c r="W105" s="344"/>
      <c r="X105" s="344"/>
      <c r="Y105" s="344"/>
      <c r="Z105" s="344"/>
      <c r="AA105" s="344"/>
      <c r="AB105" s="344"/>
      <c r="AC105" s="344"/>
      <c r="AD105" s="344"/>
    </row>
    <row r="106">
      <c r="A106" s="510"/>
      <c r="B106" s="527" t="s">
        <v>2138</v>
      </c>
      <c r="C106" s="527" t="s">
        <v>2139</v>
      </c>
      <c r="D106" s="531" t="s">
        <v>199</v>
      </c>
      <c r="E106" s="532"/>
      <c r="F106" s="533" t="s">
        <v>2140</v>
      </c>
      <c r="G106" s="534" t="s">
        <v>1912</v>
      </c>
      <c r="H106" s="522" t="s">
        <v>1913</v>
      </c>
      <c r="I106" s="344"/>
      <c r="J106" s="344"/>
      <c r="K106" s="344"/>
      <c r="L106" s="344"/>
      <c r="M106" s="344"/>
      <c r="N106" s="344"/>
      <c r="O106" s="344"/>
      <c r="P106" s="344"/>
      <c r="Q106" s="344"/>
      <c r="R106" s="344"/>
      <c r="S106" s="344"/>
      <c r="T106" s="344"/>
      <c r="U106" s="344"/>
      <c r="V106" s="344"/>
      <c r="W106" s="344"/>
      <c r="X106" s="344"/>
      <c r="Y106" s="344"/>
      <c r="Z106" s="344"/>
      <c r="AA106" s="344"/>
      <c r="AB106" s="344"/>
      <c r="AC106" s="344"/>
      <c r="AD106" s="344"/>
    </row>
    <row r="107">
      <c r="A107" s="510"/>
      <c r="B107" s="527"/>
      <c r="C107" s="527"/>
      <c r="D107" s="531" t="s">
        <v>1918</v>
      </c>
      <c r="E107" s="532"/>
      <c r="F107" s="533" t="s">
        <v>2141</v>
      </c>
      <c r="G107" s="534" t="s">
        <v>1912</v>
      </c>
      <c r="H107" s="522" t="s">
        <v>1913</v>
      </c>
      <c r="I107" s="344"/>
      <c r="J107" s="344"/>
      <c r="K107" s="344"/>
      <c r="L107" s="344"/>
      <c r="M107" s="344"/>
      <c r="N107" s="344"/>
      <c r="O107" s="344"/>
      <c r="P107" s="344"/>
      <c r="Q107" s="344"/>
      <c r="R107" s="344"/>
      <c r="S107" s="344"/>
      <c r="T107" s="344"/>
      <c r="U107" s="344"/>
      <c r="V107" s="344"/>
      <c r="W107" s="344"/>
      <c r="X107" s="344"/>
      <c r="Y107" s="344"/>
      <c r="Z107" s="344"/>
      <c r="AA107" s="344"/>
      <c r="AB107" s="344"/>
      <c r="AC107" s="344"/>
      <c r="AD107" s="344"/>
    </row>
    <row r="108">
      <c r="A108" s="510"/>
      <c r="B108" s="527"/>
      <c r="C108" s="527"/>
      <c r="D108" s="531" t="s">
        <v>90</v>
      </c>
      <c r="E108" s="532"/>
      <c r="F108" s="533" t="s">
        <v>2142</v>
      </c>
      <c r="G108" s="534" t="s">
        <v>1976</v>
      </c>
      <c r="H108" s="522" t="s">
        <v>2143</v>
      </c>
      <c r="I108" s="344"/>
      <c r="J108" s="344"/>
      <c r="K108" s="344"/>
      <c r="L108" s="344"/>
      <c r="M108" s="344"/>
      <c r="N108" s="344"/>
      <c r="O108" s="344"/>
      <c r="P108" s="344"/>
      <c r="Q108" s="344"/>
      <c r="R108" s="344"/>
      <c r="S108" s="344"/>
      <c r="T108" s="344"/>
      <c r="U108" s="344"/>
      <c r="V108" s="344"/>
      <c r="W108" s="344"/>
      <c r="X108" s="344"/>
      <c r="Y108" s="344"/>
      <c r="Z108" s="344"/>
      <c r="AA108" s="344"/>
      <c r="AB108" s="344"/>
      <c r="AC108" s="344"/>
      <c r="AD108" s="344"/>
    </row>
    <row r="109">
      <c r="A109" s="510"/>
      <c r="B109" s="527"/>
      <c r="C109" s="527"/>
      <c r="D109" s="531" t="s">
        <v>2144</v>
      </c>
      <c r="E109" s="532"/>
      <c r="F109" s="533" t="s">
        <v>2145</v>
      </c>
      <c r="G109" s="534" t="s">
        <v>1887</v>
      </c>
      <c r="H109" s="522" t="s">
        <v>1924</v>
      </c>
      <c r="I109" s="344"/>
      <c r="J109" s="344"/>
      <c r="K109" s="344"/>
      <c r="L109" s="344"/>
      <c r="M109" s="344"/>
      <c r="N109" s="344"/>
      <c r="O109" s="344"/>
      <c r="P109" s="344"/>
      <c r="Q109" s="344"/>
      <c r="R109" s="344"/>
      <c r="S109" s="344"/>
      <c r="T109" s="344"/>
      <c r="U109" s="344"/>
      <c r="V109" s="344"/>
      <c r="W109" s="344"/>
      <c r="X109" s="344"/>
      <c r="Y109" s="344"/>
      <c r="Z109" s="344"/>
      <c r="AA109" s="344"/>
      <c r="AB109" s="344"/>
      <c r="AC109" s="344"/>
      <c r="AD109" s="344"/>
    </row>
    <row r="110">
      <c r="A110" s="510"/>
      <c r="B110" s="527"/>
      <c r="C110" s="527"/>
      <c r="D110" s="531" t="s">
        <v>113</v>
      </c>
      <c r="E110" s="532"/>
      <c r="F110" s="533" t="s">
        <v>2146</v>
      </c>
      <c r="G110" s="534" t="s">
        <v>2147</v>
      </c>
      <c r="H110" s="522" t="s">
        <v>2148</v>
      </c>
      <c r="I110" s="344"/>
      <c r="J110" s="344"/>
      <c r="K110" s="344"/>
      <c r="L110" s="344"/>
      <c r="M110" s="344"/>
      <c r="N110" s="344"/>
      <c r="O110" s="344"/>
      <c r="P110" s="344"/>
      <c r="Q110" s="344"/>
      <c r="R110" s="344"/>
      <c r="S110" s="344"/>
      <c r="T110" s="344"/>
      <c r="U110" s="344"/>
      <c r="V110" s="344"/>
      <c r="W110" s="344"/>
      <c r="X110" s="344"/>
      <c r="Y110" s="344"/>
      <c r="Z110" s="344"/>
      <c r="AA110" s="344"/>
      <c r="AB110" s="344"/>
      <c r="AC110" s="344"/>
      <c r="AD110" s="344"/>
    </row>
    <row r="111">
      <c r="A111" s="510"/>
      <c r="B111" s="527"/>
      <c r="C111" s="527"/>
      <c r="D111" s="531" t="s">
        <v>163</v>
      </c>
      <c r="E111" s="532"/>
      <c r="F111" s="533" t="s">
        <v>2149</v>
      </c>
      <c r="G111" s="534" t="s">
        <v>1912</v>
      </c>
      <c r="H111" s="522" t="s">
        <v>1913</v>
      </c>
      <c r="I111" s="344"/>
      <c r="J111" s="344"/>
      <c r="K111" s="344"/>
      <c r="L111" s="344"/>
      <c r="M111" s="344"/>
      <c r="N111" s="344"/>
      <c r="O111" s="344"/>
      <c r="P111" s="344"/>
      <c r="Q111" s="344"/>
      <c r="R111" s="344"/>
      <c r="S111" s="344"/>
      <c r="T111" s="344"/>
      <c r="U111" s="344"/>
      <c r="V111" s="344"/>
      <c r="W111" s="344"/>
      <c r="X111" s="344"/>
      <c r="Y111" s="344"/>
      <c r="Z111" s="344"/>
      <c r="AA111" s="344"/>
      <c r="AB111" s="344"/>
      <c r="AC111" s="344"/>
      <c r="AD111" s="344"/>
    </row>
    <row r="112">
      <c r="A112" s="510"/>
      <c r="B112" s="527"/>
      <c r="C112" s="527"/>
      <c r="D112" s="531" t="s">
        <v>136</v>
      </c>
      <c r="E112" s="532"/>
      <c r="F112" s="533" t="s">
        <v>2150</v>
      </c>
      <c r="G112" s="534" t="s">
        <v>2151</v>
      </c>
      <c r="H112" s="522" t="s">
        <v>2113</v>
      </c>
      <c r="I112" s="344"/>
      <c r="J112" s="344"/>
      <c r="K112" s="344"/>
      <c r="L112" s="344"/>
      <c r="M112" s="344"/>
      <c r="N112" s="344"/>
      <c r="O112" s="344"/>
      <c r="P112" s="344"/>
      <c r="Q112" s="344"/>
      <c r="R112" s="344"/>
      <c r="S112" s="344"/>
      <c r="T112" s="344"/>
      <c r="U112" s="344"/>
      <c r="V112" s="344"/>
      <c r="W112" s="344"/>
      <c r="X112" s="344"/>
      <c r="Y112" s="344"/>
      <c r="Z112" s="344"/>
      <c r="AA112" s="344"/>
      <c r="AB112" s="344"/>
      <c r="AC112" s="344"/>
      <c r="AD112" s="344"/>
    </row>
    <row r="113">
      <c r="A113" s="510"/>
      <c r="B113" s="527" t="s">
        <v>2152</v>
      </c>
      <c r="C113" s="527" t="s">
        <v>2153</v>
      </c>
      <c r="D113" s="531" t="s">
        <v>149</v>
      </c>
      <c r="E113" s="532"/>
      <c r="F113" s="533" t="s">
        <v>2154</v>
      </c>
      <c r="G113" s="534" t="s">
        <v>1887</v>
      </c>
      <c r="H113" s="522" t="s">
        <v>1949</v>
      </c>
      <c r="I113" s="344"/>
      <c r="J113" s="344"/>
      <c r="K113" s="344"/>
      <c r="L113" s="344"/>
      <c r="M113" s="344"/>
      <c r="N113" s="344"/>
      <c r="O113" s="344"/>
      <c r="P113" s="344"/>
      <c r="Q113" s="344"/>
      <c r="R113" s="344"/>
      <c r="S113" s="344"/>
      <c r="T113" s="344"/>
      <c r="U113" s="344"/>
      <c r="V113" s="344"/>
      <c r="W113" s="344"/>
      <c r="X113" s="344"/>
      <c r="Y113" s="344"/>
      <c r="Z113" s="344"/>
      <c r="AA113" s="344"/>
      <c r="AB113" s="344"/>
      <c r="AC113" s="344"/>
      <c r="AD113" s="344"/>
    </row>
    <row r="114">
      <c r="A114" s="510"/>
      <c r="B114" s="527" t="s">
        <v>2155</v>
      </c>
      <c r="C114" s="527" t="s">
        <v>2156</v>
      </c>
      <c r="D114" s="531" t="s">
        <v>2109</v>
      </c>
      <c r="E114" s="532"/>
      <c r="F114" s="533" t="s">
        <v>2157</v>
      </c>
      <c r="G114" s="534" t="s">
        <v>1887</v>
      </c>
      <c r="H114" s="522" t="s">
        <v>1924</v>
      </c>
      <c r="I114" s="344"/>
      <c r="J114" s="344"/>
      <c r="K114" s="344"/>
      <c r="L114" s="344"/>
      <c r="M114" s="344"/>
      <c r="N114" s="344"/>
      <c r="O114" s="344"/>
      <c r="P114" s="344"/>
      <c r="Q114" s="344"/>
      <c r="R114" s="344"/>
      <c r="S114" s="344"/>
      <c r="T114" s="344"/>
      <c r="U114" s="344"/>
      <c r="V114" s="344"/>
      <c r="W114" s="344"/>
      <c r="X114" s="344"/>
      <c r="Y114" s="344"/>
      <c r="Z114" s="344"/>
      <c r="AA114" s="344"/>
      <c r="AB114" s="344"/>
      <c r="AC114" s="344"/>
      <c r="AD114" s="344"/>
    </row>
    <row r="115">
      <c r="A115" s="535" t="str">
        <f>'Tabel Suplemen A1'!B9</f>
        <v>Mampu mengembangkan sistem komputasi cerdas, analisis data dengan menerapkan algoritma dan teknik kecerdasan artifisial secara tepat guna</v>
      </c>
      <c r="B115" s="527" t="s">
        <v>2158</v>
      </c>
      <c r="C115" s="527" t="s">
        <v>2159</v>
      </c>
      <c r="D115" s="531" t="s">
        <v>94</v>
      </c>
      <c r="E115" s="536"/>
      <c r="F115" s="533" t="s">
        <v>2160</v>
      </c>
      <c r="G115" s="534" t="s">
        <v>2161</v>
      </c>
      <c r="H115" s="522" t="s">
        <v>2162</v>
      </c>
      <c r="I115" s="344"/>
      <c r="J115" s="344"/>
      <c r="K115" s="344"/>
      <c r="L115" s="344"/>
      <c r="M115" s="344"/>
      <c r="N115" s="344"/>
      <c r="O115" s="344"/>
      <c r="P115" s="344"/>
      <c r="Q115" s="344"/>
      <c r="R115" s="344"/>
      <c r="S115" s="344"/>
      <c r="T115" s="344"/>
      <c r="U115" s="344"/>
      <c r="V115" s="344"/>
      <c r="W115" s="344"/>
      <c r="X115" s="344"/>
      <c r="Y115" s="344"/>
      <c r="Z115" s="344"/>
      <c r="AA115" s="344"/>
      <c r="AB115" s="344"/>
      <c r="AC115" s="344"/>
      <c r="AD115" s="344"/>
    </row>
    <row r="116">
      <c r="A116" s="535"/>
      <c r="B116" s="527"/>
      <c r="C116" s="527"/>
      <c r="D116" s="531" t="s">
        <v>109</v>
      </c>
      <c r="E116" s="536"/>
      <c r="F116" s="533" t="s">
        <v>2163</v>
      </c>
      <c r="G116" s="534" t="s">
        <v>2164</v>
      </c>
      <c r="H116" s="522" t="s">
        <v>2165</v>
      </c>
      <c r="I116" s="344"/>
      <c r="J116" s="344"/>
      <c r="K116" s="344"/>
      <c r="L116" s="344"/>
      <c r="M116" s="344"/>
      <c r="N116" s="344"/>
      <c r="O116" s="344"/>
      <c r="P116" s="344"/>
      <c r="Q116" s="344"/>
      <c r="R116" s="344"/>
      <c r="S116" s="344"/>
      <c r="T116" s="344"/>
      <c r="U116" s="344"/>
      <c r="V116" s="344"/>
      <c r="W116" s="344"/>
      <c r="X116" s="344"/>
      <c r="Y116" s="344"/>
      <c r="Z116" s="344"/>
      <c r="AA116" s="344"/>
      <c r="AB116" s="344"/>
      <c r="AC116" s="344"/>
      <c r="AD116" s="344"/>
    </row>
    <row r="117">
      <c r="A117" s="537"/>
      <c r="B117" s="527" t="s">
        <v>2166</v>
      </c>
      <c r="C117" s="527" t="s">
        <v>2167</v>
      </c>
      <c r="D117" s="531" t="s">
        <v>168</v>
      </c>
      <c r="E117" s="536"/>
      <c r="F117" s="533" t="s">
        <v>2168</v>
      </c>
      <c r="G117" s="534" t="s">
        <v>1982</v>
      </c>
      <c r="H117" s="522" t="s">
        <v>1924</v>
      </c>
      <c r="I117" s="344"/>
      <c r="J117" s="344"/>
      <c r="K117" s="344"/>
      <c r="L117" s="344"/>
      <c r="M117" s="344"/>
      <c r="N117" s="344"/>
      <c r="O117" s="344"/>
      <c r="P117" s="344"/>
      <c r="Q117" s="344"/>
      <c r="R117" s="344"/>
      <c r="S117" s="344"/>
      <c r="T117" s="344"/>
      <c r="U117" s="344"/>
      <c r="V117" s="344"/>
      <c r="W117" s="344"/>
      <c r="X117" s="344"/>
      <c r="Y117" s="344"/>
      <c r="Z117" s="344"/>
      <c r="AA117" s="344"/>
      <c r="AB117" s="344"/>
      <c r="AC117" s="344"/>
      <c r="AD117" s="344"/>
    </row>
    <row r="118">
      <c r="A118" s="537"/>
      <c r="B118" s="527"/>
      <c r="C118" s="527"/>
      <c r="D118" s="531"/>
      <c r="E118" s="536"/>
      <c r="F118" s="533" t="s">
        <v>2169</v>
      </c>
      <c r="G118" s="534" t="s">
        <v>1982</v>
      </c>
      <c r="H118" s="522" t="s">
        <v>1924</v>
      </c>
      <c r="I118" s="344"/>
      <c r="J118" s="344"/>
      <c r="K118" s="344"/>
      <c r="L118" s="344"/>
      <c r="M118" s="344"/>
      <c r="N118" s="344"/>
      <c r="O118" s="344"/>
      <c r="P118" s="344"/>
      <c r="Q118" s="344"/>
      <c r="R118" s="344"/>
      <c r="S118" s="344"/>
      <c r="T118" s="344"/>
      <c r="U118" s="344"/>
      <c r="V118" s="344"/>
      <c r="W118" s="344"/>
      <c r="X118" s="344"/>
      <c r="Y118" s="344"/>
      <c r="Z118" s="344"/>
      <c r="AA118" s="344"/>
      <c r="AB118" s="344"/>
      <c r="AC118" s="344"/>
      <c r="AD118" s="344"/>
    </row>
    <row r="119">
      <c r="A119" s="537"/>
      <c r="B119" s="527" t="s">
        <v>2170</v>
      </c>
      <c r="C119" s="527" t="s">
        <v>2171</v>
      </c>
      <c r="D119" s="531" t="s">
        <v>2172</v>
      </c>
      <c r="E119" s="536"/>
      <c r="F119" s="533" t="s">
        <v>2173</v>
      </c>
      <c r="G119" s="534" t="s">
        <v>2174</v>
      </c>
      <c r="H119" s="522" t="s">
        <v>2175</v>
      </c>
      <c r="I119" s="344"/>
      <c r="J119" s="344"/>
      <c r="K119" s="344"/>
      <c r="L119" s="344"/>
      <c r="M119" s="344"/>
      <c r="N119" s="344"/>
      <c r="O119" s="344"/>
      <c r="P119" s="344"/>
      <c r="Q119" s="344"/>
      <c r="R119" s="344"/>
      <c r="S119" s="344"/>
      <c r="T119" s="344"/>
      <c r="U119" s="344"/>
      <c r="V119" s="344"/>
      <c r="W119" s="344"/>
      <c r="X119" s="344"/>
      <c r="Y119" s="344"/>
      <c r="Z119" s="344"/>
      <c r="AA119" s="344"/>
      <c r="AB119" s="344"/>
      <c r="AC119" s="344"/>
      <c r="AD119" s="344"/>
    </row>
    <row r="120">
      <c r="A120" s="537"/>
      <c r="B120" s="527" t="s">
        <v>2176</v>
      </c>
      <c r="C120" s="527" t="s">
        <v>2177</v>
      </c>
      <c r="D120" s="531" t="s">
        <v>232</v>
      </c>
      <c r="E120" s="536"/>
      <c r="F120" s="533" t="s">
        <v>2178</v>
      </c>
      <c r="G120" s="534" t="s">
        <v>1982</v>
      </c>
      <c r="H120" s="522" t="s">
        <v>2083</v>
      </c>
      <c r="I120" s="344"/>
      <c r="J120" s="344"/>
      <c r="K120" s="344"/>
      <c r="L120" s="344"/>
      <c r="M120" s="344"/>
      <c r="N120" s="344"/>
      <c r="O120" s="344"/>
      <c r="P120" s="344"/>
      <c r="Q120" s="344"/>
      <c r="R120" s="344"/>
      <c r="S120" s="344"/>
      <c r="T120" s="344"/>
      <c r="U120" s="344"/>
      <c r="V120" s="344"/>
      <c r="W120" s="344"/>
      <c r="X120" s="344"/>
      <c r="Y120" s="344"/>
      <c r="Z120" s="344"/>
      <c r="AA120" s="344"/>
      <c r="AB120" s="344"/>
      <c r="AC120" s="344"/>
      <c r="AD120" s="344"/>
    </row>
    <row r="121">
      <c r="A121" s="537"/>
      <c r="B121" s="527"/>
      <c r="C121" s="527"/>
      <c r="D121" s="531" t="s">
        <v>113</v>
      </c>
      <c r="E121" s="536"/>
      <c r="F121" s="533" t="s">
        <v>2179</v>
      </c>
      <c r="G121" s="534" t="s">
        <v>2180</v>
      </c>
      <c r="H121" s="522" t="s">
        <v>2181</v>
      </c>
      <c r="I121" s="344"/>
      <c r="J121" s="344"/>
      <c r="K121" s="344"/>
      <c r="L121" s="344"/>
      <c r="M121" s="344"/>
      <c r="N121" s="344"/>
      <c r="O121" s="344"/>
      <c r="P121" s="344"/>
      <c r="Q121" s="344"/>
      <c r="R121" s="344"/>
      <c r="S121" s="344"/>
      <c r="T121" s="344"/>
      <c r="U121" s="344"/>
      <c r="V121" s="344"/>
      <c r="W121" s="344"/>
      <c r="X121" s="344"/>
      <c r="Y121" s="344"/>
      <c r="Z121" s="344"/>
      <c r="AA121" s="344"/>
      <c r="AB121" s="344"/>
      <c r="AC121" s="344"/>
      <c r="AD121" s="344"/>
    </row>
    <row r="122">
      <c r="A122" s="537"/>
      <c r="B122" s="527"/>
      <c r="C122" s="527"/>
      <c r="D122" s="531" t="s">
        <v>115</v>
      </c>
      <c r="E122" s="536"/>
      <c r="F122" s="533" t="s">
        <v>2182</v>
      </c>
      <c r="G122" s="534" t="s">
        <v>1982</v>
      </c>
      <c r="H122" s="522" t="s">
        <v>2083</v>
      </c>
      <c r="I122" s="344"/>
      <c r="J122" s="344"/>
      <c r="K122" s="344"/>
      <c r="L122" s="344"/>
      <c r="M122" s="344"/>
      <c r="N122" s="344"/>
      <c r="O122" s="344"/>
      <c r="P122" s="344"/>
      <c r="Q122" s="344"/>
      <c r="R122" s="344"/>
      <c r="S122" s="344"/>
      <c r="T122" s="344"/>
      <c r="U122" s="344"/>
      <c r="V122" s="344"/>
      <c r="W122" s="344"/>
      <c r="X122" s="344"/>
      <c r="Y122" s="344"/>
      <c r="Z122" s="344"/>
      <c r="AA122" s="344"/>
      <c r="AB122" s="344"/>
      <c r="AC122" s="344"/>
      <c r="AD122" s="344"/>
    </row>
    <row r="123">
      <c r="A123" s="537"/>
      <c r="B123" s="527"/>
      <c r="C123" s="527"/>
      <c r="D123" s="531" t="s">
        <v>73</v>
      </c>
      <c r="E123" s="536"/>
      <c r="F123" s="533" t="s">
        <v>2183</v>
      </c>
      <c r="G123" s="534" t="s">
        <v>2184</v>
      </c>
      <c r="H123" s="522" t="s">
        <v>2185</v>
      </c>
      <c r="I123" s="344"/>
      <c r="J123" s="344"/>
      <c r="K123" s="344"/>
      <c r="L123" s="344"/>
      <c r="M123" s="344"/>
      <c r="N123" s="344"/>
      <c r="O123" s="344"/>
      <c r="P123" s="344"/>
      <c r="Q123" s="344"/>
      <c r="R123" s="344"/>
      <c r="S123" s="344"/>
      <c r="T123" s="344"/>
      <c r="U123" s="344"/>
      <c r="V123" s="344"/>
      <c r="W123" s="344"/>
      <c r="X123" s="344"/>
      <c r="Y123" s="344"/>
      <c r="Z123" s="344"/>
      <c r="AA123" s="344"/>
      <c r="AB123" s="344"/>
      <c r="AC123" s="344"/>
      <c r="AD123" s="344"/>
    </row>
    <row r="124">
      <c r="A124" s="537"/>
      <c r="B124" s="527"/>
      <c r="C124" s="527"/>
      <c r="D124" s="531"/>
      <c r="E124" s="536"/>
      <c r="F124" s="533" t="s">
        <v>2186</v>
      </c>
      <c r="G124" s="534" t="s">
        <v>1982</v>
      </c>
      <c r="H124" s="522" t="s">
        <v>2083</v>
      </c>
      <c r="I124" s="344"/>
      <c r="J124" s="344"/>
      <c r="K124" s="344"/>
      <c r="L124" s="344"/>
      <c r="M124" s="344"/>
      <c r="N124" s="344"/>
      <c r="O124" s="344"/>
      <c r="P124" s="344"/>
      <c r="Q124" s="344"/>
      <c r="R124" s="344"/>
      <c r="S124" s="344"/>
      <c r="T124" s="344"/>
      <c r="U124" s="344"/>
      <c r="V124" s="344"/>
      <c r="W124" s="344"/>
      <c r="X124" s="344"/>
      <c r="Y124" s="344"/>
      <c r="Z124" s="344"/>
      <c r="AA124" s="344"/>
      <c r="AB124" s="344"/>
      <c r="AC124" s="344"/>
      <c r="AD124" s="344"/>
    </row>
    <row r="125">
      <c r="A125" s="537"/>
      <c r="B125" s="527"/>
      <c r="C125" s="527"/>
      <c r="D125" s="531" t="s">
        <v>75</v>
      </c>
      <c r="E125" s="536"/>
      <c r="F125" s="533" t="s">
        <v>2187</v>
      </c>
      <c r="G125" s="534" t="s">
        <v>1982</v>
      </c>
      <c r="H125" s="522" t="s">
        <v>2083</v>
      </c>
      <c r="I125" s="344"/>
      <c r="J125" s="344"/>
      <c r="K125" s="344"/>
      <c r="L125" s="344"/>
      <c r="M125" s="344"/>
      <c r="N125" s="344"/>
      <c r="O125" s="344"/>
      <c r="P125" s="344"/>
      <c r="Q125" s="344"/>
      <c r="R125" s="344"/>
      <c r="S125" s="344"/>
      <c r="T125" s="344"/>
      <c r="U125" s="344"/>
      <c r="V125" s="344"/>
      <c r="W125" s="344"/>
      <c r="X125" s="344"/>
      <c r="Y125" s="344"/>
      <c r="Z125" s="344"/>
      <c r="AA125" s="344"/>
      <c r="AB125" s="344"/>
      <c r="AC125" s="344"/>
      <c r="AD125" s="344"/>
    </row>
    <row r="126">
      <c r="A126" s="537"/>
      <c r="B126" s="527"/>
      <c r="C126" s="527"/>
      <c r="D126" s="531"/>
      <c r="E126" s="536"/>
      <c r="F126" s="533" t="s">
        <v>2188</v>
      </c>
      <c r="G126" s="534" t="s">
        <v>2189</v>
      </c>
      <c r="H126" s="522" t="s">
        <v>2190</v>
      </c>
      <c r="I126" s="344"/>
      <c r="J126" s="344"/>
      <c r="K126" s="344"/>
      <c r="L126" s="344"/>
      <c r="M126" s="344"/>
      <c r="N126" s="344"/>
      <c r="O126" s="344"/>
      <c r="P126" s="344"/>
      <c r="Q126" s="344"/>
      <c r="R126" s="344"/>
      <c r="S126" s="344"/>
      <c r="T126" s="344"/>
      <c r="U126" s="344"/>
      <c r="V126" s="344"/>
      <c r="W126" s="344"/>
      <c r="X126" s="344"/>
      <c r="Y126" s="344"/>
      <c r="Z126" s="344"/>
      <c r="AA126" s="344"/>
      <c r="AB126" s="344"/>
      <c r="AC126" s="344"/>
      <c r="AD126" s="344"/>
    </row>
    <row r="127">
      <c r="A127" s="537"/>
      <c r="B127" s="527" t="s">
        <v>2191</v>
      </c>
      <c r="C127" s="527" t="s">
        <v>2192</v>
      </c>
      <c r="D127" s="531" t="s">
        <v>2193</v>
      </c>
      <c r="E127" s="536"/>
      <c r="F127" s="533" t="s">
        <v>2194</v>
      </c>
      <c r="G127" s="534" t="s">
        <v>1887</v>
      </c>
      <c r="H127" s="522" t="s">
        <v>1924</v>
      </c>
      <c r="I127" s="344"/>
      <c r="J127" s="344"/>
      <c r="K127" s="344"/>
      <c r="L127" s="344"/>
      <c r="M127" s="344"/>
      <c r="N127" s="344"/>
      <c r="O127" s="344"/>
      <c r="P127" s="344"/>
      <c r="Q127" s="344"/>
      <c r="R127" s="344"/>
      <c r="S127" s="344"/>
      <c r="T127" s="344"/>
      <c r="U127" s="344"/>
      <c r="V127" s="344"/>
      <c r="W127" s="344"/>
      <c r="X127" s="344"/>
      <c r="Y127" s="344"/>
      <c r="Z127" s="344"/>
      <c r="AA127" s="344"/>
      <c r="AB127" s="344"/>
      <c r="AC127" s="344"/>
      <c r="AD127" s="344"/>
    </row>
    <row r="128">
      <c r="A128" s="537"/>
      <c r="B128" s="527"/>
      <c r="C128" s="527"/>
      <c r="D128" s="531" t="s">
        <v>2195</v>
      </c>
      <c r="E128" s="536"/>
      <c r="F128" s="533" t="s">
        <v>2196</v>
      </c>
      <c r="G128" s="534" t="s">
        <v>2197</v>
      </c>
      <c r="H128" s="522" t="s">
        <v>2198</v>
      </c>
      <c r="I128" s="344"/>
      <c r="J128" s="344"/>
      <c r="K128" s="344"/>
      <c r="L128" s="344"/>
      <c r="M128" s="344"/>
      <c r="N128" s="344"/>
      <c r="O128" s="344"/>
      <c r="P128" s="344"/>
      <c r="Q128" s="344"/>
      <c r="R128" s="344"/>
      <c r="S128" s="344"/>
      <c r="T128" s="344"/>
      <c r="U128" s="344"/>
      <c r="V128" s="344"/>
      <c r="W128" s="344"/>
      <c r="X128" s="344"/>
      <c r="Y128" s="344"/>
      <c r="Z128" s="344"/>
      <c r="AA128" s="344"/>
      <c r="AB128" s="344"/>
      <c r="AC128" s="344"/>
      <c r="AD128" s="344"/>
    </row>
    <row r="129">
      <c r="A129" s="537"/>
      <c r="B129" s="527" t="s">
        <v>2199</v>
      </c>
      <c r="C129" s="527" t="s">
        <v>2200</v>
      </c>
      <c r="D129" s="531" t="s">
        <v>2201</v>
      </c>
      <c r="E129" s="536"/>
      <c r="F129" s="533" t="s">
        <v>2202</v>
      </c>
      <c r="G129" s="534" t="s">
        <v>1989</v>
      </c>
      <c r="H129" s="522" t="s">
        <v>2203</v>
      </c>
      <c r="I129" s="344"/>
      <c r="J129" s="344"/>
      <c r="K129" s="344"/>
      <c r="L129" s="344"/>
      <c r="M129" s="344"/>
      <c r="N129" s="344"/>
      <c r="O129" s="344"/>
      <c r="P129" s="344"/>
      <c r="Q129" s="344"/>
      <c r="R129" s="344"/>
      <c r="S129" s="344"/>
      <c r="T129" s="344"/>
      <c r="U129" s="344"/>
      <c r="V129" s="344"/>
      <c r="W129" s="344"/>
      <c r="X129" s="344"/>
      <c r="Y129" s="344"/>
      <c r="Z129" s="344"/>
      <c r="AA129" s="344"/>
      <c r="AB129" s="344"/>
      <c r="AC129" s="344"/>
      <c r="AD129" s="344"/>
    </row>
    <row r="130">
      <c r="A130" s="537"/>
      <c r="B130" s="527"/>
      <c r="C130" s="527"/>
      <c r="D130" s="531" t="s">
        <v>120</v>
      </c>
      <c r="E130" s="536"/>
      <c r="F130" s="533" t="s">
        <v>2204</v>
      </c>
      <c r="G130" s="534" t="s">
        <v>2205</v>
      </c>
      <c r="H130" s="522" t="s">
        <v>1949</v>
      </c>
      <c r="I130" s="344"/>
      <c r="J130" s="344"/>
      <c r="K130" s="344"/>
      <c r="L130" s="344"/>
      <c r="M130" s="344"/>
      <c r="N130" s="344"/>
      <c r="O130" s="344"/>
      <c r="P130" s="344"/>
      <c r="Q130" s="344"/>
      <c r="R130" s="344"/>
      <c r="S130" s="344"/>
      <c r="T130" s="344"/>
      <c r="U130" s="344"/>
      <c r="V130" s="344"/>
      <c r="W130" s="344"/>
      <c r="X130" s="344"/>
      <c r="Y130" s="344"/>
      <c r="Z130" s="344"/>
      <c r="AA130" s="344"/>
      <c r="AB130" s="344"/>
      <c r="AC130" s="344"/>
      <c r="AD130" s="344"/>
    </row>
    <row r="131">
      <c r="A131" s="537"/>
      <c r="B131" s="527"/>
      <c r="C131" s="527"/>
      <c r="D131" s="531" t="s">
        <v>126</v>
      </c>
      <c r="E131" s="536"/>
      <c r="F131" s="533" t="s">
        <v>2206</v>
      </c>
      <c r="G131" s="534" t="s">
        <v>1869</v>
      </c>
      <c r="H131" s="522" t="s">
        <v>2207</v>
      </c>
      <c r="I131" s="344"/>
      <c r="J131" s="344"/>
      <c r="K131" s="344"/>
      <c r="L131" s="344"/>
      <c r="M131" s="344"/>
      <c r="N131" s="344"/>
      <c r="O131" s="344"/>
      <c r="P131" s="344"/>
      <c r="Q131" s="344"/>
      <c r="R131" s="344"/>
      <c r="S131" s="344"/>
      <c r="T131" s="344"/>
      <c r="U131" s="344"/>
      <c r="V131" s="344"/>
      <c r="W131" s="344"/>
      <c r="X131" s="344"/>
      <c r="Y131" s="344"/>
      <c r="Z131" s="344"/>
      <c r="AA131" s="344"/>
      <c r="AB131" s="344"/>
      <c r="AC131" s="344"/>
      <c r="AD131" s="344"/>
    </row>
    <row r="132">
      <c r="A132" s="537"/>
      <c r="B132" s="527"/>
      <c r="C132" s="527"/>
      <c r="D132" s="531"/>
      <c r="E132" s="536"/>
      <c r="F132" s="533" t="s">
        <v>2208</v>
      </c>
      <c r="G132" s="534" t="s">
        <v>1976</v>
      </c>
      <c r="H132" s="522" t="s">
        <v>2209</v>
      </c>
      <c r="I132" s="344"/>
      <c r="J132" s="344"/>
      <c r="K132" s="344"/>
      <c r="L132" s="344"/>
      <c r="M132" s="344"/>
      <c r="N132" s="344"/>
      <c r="O132" s="344"/>
      <c r="P132" s="344"/>
      <c r="Q132" s="344"/>
      <c r="R132" s="344"/>
      <c r="S132" s="344"/>
      <c r="T132" s="344"/>
      <c r="U132" s="344"/>
      <c r="V132" s="344"/>
      <c r="W132" s="344"/>
      <c r="X132" s="344"/>
      <c r="Y132" s="344"/>
      <c r="Z132" s="344"/>
      <c r="AA132" s="344"/>
      <c r="AB132" s="344"/>
      <c r="AC132" s="344"/>
      <c r="AD132" s="344"/>
    </row>
    <row r="133">
      <c r="A133" s="537"/>
      <c r="B133" s="527"/>
      <c r="C133" s="527"/>
      <c r="D133" s="531"/>
      <c r="E133" s="536"/>
      <c r="F133" s="533" t="s">
        <v>2210</v>
      </c>
      <c r="G133" s="534" t="s">
        <v>1887</v>
      </c>
      <c r="H133" s="522" t="s">
        <v>2211</v>
      </c>
      <c r="I133" s="344"/>
      <c r="J133" s="344"/>
      <c r="K133" s="344"/>
      <c r="L133" s="344"/>
      <c r="M133" s="344"/>
      <c r="N133" s="344"/>
      <c r="O133" s="344"/>
      <c r="P133" s="344"/>
      <c r="Q133" s="344"/>
      <c r="R133" s="344"/>
      <c r="S133" s="344"/>
      <c r="T133" s="344"/>
      <c r="U133" s="344"/>
      <c r="V133" s="344"/>
      <c r="W133" s="344"/>
      <c r="X133" s="344"/>
      <c r="Y133" s="344"/>
      <c r="Z133" s="344"/>
      <c r="AA133" s="344"/>
      <c r="AB133" s="344"/>
      <c r="AC133" s="344"/>
      <c r="AD133" s="344"/>
    </row>
    <row r="134">
      <c r="A134" s="537"/>
      <c r="B134" s="527"/>
      <c r="C134" s="527"/>
      <c r="D134" s="531" t="s">
        <v>145</v>
      </c>
      <c r="E134" s="536"/>
      <c r="F134" s="533" t="s">
        <v>2212</v>
      </c>
      <c r="G134" s="534" t="s">
        <v>1982</v>
      </c>
      <c r="H134" s="522" t="s">
        <v>1924</v>
      </c>
      <c r="I134" s="344"/>
      <c r="J134" s="344"/>
      <c r="K134" s="344"/>
      <c r="L134" s="344"/>
      <c r="M134" s="344"/>
      <c r="N134" s="344"/>
      <c r="O134" s="344"/>
      <c r="P134" s="344"/>
      <c r="Q134" s="344"/>
      <c r="R134" s="344"/>
      <c r="S134" s="344"/>
      <c r="T134" s="344"/>
      <c r="U134" s="344"/>
      <c r="V134" s="344"/>
      <c r="W134" s="344"/>
      <c r="X134" s="344"/>
      <c r="Y134" s="344"/>
      <c r="Z134" s="344"/>
      <c r="AA134" s="344"/>
      <c r="AB134" s="344"/>
      <c r="AC134" s="344"/>
      <c r="AD134" s="344"/>
    </row>
    <row r="135">
      <c r="A135" s="535"/>
      <c r="B135" s="527" t="s">
        <v>2213</v>
      </c>
      <c r="C135" s="527" t="s">
        <v>2214</v>
      </c>
      <c r="D135" s="531" t="s">
        <v>134</v>
      </c>
      <c r="E135" s="536"/>
      <c r="F135" s="533" t="s">
        <v>2215</v>
      </c>
      <c r="G135" s="534" t="s">
        <v>2216</v>
      </c>
      <c r="H135" s="522" t="s">
        <v>2217</v>
      </c>
      <c r="I135" s="344"/>
      <c r="J135" s="344"/>
      <c r="K135" s="344"/>
      <c r="L135" s="344"/>
      <c r="M135" s="344"/>
      <c r="N135" s="344"/>
      <c r="O135" s="344"/>
      <c r="P135" s="344"/>
      <c r="Q135" s="344"/>
      <c r="R135" s="344"/>
      <c r="S135" s="344"/>
      <c r="T135" s="344"/>
      <c r="U135" s="344"/>
      <c r="V135" s="344"/>
      <c r="W135" s="344"/>
      <c r="X135" s="344"/>
      <c r="Y135" s="344"/>
      <c r="Z135" s="344"/>
      <c r="AA135" s="344"/>
      <c r="AB135" s="344"/>
      <c r="AC135" s="344"/>
      <c r="AD135" s="344"/>
    </row>
    <row r="136">
      <c r="A136" s="535"/>
      <c r="B136" s="527" t="s">
        <v>2218</v>
      </c>
      <c r="C136" s="527" t="s">
        <v>2219</v>
      </c>
      <c r="D136" s="531" t="s">
        <v>2172</v>
      </c>
      <c r="E136" s="536"/>
      <c r="F136" s="533" t="s">
        <v>2220</v>
      </c>
      <c r="G136" s="534" t="s">
        <v>2174</v>
      </c>
      <c r="H136" s="522" t="s">
        <v>2175</v>
      </c>
      <c r="I136" s="344"/>
      <c r="J136" s="344"/>
      <c r="K136" s="344"/>
      <c r="L136" s="344"/>
      <c r="M136" s="344"/>
      <c r="N136" s="344"/>
      <c r="O136" s="344"/>
      <c r="P136" s="344"/>
      <c r="Q136" s="344"/>
      <c r="R136" s="344"/>
      <c r="S136" s="344"/>
      <c r="T136" s="344"/>
      <c r="U136" s="344"/>
      <c r="V136" s="344"/>
      <c r="W136" s="344"/>
      <c r="X136" s="344"/>
      <c r="Y136" s="344"/>
      <c r="Z136" s="344"/>
      <c r="AA136" s="344"/>
      <c r="AB136" s="344"/>
      <c r="AC136" s="344"/>
      <c r="AD136" s="344"/>
    </row>
    <row r="137">
      <c r="A137" s="535" t="str">
        <f>'Tabel Suplemen A1'!B10</f>
        <v>Mampu mengelola proyek teknologi informasi secara profesional dengan mengoptimalkan sumber daya yang tersedia.</v>
      </c>
      <c r="B137" s="527" t="s">
        <v>2221</v>
      </c>
      <c r="C137" s="527" t="s">
        <v>2222</v>
      </c>
      <c r="D137" s="531" t="s">
        <v>1918</v>
      </c>
      <c r="E137" s="536"/>
      <c r="F137" s="533" t="s">
        <v>2223</v>
      </c>
      <c r="G137" s="534" t="s">
        <v>1912</v>
      </c>
      <c r="H137" s="522" t="s">
        <v>1913</v>
      </c>
      <c r="I137" s="344"/>
      <c r="J137" s="344"/>
      <c r="K137" s="344"/>
      <c r="L137" s="344"/>
      <c r="M137" s="344"/>
      <c r="N137" s="344"/>
      <c r="O137" s="344"/>
      <c r="P137" s="344"/>
      <c r="Q137" s="344"/>
      <c r="R137" s="344"/>
      <c r="S137" s="344"/>
      <c r="T137" s="344"/>
      <c r="U137" s="344"/>
      <c r="V137" s="344"/>
      <c r="W137" s="344"/>
      <c r="X137" s="344"/>
      <c r="Y137" s="344"/>
      <c r="Z137" s="344"/>
      <c r="AA137" s="344"/>
      <c r="AB137" s="344"/>
      <c r="AC137" s="344"/>
      <c r="AD137" s="344"/>
    </row>
    <row r="138">
      <c r="A138" s="535"/>
      <c r="B138" s="527"/>
      <c r="C138" s="527"/>
      <c r="D138" s="531" t="s">
        <v>2224</v>
      </c>
      <c r="E138" s="536"/>
      <c r="F138" s="533" t="s">
        <v>2225</v>
      </c>
      <c r="G138" s="534" t="s">
        <v>1912</v>
      </c>
      <c r="H138" s="522" t="s">
        <v>1913</v>
      </c>
      <c r="I138" s="344"/>
      <c r="J138" s="344"/>
      <c r="K138" s="344"/>
      <c r="L138" s="344"/>
      <c r="M138" s="344"/>
      <c r="N138" s="344"/>
      <c r="O138" s="344"/>
      <c r="P138" s="344"/>
      <c r="Q138" s="344"/>
      <c r="R138" s="344"/>
      <c r="S138" s="344"/>
      <c r="T138" s="344"/>
      <c r="U138" s="344"/>
      <c r="V138" s="344"/>
      <c r="W138" s="344"/>
      <c r="X138" s="344"/>
      <c r="Y138" s="344"/>
      <c r="Z138" s="344"/>
      <c r="AA138" s="344"/>
      <c r="AB138" s="344"/>
      <c r="AC138" s="344"/>
      <c r="AD138" s="344"/>
    </row>
    <row r="139">
      <c r="A139" s="535"/>
      <c r="B139" s="527"/>
      <c r="C139" s="527"/>
      <c r="D139" s="531" t="s">
        <v>101</v>
      </c>
      <c r="E139" s="536"/>
      <c r="F139" s="533" t="s">
        <v>2226</v>
      </c>
      <c r="G139" s="534" t="s">
        <v>1912</v>
      </c>
      <c r="H139" s="522" t="s">
        <v>1913</v>
      </c>
      <c r="I139" s="344"/>
      <c r="J139" s="344"/>
      <c r="K139" s="344"/>
      <c r="L139" s="344"/>
      <c r="M139" s="344"/>
      <c r="N139" s="344"/>
      <c r="O139" s="344"/>
      <c r="P139" s="344"/>
      <c r="Q139" s="344"/>
      <c r="R139" s="344"/>
      <c r="S139" s="344"/>
      <c r="T139" s="344"/>
      <c r="U139" s="344"/>
      <c r="V139" s="344"/>
      <c r="W139" s="344"/>
      <c r="X139" s="344"/>
      <c r="Y139" s="344"/>
      <c r="Z139" s="344"/>
      <c r="AA139" s="344"/>
      <c r="AB139" s="344"/>
      <c r="AC139" s="344"/>
      <c r="AD139" s="344"/>
    </row>
    <row r="140">
      <c r="A140" s="537"/>
      <c r="B140" s="527" t="s">
        <v>2227</v>
      </c>
      <c r="C140" s="527" t="s">
        <v>2228</v>
      </c>
      <c r="D140" s="531" t="s">
        <v>1918</v>
      </c>
      <c r="E140" s="536"/>
      <c r="F140" s="533" t="s">
        <v>2229</v>
      </c>
      <c r="G140" s="534" t="s">
        <v>1912</v>
      </c>
      <c r="H140" s="522" t="s">
        <v>1913</v>
      </c>
      <c r="I140" s="344"/>
      <c r="J140" s="344"/>
      <c r="K140" s="344"/>
      <c r="L140" s="344"/>
      <c r="M140" s="344"/>
      <c r="N140" s="344"/>
      <c r="O140" s="344"/>
      <c r="P140" s="344"/>
      <c r="Q140" s="344"/>
      <c r="R140" s="344"/>
      <c r="S140" s="344"/>
      <c r="T140" s="344"/>
      <c r="U140" s="344"/>
      <c r="V140" s="344"/>
      <c r="W140" s="344"/>
      <c r="X140" s="344"/>
      <c r="Y140" s="344"/>
      <c r="Z140" s="344"/>
      <c r="AA140" s="344"/>
      <c r="AB140" s="344"/>
      <c r="AC140" s="344"/>
      <c r="AD140" s="344"/>
    </row>
    <row r="141">
      <c r="A141" s="537"/>
      <c r="B141" s="527"/>
      <c r="C141" s="527"/>
      <c r="D141" s="531" t="s">
        <v>2224</v>
      </c>
      <c r="E141" s="536"/>
      <c r="F141" s="533" t="s">
        <v>2230</v>
      </c>
      <c r="G141" s="534" t="s">
        <v>1912</v>
      </c>
      <c r="H141" s="522" t="s">
        <v>1913</v>
      </c>
      <c r="I141" s="344"/>
      <c r="J141" s="344"/>
      <c r="K141" s="344"/>
      <c r="L141" s="344"/>
      <c r="M141" s="344"/>
      <c r="N141" s="344"/>
      <c r="O141" s="344"/>
      <c r="P141" s="344"/>
      <c r="Q141" s="344"/>
      <c r="R141" s="344"/>
      <c r="S141" s="344"/>
      <c r="T141" s="344"/>
      <c r="U141" s="344"/>
      <c r="V141" s="344"/>
      <c r="W141" s="344"/>
      <c r="X141" s="344"/>
      <c r="Y141" s="344"/>
      <c r="Z141" s="344"/>
      <c r="AA141" s="344"/>
      <c r="AB141" s="344"/>
      <c r="AC141" s="344"/>
      <c r="AD141" s="344"/>
    </row>
    <row r="142">
      <c r="A142" s="537"/>
      <c r="B142" s="527"/>
      <c r="C142" s="527"/>
      <c r="D142" s="531" t="s">
        <v>86</v>
      </c>
      <c r="E142" s="536"/>
      <c r="F142" s="533" t="s">
        <v>2231</v>
      </c>
      <c r="G142" s="534" t="s">
        <v>1887</v>
      </c>
      <c r="H142" s="522" t="s">
        <v>1924</v>
      </c>
      <c r="I142" s="344"/>
      <c r="J142" s="344"/>
      <c r="K142" s="344"/>
      <c r="L142" s="344"/>
      <c r="M142" s="344"/>
      <c r="N142" s="344"/>
      <c r="O142" s="344"/>
      <c r="P142" s="344"/>
      <c r="Q142" s="344"/>
      <c r="R142" s="344"/>
      <c r="S142" s="344"/>
      <c r="T142" s="344"/>
      <c r="U142" s="344"/>
      <c r="V142" s="344"/>
      <c r="W142" s="344"/>
      <c r="X142" s="344"/>
      <c r="Y142" s="344"/>
      <c r="Z142" s="344"/>
      <c r="AA142" s="344"/>
      <c r="AB142" s="344"/>
      <c r="AC142" s="344"/>
      <c r="AD142" s="344"/>
    </row>
    <row r="143">
      <c r="A143" s="537"/>
      <c r="B143" s="527"/>
      <c r="C143" s="527"/>
      <c r="D143" s="531"/>
      <c r="E143" s="536"/>
      <c r="F143" s="533" t="s">
        <v>2232</v>
      </c>
      <c r="G143" s="534" t="s">
        <v>1887</v>
      </c>
      <c r="H143" s="522" t="s">
        <v>1924</v>
      </c>
      <c r="I143" s="344"/>
      <c r="J143" s="344"/>
      <c r="K143" s="344"/>
      <c r="L143" s="344"/>
      <c r="M143" s="344"/>
      <c r="N143" s="344"/>
      <c r="O143" s="344"/>
      <c r="P143" s="344"/>
      <c r="Q143" s="344"/>
      <c r="R143" s="344"/>
      <c r="S143" s="344"/>
      <c r="T143" s="344"/>
      <c r="U143" s="344"/>
      <c r="V143" s="344"/>
      <c r="W143" s="344"/>
      <c r="X143" s="344"/>
      <c r="Y143" s="344"/>
      <c r="Z143" s="344"/>
      <c r="AA143" s="344"/>
      <c r="AB143" s="344"/>
      <c r="AC143" s="344"/>
      <c r="AD143" s="344"/>
    </row>
    <row r="144">
      <c r="A144" s="537"/>
      <c r="B144" s="527"/>
      <c r="C144" s="527"/>
      <c r="D144" s="531" t="s">
        <v>90</v>
      </c>
      <c r="E144" s="536"/>
      <c r="F144" s="533" t="s">
        <v>2233</v>
      </c>
      <c r="G144" s="534" t="s">
        <v>1909</v>
      </c>
      <c r="H144" s="522" t="s">
        <v>2234</v>
      </c>
      <c r="I144" s="344"/>
      <c r="J144" s="344"/>
      <c r="K144" s="344"/>
      <c r="L144" s="344"/>
      <c r="M144" s="344"/>
      <c r="N144" s="344"/>
      <c r="O144" s="344"/>
      <c r="P144" s="344"/>
      <c r="Q144" s="344"/>
      <c r="R144" s="344"/>
      <c r="S144" s="344"/>
      <c r="T144" s="344"/>
      <c r="U144" s="344"/>
      <c r="V144" s="344"/>
      <c r="W144" s="344"/>
      <c r="X144" s="344"/>
      <c r="Y144" s="344"/>
      <c r="Z144" s="344"/>
      <c r="AA144" s="344"/>
      <c r="AB144" s="344"/>
      <c r="AC144" s="344"/>
      <c r="AD144" s="344"/>
    </row>
    <row r="145">
      <c r="A145" s="537"/>
      <c r="B145" s="527"/>
      <c r="C145" s="527"/>
      <c r="D145" s="531"/>
      <c r="E145" s="536"/>
      <c r="F145" s="533" t="s">
        <v>2235</v>
      </c>
      <c r="G145" s="534" t="s">
        <v>1909</v>
      </c>
      <c r="H145" s="522" t="s">
        <v>2236</v>
      </c>
      <c r="I145" s="344"/>
      <c r="J145" s="344"/>
      <c r="K145" s="344"/>
      <c r="L145" s="344"/>
      <c r="M145" s="344"/>
      <c r="N145" s="344"/>
      <c r="O145" s="344"/>
      <c r="P145" s="344"/>
      <c r="Q145" s="344"/>
      <c r="R145" s="344"/>
      <c r="S145" s="344"/>
      <c r="T145" s="344"/>
      <c r="U145" s="344"/>
      <c r="V145" s="344"/>
      <c r="W145" s="344"/>
      <c r="X145" s="344"/>
      <c r="Y145" s="344"/>
      <c r="Z145" s="344"/>
      <c r="AA145" s="344"/>
      <c r="AB145" s="344"/>
      <c r="AC145" s="344"/>
      <c r="AD145" s="344"/>
    </row>
    <row r="146">
      <c r="A146" s="537"/>
      <c r="B146" s="527"/>
      <c r="C146" s="527"/>
      <c r="D146" s="531"/>
      <c r="E146" s="536"/>
      <c r="F146" s="533" t="s">
        <v>2237</v>
      </c>
      <c r="G146" s="534" t="s">
        <v>1976</v>
      </c>
      <c r="H146" s="522" t="s">
        <v>2238</v>
      </c>
      <c r="I146" s="344"/>
      <c r="J146" s="344"/>
      <c r="K146" s="344"/>
      <c r="L146" s="344"/>
      <c r="M146" s="344"/>
      <c r="N146" s="344"/>
      <c r="O146" s="344"/>
      <c r="P146" s="344"/>
      <c r="Q146" s="344"/>
      <c r="R146" s="344"/>
      <c r="S146" s="344"/>
      <c r="T146" s="344"/>
      <c r="U146" s="344"/>
      <c r="V146" s="344"/>
      <c r="W146" s="344"/>
      <c r="X146" s="344"/>
      <c r="Y146" s="344"/>
      <c r="Z146" s="344"/>
      <c r="AA146" s="344"/>
      <c r="AB146" s="344"/>
      <c r="AC146" s="344"/>
      <c r="AD146" s="344"/>
    </row>
    <row r="147">
      <c r="A147" s="537"/>
      <c r="B147" s="527"/>
      <c r="C147" s="527"/>
      <c r="D147" s="531"/>
      <c r="E147" s="536"/>
      <c r="F147" s="533" t="s">
        <v>2239</v>
      </c>
      <c r="G147" s="534" t="s">
        <v>1976</v>
      </c>
      <c r="H147" s="522" t="s">
        <v>2240</v>
      </c>
      <c r="I147" s="344"/>
      <c r="J147" s="344"/>
      <c r="K147" s="344"/>
      <c r="L147" s="344"/>
      <c r="M147" s="344"/>
      <c r="N147" s="344"/>
      <c r="O147" s="344"/>
      <c r="P147" s="344"/>
      <c r="Q147" s="344"/>
      <c r="R147" s="344"/>
      <c r="S147" s="344"/>
      <c r="T147" s="344"/>
      <c r="U147" s="344"/>
      <c r="V147" s="344"/>
      <c r="W147" s="344"/>
      <c r="X147" s="344"/>
      <c r="Y147" s="344"/>
      <c r="Z147" s="344"/>
      <c r="AA147" s="344"/>
      <c r="AB147" s="344"/>
      <c r="AC147" s="344"/>
      <c r="AD147" s="344"/>
    </row>
    <row r="148">
      <c r="A148" s="537"/>
      <c r="B148" s="527"/>
      <c r="C148" s="527"/>
      <c r="D148" s="531"/>
      <c r="E148" s="536"/>
      <c r="F148" s="533" t="s">
        <v>2241</v>
      </c>
      <c r="G148" s="534" t="s">
        <v>1976</v>
      </c>
      <c r="H148" s="522" t="s">
        <v>2242</v>
      </c>
      <c r="I148" s="344"/>
      <c r="J148" s="344"/>
      <c r="K148" s="344"/>
      <c r="L148" s="344"/>
      <c r="M148" s="344"/>
      <c r="N148" s="344"/>
      <c r="O148" s="344"/>
      <c r="P148" s="344"/>
      <c r="Q148" s="344"/>
      <c r="R148" s="344"/>
      <c r="S148" s="344"/>
      <c r="T148" s="344"/>
      <c r="U148" s="344"/>
      <c r="V148" s="344"/>
      <c r="W148" s="344"/>
      <c r="X148" s="344"/>
      <c r="Y148" s="344"/>
      <c r="Z148" s="344"/>
      <c r="AA148" s="344"/>
      <c r="AB148" s="344"/>
      <c r="AC148" s="344"/>
      <c r="AD148" s="344"/>
    </row>
    <row r="149">
      <c r="A149" s="537"/>
      <c r="B149" s="527"/>
      <c r="C149" s="527"/>
      <c r="D149" s="531"/>
      <c r="E149" s="536"/>
      <c r="F149" s="533" t="s">
        <v>2243</v>
      </c>
      <c r="G149" s="534" t="s">
        <v>1887</v>
      </c>
      <c r="H149" s="522" t="s">
        <v>2244</v>
      </c>
      <c r="I149" s="344"/>
      <c r="J149" s="344"/>
      <c r="K149" s="344"/>
      <c r="L149" s="344"/>
      <c r="M149" s="344"/>
      <c r="N149" s="344"/>
      <c r="O149" s="344"/>
      <c r="P149" s="344"/>
      <c r="Q149" s="344"/>
      <c r="R149" s="344"/>
      <c r="S149" s="344"/>
      <c r="T149" s="344"/>
      <c r="U149" s="344"/>
      <c r="V149" s="344"/>
      <c r="W149" s="344"/>
      <c r="X149" s="344"/>
      <c r="Y149" s="344"/>
      <c r="Z149" s="344"/>
      <c r="AA149" s="344"/>
      <c r="AB149" s="344"/>
      <c r="AC149" s="344"/>
      <c r="AD149" s="344"/>
    </row>
    <row r="150">
      <c r="A150" s="537"/>
      <c r="B150" s="527"/>
      <c r="C150" s="527"/>
      <c r="D150" s="531"/>
      <c r="E150" s="536"/>
      <c r="F150" s="533" t="s">
        <v>2245</v>
      </c>
      <c r="G150" s="534" t="s">
        <v>1887</v>
      </c>
      <c r="H150" s="522" t="s">
        <v>1949</v>
      </c>
      <c r="I150" s="344"/>
      <c r="J150" s="344"/>
      <c r="K150" s="344"/>
      <c r="L150" s="344"/>
      <c r="M150" s="344"/>
      <c r="N150" s="344"/>
      <c r="O150" s="344"/>
      <c r="P150" s="344"/>
      <c r="Q150" s="344"/>
      <c r="R150" s="344"/>
      <c r="S150" s="344"/>
      <c r="T150" s="344"/>
      <c r="U150" s="344"/>
      <c r="V150" s="344"/>
      <c r="W150" s="344"/>
      <c r="X150" s="344"/>
      <c r="Y150" s="344"/>
      <c r="Z150" s="344"/>
      <c r="AA150" s="344"/>
      <c r="AB150" s="344"/>
      <c r="AC150" s="344"/>
      <c r="AD150" s="344"/>
    </row>
    <row r="151">
      <c r="A151" s="537"/>
      <c r="B151" s="527"/>
      <c r="C151" s="527"/>
      <c r="D151" s="531" t="s">
        <v>136</v>
      </c>
      <c r="E151" s="536"/>
      <c r="F151" s="533" t="s">
        <v>2246</v>
      </c>
      <c r="G151" s="534" t="s">
        <v>2115</v>
      </c>
      <c r="H151" s="522" t="s">
        <v>2113</v>
      </c>
      <c r="I151" s="344"/>
      <c r="J151" s="344"/>
      <c r="K151" s="344"/>
      <c r="L151" s="344"/>
      <c r="M151" s="344"/>
      <c r="N151" s="344"/>
      <c r="O151" s="344"/>
      <c r="P151" s="344"/>
      <c r="Q151" s="344"/>
      <c r="R151" s="344"/>
      <c r="S151" s="344"/>
      <c r="T151" s="344"/>
      <c r="U151" s="344"/>
      <c r="V151" s="344"/>
      <c r="W151" s="344"/>
      <c r="X151" s="344"/>
      <c r="Y151" s="344"/>
      <c r="Z151" s="344"/>
      <c r="AA151" s="344"/>
      <c r="AB151" s="344"/>
      <c r="AC151" s="344"/>
      <c r="AD151" s="344"/>
    </row>
    <row r="152">
      <c r="A152" s="537"/>
      <c r="B152" s="527"/>
      <c r="C152" s="527"/>
      <c r="D152" s="531"/>
      <c r="E152" s="536"/>
      <c r="F152" s="533" t="s">
        <v>2247</v>
      </c>
      <c r="G152" s="534" t="s">
        <v>2115</v>
      </c>
      <c r="H152" s="522" t="s">
        <v>2113</v>
      </c>
      <c r="I152" s="344"/>
      <c r="J152" s="344"/>
      <c r="K152" s="344"/>
      <c r="L152" s="344"/>
      <c r="M152" s="344"/>
      <c r="N152" s="344"/>
      <c r="O152" s="344"/>
      <c r="P152" s="344"/>
      <c r="Q152" s="344"/>
      <c r="R152" s="344"/>
      <c r="S152" s="344"/>
      <c r="T152" s="344"/>
      <c r="U152" s="344"/>
      <c r="V152" s="344"/>
      <c r="W152" s="344"/>
      <c r="X152" s="344"/>
      <c r="Y152" s="344"/>
      <c r="Z152" s="344"/>
      <c r="AA152" s="344"/>
      <c r="AB152" s="344"/>
      <c r="AC152" s="344"/>
      <c r="AD152" s="344"/>
    </row>
    <row r="153">
      <c r="A153" s="537"/>
      <c r="B153" s="527"/>
      <c r="C153" s="527"/>
      <c r="D153" s="531" t="s">
        <v>149</v>
      </c>
      <c r="E153" s="536"/>
      <c r="F153" s="533" t="s">
        <v>2248</v>
      </c>
      <c r="G153" s="534" t="s">
        <v>1887</v>
      </c>
      <c r="H153" s="522" t="s">
        <v>1949</v>
      </c>
      <c r="I153" s="344"/>
      <c r="J153" s="344"/>
      <c r="K153" s="344"/>
      <c r="L153" s="344"/>
      <c r="M153" s="344"/>
      <c r="N153" s="344"/>
      <c r="O153" s="344"/>
      <c r="P153" s="344"/>
      <c r="Q153" s="344"/>
      <c r="R153" s="344"/>
      <c r="S153" s="344"/>
      <c r="T153" s="344"/>
      <c r="U153" s="344"/>
      <c r="V153" s="344"/>
      <c r="W153" s="344"/>
      <c r="X153" s="344"/>
      <c r="Y153" s="344"/>
      <c r="Z153" s="344"/>
      <c r="AA153" s="344"/>
      <c r="AB153" s="344"/>
      <c r="AC153" s="344"/>
      <c r="AD153" s="344"/>
    </row>
    <row r="154">
      <c r="A154" s="537"/>
      <c r="B154" s="527" t="s">
        <v>2249</v>
      </c>
      <c r="C154" s="527" t="s">
        <v>2250</v>
      </c>
      <c r="D154" s="531" t="s">
        <v>1918</v>
      </c>
      <c r="E154" s="536"/>
      <c r="F154" s="533" t="s">
        <v>2251</v>
      </c>
      <c r="G154" s="534" t="s">
        <v>1912</v>
      </c>
      <c r="H154" s="522" t="s">
        <v>1913</v>
      </c>
      <c r="I154" s="344"/>
      <c r="J154" s="344"/>
      <c r="K154" s="344"/>
      <c r="L154" s="344"/>
      <c r="M154" s="344"/>
      <c r="N154" s="344"/>
      <c r="O154" s="344"/>
      <c r="P154" s="344"/>
      <c r="Q154" s="344"/>
      <c r="R154" s="344"/>
      <c r="S154" s="344"/>
      <c r="T154" s="344"/>
      <c r="U154" s="344"/>
      <c r="V154" s="344"/>
      <c r="W154" s="344"/>
      <c r="X154" s="344"/>
      <c r="Y154" s="344"/>
      <c r="Z154" s="344"/>
      <c r="AA154" s="344"/>
      <c r="AB154" s="344"/>
      <c r="AC154" s="344"/>
      <c r="AD154" s="344"/>
    </row>
    <row r="155">
      <c r="A155" s="537"/>
      <c r="B155" s="527"/>
      <c r="C155" s="527"/>
      <c r="D155" s="531" t="s">
        <v>163</v>
      </c>
      <c r="E155" s="536"/>
      <c r="F155" s="533" t="s">
        <v>2252</v>
      </c>
      <c r="G155" s="534" t="s">
        <v>1912</v>
      </c>
      <c r="H155" s="522" t="s">
        <v>1913</v>
      </c>
      <c r="I155" s="344"/>
      <c r="J155" s="344"/>
      <c r="K155" s="344"/>
      <c r="L155" s="344"/>
      <c r="M155" s="344"/>
      <c r="N155" s="344"/>
      <c r="O155" s="344"/>
      <c r="P155" s="344"/>
      <c r="Q155" s="344"/>
      <c r="R155" s="344"/>
      <c r="S155" s="344"/>
      <c r="T155" s="344"/>
      <c r="U155" s="344"/>
      <c r="V155" s="344"/>
      <c r="W155" s="344"/>
      <c r="X155" s="344"/>
      <c r="Y155" s="344"/>
      <c r="Z155" s="344"/>
      <c r="AA155" s="344"/>
      <c r="AB155" s="344"/>
      <c r="AC155" s="344"/>
      <c r="AD155" s="344"/>
    </row>
    <row r="156">
      <c r="A156" s="537"/>
      <c r="B156" s="527"/>
      <c r="C156" s="527"/>
      <c r="D156" s="531" t="s">
        <v>101</v>
      </c>
      <c r="E156" s="536"/>
      <c r="F156" s="533" t="s">
        <v>2253</v>
      </c>
      <c r="G156" s="534" t="s">
        <v>1912</v>
      </c>
      <c r="H156" s="522" t="s">
        <v>1913</v>
      </c>
      <c r="I156" s="344"/>
      <c r="J156" s="344"/>
      <c r="K156" s="344"/>
      <c r="L156" s="344"/>
      <c r="M156" s="344"/>
      <c r="N156" s="344"/>
      <c r="O156" s="344"/>
      <c r="P156" s="344"/>
      <c r="Q156" s="344"/>
      <c r="R156" s="344"/>
      <c r="S156" s="344"/>
      <c r="T156" s="344"/>
      <c r="U156" s="344"/>
      <c r="V156" s="344"/>
      <c r="W156" s="344"/>
      <c r="X156" s="344"/>
      <c r="Y156" s="344"/>
      <c r="Z156" s="344"/>
      <c r="AA156" s="344"/>
      <c r="AB156" s="344"/>
      <c r="AC156" s="344"/>
      <c r="AD156" s="344"/>
    </row>
    <row r="157">
      <c r="A157" s="537"/>
      <c r="B157" s="527"/>
      <c r="C157" s="527"/>
      <c r="D157" s="531" t="s">
        <v>136</v>
      </c>
      <c r="E157" s="536"/>
      <c r="F157" s="533" t="s">
        <v>2254</v>
      </c>
      <c r="G157" s="534" t="s">
        <v>2255</v>
      </c>
      <c r="H157" s="522" t="s">
        <v>2113</v>
      </c>
      <c r="I157" s="344"/>
      <c r="J157" s="344"/>
      <c r="K157" s="344"/>
      <c r="L157" s="344"/>
      <c r="M157" s="344"/>
      <c r="N157" s="344"/>
      <c r="O157" s="344"/>
      <c r="P157" s="344"/>
      <c r="Q157" s="344"/>
      <c r="R157" s="344"/>
      <c r="S157" s="344"/>
      <c r="T157" s="344"/>
      <c r="U157" s="344"/>
      <c r="V157" s="344"/>
      <c r="W157" s="344"/>
      <c r="X157" s="344"/>
      <c r="Y157" s="344"/>
      <c r="Z157" s="344"/>
      <c r="AA157" s="344"/>
      <c r="AB157" s="344"/>
      <c r="AC157" s="344"/>
      <c r="AD157" s="344"/>
    </row>
    <row r="158">
      <c r="A158" s="537"/>
      <c r="B158" s="527"/>
      <c r="C158" s="527"/>
      <c r="D158" s="531"/>
      <c r="E158" s="536"/>
      <c r="F158" s="533" t="s">
        <v>2256</v>
      </c>
      <c r="G158" s="534" t="s">
        <v>2255</v>
      </c>
      <c r="H158" s="522" t="s">
        <v>2113</v>
      </c>
      <c r="I158" s="344"/>
      <c r="J158" s="344"/>
      <c r="K158" s="344"/>
      <c r="L158" s="344"/>
      <c r="M158" s="344"/>
      <c r="N158" s="344"/>
      <c r="O158" s="344"/>
      <c r="P158" s="344"/>
      <c r="Q158" s="344"/>
      <c r="R158" s="344"/>
      <c r="S158" s="344"/>
      <c r="T158" s="344"/>
      <c r="U158" s="344"/>
      <c r="V158" s="344"/>
      <c r="W158" s="344"/>
      <c r="X158" s="344"/>
      <c r="Y158" s="344"/>
      <c r="Z158" s="344"/>
      <c r="AA158" s="344"/>
      <c r="AB158" s="344"/>
      <c r="AC158" s="344"/>
      <c r="AD158" s="344"/>
    </row>
    <row r="159">
      <c r="A159" s="537"/>
      <c r="B159" s="527" t="s">
        <v>2257</v>
      </c>
      <c r="C159" s="527" t="s">
        <v>2258</v>
      </c>
      <c r="D159" s="531" t="s">
        <v>199</v>
      </c>
      <c r="E159" s="536"/>
      <c r="F159" s="533" t="s">
        <v>2259</v>
      </c>
      <c r="G159" s="534" t="s">
        <v>1912</v>
      </c>
      <c r="H159" s="522" t="s">
        <v>1913</v>
      </c>
      <c r="I159" s="344"/>
      <c r="J159" s="344"/>
      <c r="K159" s="344"/>
      <c r="L159" s="344"/>
      <c r="M159" s="344"/>
      <c r="N159" s="344"/>
      <c r="O159" s="344"/>
      <c r="P159" s="344"/>
      <c r="Q159" s="344"/>
      <c r="R159" s="344"/>
      <c r="S159" s="344"/>
      <c r="T159" s="344"/>
      <c r="U159" s="344"/>
      <c r="V159" s="344"/>
      <c r="W159" s="344"/>
      <c r="X159" s="344"/>
      <c r="Y159" s="344"/>
      <c r="Z159" s="344"/>
      <c r="AA159" s="344"/>
      <c r="AB159" s="344"/>
      <c r="AC159" s="344"/>
      <c r="AD159" s="344"/>
    </row>
    <row r="160">
      <c r="A160" s="537"/>
      <c r="B160" s="527"/>
      <c r="C160" s="527"/>
      <c r="D160" s="531" t="s">
        <v>1918</v>
      </c>
      <c r="E160" s="536"/>
      <c r="F160" s="533" t="s">
        <v>2260</v>
      </c>
      <c r="G160" s="534" t="s">
        <v>1912</v>
      </c>
      <c r="H160" s="522" t="s">
        <v>1913</v>
      </c>
      <c r="I160" s="344"/>
      <c r="J160" s="344"/>
      <c r="K160" s="344"/>
      <c r="L160" s="344"/>
      <c r="M160" s="344"/>
      <c r="N160" s="344"/>
      <c r="O160" s="344"/>
      <c r="P160" s="344"/>
      <c r="Q160" s="344"/>
      <c r="R160" s="344"/>
      <c r="S160" s="344"/>
      <c r="T160" s="344"/>
      <c r="U160" s="344"/>
      <c r="V160" s="344"/>
      <c r="W160" s="344"/>
      <c r="X160" s="344"/>
      <c r="Y160" s="344"/>
      <c r="Z160" s="344"/>
      <c r="AA160" s="344"/>
      <c r="AB160" s="344"/>
      <c r="AC160" s="344"/>
      <c r="AD160" s="344"/>
    </row>
    <row r="161">
      <c r="A161" s="537"/>
      <c r="B161" s="527"/>
      <c r="C161" s="527"/>
      <c r="D161" s="531" t="s">
        <v>163</v>
      </c>
      <c r="E161" s="536"/>
      <c r="F161" s="533" t="s">
        <v>2260</v>
      </c>
      <c r="G161" s="534" t="s">
        <v>1912</v>
      </c>
      <c r="H161" s="522" t="s">
        <v>1913</v>
      </c>
      <c r="I161" s="344"/>
      <c r="J161" s="344"/>
      <c r="K161" s="344"/>
      <c r="L161" s="344"/>
      <c r="M161" s="344"/>
      <c r="N161" s="344"/>
      <c r="O161" s="344"/>
      <c r="P161" s="344"/>
      <c r="Q161" s="344"/>
      <c r="R161" s="344"/>
      <c r="S161" s="344"/>
      <c r="T161" s="344"/>
      <c r="U161" s="344"/>
      <c r="V161" s="344"/>
      <c r="W161" s="344"/>
      <c r="X161" s="344"/>
      <c r="Y161" s="344"/>
      <c r="Z161" s="344"/>
      <c r="AA161" s="344"/>
      <c r="AB161" s="344"/>
      <c r="AC161" s="344"/>
      <c r="AD161" s="344"/>
    </row>
    <row r="162">
      <c r="A162" s="535" t="str">
        <f>'Tabel Suplemen A1'!B11</f>
        <v>Memiliki pemahaman yang memadai terkait cara kerja sistem komputer dan berbagai teknik/pendekatan berbasis komputasi untuk memecahkan masalah stakeholder.</v>
      </c>
      <c r="B162" s="527" t="s">
        <v>2261</v>
      </c>
      <c r="C162" s="527" t="s">
        <v>2262</v>
      </c>
      <c r="D162" s="531" t="s">
        <v>88</v>
      </c>
      <c r="E162" s="536"/>
      <c r="F162" s="533" t="s">
        <v>2263</v>
      </c>
      <c r="G162" s="534" t="s">
        <v>1982</v>
      </c>
      <c r="H162" s="522" t="s">
        <v>2058</v>
      </c>
      <c r="I162" s="344"/>
      <c r="J162" s="344"/>
      <c r="K162" s="344"/>
      <c r="L162" s="344"/>
      <c r="M162" s="344"/>
      <c r="N162" s="344"/>
      <c r="O162" s="344"/>
      <c r="P162" s="344"/>
      <c r="Q162" s="344"/>
      <c r="R162" s="344"/>
      <c r="S162" s="344"/>
      <c r="T162" s="344"/>
      <c r="U162" s="344"/>
      <c r="V162" s="344"/>
      <c r="W162" s="344"/>
      <c r="X162" s="344"/>
      <c r="Y162" s="344"/>
      <c r="Z162" s="344"/>
      <c r="AA162" s="344"/>
      <c r="AB162" s="344"/>
      <c r="AC162" s="344"/>
      <c r="AD162" s="344"/>
    </row>
    <row r="163">
      <c r="A163" s="535"/>
      <c r="B163" s="527"/>
      <c r="C163" s="527"/>
      <c r="D163" s="531" t="s">
        <v>65</v>
      </c>
      <c r="E163" s="536"/>
      <c r="F163" s="533" t="s">
        <v>2264</v>
      </c>
      <c r="G163" s="534" t="s">
        <v>1887</v>
      </c>
      <c r="H163" s="522" t="s">
        <v>1949</v>
      </c>
      <c r="I163" s="344"/>
      <c r="J163" s="344"/>
      <c r="K163" s="344"/>
      <c r="L163" s="344"/>
      <c r="M163" s="344"/>
      <c r="N163" s="344"/>
      <c r="O163" s="344"/>
      <c r="P163" s="344"/>
      <c r="Q163" s="344"/>
      <c r="R163" s="344"/>
      <c r="S163" s="344"/>
      <c r="T163" s="344"/>
      <c r="U163" s="344"/>
      <c r="V163" s="344"/>
      <c r="W163" s="344"/>
      <c r="X163" s="344"/>
      <c r="Y163" s="344"/>
      <c r="Z163" s="344"/>
      <c r="AA163" s="344"/>
      <c r="AB163" s="344"/>
      <c r="AC163" s="344"/>
      <c r="AD163" s="344"/>
    </row>
    <row r="164">
      <c r="A164" s="535"/>
      <c r="B164" s="527"/>
      <c r="C164" s="527"/>
      <c r="D164" s="531" t="s">
        <v>128</v>
      </c>
      <c r="E164" s="536"/>
      <c r="F164" s="533" t="s">
        <v>2265</v>
      </c>
      <c r="G164" s="534" t="s">
        <v>1982</v>
      </c>
      <c r="H164" s="522" t="s">
        <v>2058</v>
      </c>
      <c r="I164" s="344"/>
      <c r="J164" s="344"/>
      <c r="K164" s="344"/>
      <c r="L164" s="344"/>
      <c r="M164" s="344"/>
      <c r="N164" s="344"/>
      <c r="O164" s="344"/>
      <c r="P164" s="344"/>
      <c r="Q164" s="344"/>
      <c r="R164" s="344"/>
      <c r="S164" s="344"/>
      <c r="T164" s="344"/>
      <c r="U164" s="344"/>
      <c r="V164" s="344"/>
      <c r="W164" s="344"/>
      <c r="X164" s="344"/>
      <c r="Y164" s="344"/>
      <c r="Z164" s="344"/>
      <c r="AA164" s="344"/>
      <c r="AB164" s="344"/>
      <c r="AC164" s="344"/>
      <c r="AD164" s="344"/>
    </row>
    <row r="165">
      <c r="A165" s="535"/>
      <c r="B165" s="527"/>
      <c r="C165" s="527"/>
      <c r="D165" s="531" t="s">
        <v>130</v>
      </c>
      <c r="E165" s="536"/>
      <c r="F165" s="533" t="s">
        <v>2266</v>
      </c>
      <c r="G165" s="534" t="s">
        <v>1982</v>
      </c>
      <c r="H165" s="522" t="s">
        <v>2083</v>
      </c>
      <c r="I165" s="344"/>
      <c r="J165" s="344"/>
      <c r="K165" s="344"/>
      <c r="L165" s="344"/>
      <c r="M165" s="344"/>
      <c r="N165" s="344"/>
      <c r="O165" s="344"/>
      <c r="P165" s="344"/>
      <c r="Q165" s="344"/>
      <c r="R165" s="344"/>
      <c r="S165" s="344"/>
      <c r="T165" s="344"/>
      <c r="U165" s="344"/>
      <c r="V165" s="344"/>
      <c r="W165" s="344"/>
      <c r="X165" s="344"/>
      <c r="Y165" s="344"/>
      <c r="Z165" s="344"/>
      <c r="AA165" s="344"/>
      <c r="AB165" s="344"/>
      <c r="AC165" s="344"/>
      <c r="AD165" s="344"/>
    </row>
    <row r="166">
      <c r="A166" s="537"/>
      <c r="B166" s="534" t="s">
        <v>2267</v>
      </c>
      <c r="C166" s="534" t="s">
        <v>2268</v>
      </c>
      <c r="D166" s="531" t="s">
        <v>134</v>
      </c>
      <c r="E166" s="536"/>
      <c r="F166" s="533" t="s">
        <v>2269</v>
      </c>
      <c r="G166" s="12" t="s">
        <v>2216</v>
      </c>
      <c r="H166" s="522" t="s">
        <v>2217</v>
      </c>
      <c r="I166" s="344"/>
      <c r="J166" s="344"/>
      <c r="K166" s="344"/>
      <c r="L166" s="344"/>
      <c r="M166" s="344"/>
      <c r="N166" s="344"/>
      <c r="O166" s="344"/>
      <c r="P166" s="344"/>
      <c r="Q166" s="344"/>
      <c r="R166" s="344"/>
      <c r="S166" s="344"/>
      <c r="T166" s="344"/>
      <c r="U166" s="344"/>
      <c r="V166" s="344"/>
      <c r="W166" s="344"/>
      <c r="X166" s="344"/>
      <c r="Y166" s="344"/>
      <c r="Z166" s="344"/>
      <c r="AA166" s="344"/>
      <c r="AB166" s="344"/>
      <c r="AC166" s="344"/>
      <c r="AD166" s="344"/>
    </row>
    <row r="167">
      <c r="A167" s="537"/>
      <c r="B167" s="534"/>
      <c r="C167" s="534"/>
      <c r="D167" s="531" t="s">
        <v>69</v>
      </c>
      <c r="E167" s="536"/>
      <c r="F167" s="533" t="s">
        <v>2270</v>
      </c>
      <c r="G167" s="534" t="s">
        <v>2271</v>
      </c>
      <c r="H167" s="522" t="s">
        <v>2272</v>
      </c>
      <c r="I167" s="344"/>
      <c r="J167" s="344"/>
      <c r="K167" s="344"/>
      <c r="L167" s="344"/>
      <c r="M167" s="344"/>
      <c r="N167" s="344"/>
      <c r="O167" s="344"/>
      <c r="P167" s="344"/>
      <c r="Q167" s="344"/>
      <c r="R167" s="344"/>
      <c r="S167" s="344"/>
      <c r="T167" s="344"/>
      <c r="U167" s="344"/>
      <c r="V167" s="344"/>
      <c r="W167" s="344"/>
      <c r="X167" s="344"/>
      <c r="Y167" s="344"/>
      <c r="Z167" s="344"/>
      <c r="AA167" s="344"/>
      <c r="AB167" s="344"/>
      <c r="AC167" s="344"/>
      <c r="AD167" s="344"/>
    </row>
    <row r="168">
      <c r="A168" s="537"/>
      <c r="B168" s="534"/>
      <c r="C168" s="534"/>
      <c r="D168" s="531"/>
      <c r="E168" s="536"/>
      <c r="F168" s="533" t="s">
        <v>2273</v>
      </c>
      <c r="G168" s="534" t="s">
        <v>2216</v>
      </c>
      <c r="H168" s="522" t="s">
        <v>2217</v>
      </c>
      <c r="I168" s="344"/>
      <c r="J168" s="344"/>
      <c r="K168" s="344"/>
      <c r="L168" s="344"/>
      <c r="M168" s="344"/>
      <c r="N168" s="344"/>
      <c r="O168" s="344"/>
      <c r="P168" s="344"/>
      <c r="Q168" s="344"/>
      <c r="R168" s="344"/>
      <c r="S168" s="344"/>
      <c r="T168" s="344"/>
      <c r="U168" s="344"/>
      <c r="V168" s="344"/>
      <c r="W168" s="344"/>
      <c r="X168" s="344"/>
      <c r="Y168" s="344"/>
      <c r="Z168" s="344"/>
      <c r="AA168" s="344"/>
      <c r="AB168" s="344"/>
      <c r="AC168" s="344"/>
      <c r="AD168" s="344"/>
    </row>
    <row r="169">
      <c r="A169" s="537"/>
      <c r="B169" s="534"/>
      <c r="C169" s="534"/>
      <c r="D169" s="531"/>
      <c r="E169" s="536"/>
      <c r="F169" s="533" t="s">
        <v>2274</v>
      </c>
      <c r="G169" s="534" t="s">
        <v>2216</v>
      </c>
      <c r="H169" s="522" t="s">
        <v>2217</v>
      </c>
      <c r="I169" s="344"/>
      <c r="J169" s="344"/>
      <c r="K169" s="344"/>
      <c r="L169" s="344"/>
      <c r="M169" s="344"/>
      <c r="N169" s="344"/>
      <c r="O169" s="344"/>
      <c r="P169" s="344"/>
      <c r="Q169" s="344"/>
      <c r="R169" s="344"/>
      <c r="S169" s="344"/>
      <c r="T169" s="344"/>
      <c r="U169" s="344"/>
      <c r="V169" s="344"/>
      <c r="W169" s="344"/>
      <c r="X169" s="344"/>
      <c r="Y169" s="344"/>
      <c r="Z169" s="344"/>
      <c r="AA169" s="344"/>
      <c r="AB169" s="344"/>
      <c r="AC169" s="344"/>
      <c r="AD169" s="344"/>
    </row>
    <row r="170">
      <c r="A170" s="537"/>
      <c r="B170" s="534"/>
      <c r="C170" s="534"/>
      <c r="D170" s="531" t="s">
        <v>79</v>
      </c>
      <c r="E170" s="536"/>
      <c r="F170" s="533" t="s">
        <v>2275</v>
      </c>
      <c r="G170" s="534" t="s">
        <v>2276</v>
      </c>
      <c r="H170" s="522" t="s">
        <v>2185</v>
      </c>
      <c r="I170" s="344"/>
      <c r="J170" s="344"/>
      <c r="K170" s="344"/>
      <c r="L170" s="344"/>
      <c r="M170" s="344"/>
      <c r="N170" s="344"/>
      <c r="O170" s="344"/>
      <c r="P170" s="344"/>
      <c r="Q170" s="344"/>
      <c r="R170" s="344"/>
      <c r="S170" s="344"/>
      <c r="T170" s="344"/>
      <c r="U170" s="344"/>
      <c r="V170" s="344"/>
      <c r="W170" s="344"/>
      <c r="X170" s="344"/>
      <c r="Y170" s="344"/>
      <c r="Z170" s="344"/>
      <c r="AA170" s="344"/>
      <c r="AB170" s="344"/>
      <c r="AC170" s="344"/>
      <c r="AD170" s="344"/>
    </row>
    <row r="171">
      <c r="A171" s="537"/>
      <c r="B171" s="534"/>
      <c r="C171" s="534"/>
      <c r="D171" s="531" t="s">
        <v>84</v>
      </c>
      <c r="E171" s="536"/>
      <c r="F171" s="533" t="s">
        <v>2277</v>
      </c>
      <c r="G171" s="534" t="s">
        <v>2278</v>
      </c>
      <c r="H171" s="522" t="s">
        <v>2279</v>
      </c>
      <c r="I171" s="344"/>
      <c r="J171" s="344"/>
      <c r="K171" s="344"/>
      <c r="L171" s="344"/>
      <c r="M171" s="344"/>
      <c r="N171" s="344"/>
      <c r="O171" s="344"/>
      <c r="P171" s="344"/>
      <c r="Q171" s="344"/>
      <c r="R171" s="344"/>
      <c r="S171" s="344"/>
      <c r="T171" s="344"/>
      <c r="U171" s="344"/>
      <c r="V171" s="344"/>
      <c r="W171" s="344"/>
      <c r="X171" s="344"/>
      <c r="Y171" s="344"/>
      <c r="Z171" s="344"/>
      <c r="AA171" s="344"/>
      <c r="AB171" s="344"/>
      <c r="AC171" s="344"/>
      <c r="AD171" s="344"/>
    </row>
    <row r="172">
      <c r="A172" s="537"/>
      <c r="B172" s="534"/>
      <c r="C172" s="534"/>
      <c r="D172" s="531"/>
      <c r="E172" s="536"/>
      <c r="F172" s="533" t="s">
        <v>2280</v>
      </c>
      <c r="G172" s="534" t="s">
        <v>2281</v>
      </c>
      <c r="H172" s="522" t="s">
        <v>2282</v>
      </c>
      <c r="I172" s="344"/>
      <c r="J172" s="344"/>
      <c r="K172" s="344"/>
      <c r="L172" s="344"/>
      <c r="M172" s="344"/>
      <c r="N172" s="344"/>
      <c r="O172" s="344"/>
      <c r="P172" s="344"/>
      <c r="Q172" s="344"/>
      <c r="R172" s="344"/>
      <c r="S172" s="344"/>
      <c r="T172" s="344"/>
      <c r="U172" s="344"/>
      <c r="V172" s="344"/>
      <c r="W172" s="344"/>
      <c r="X172" s="344"/>
      <c r="Y172" s="344"/>
      <c r="Z172" s="344"/>
      <c r="AA172" s="344"/>
      <c r="AB172" s="344"/>
      <c r="AC172" s="344"/>
      <c r="AD172" s="344"/>
    </row>
    <row r="173">
      <c r="A173" s="537"/>
      <c r="B173" s="534"/>
      <c r="C173" s="534"/>
      <c r="D173" s="531"/>
      <c r="E173" s="536"/>
      <c r="F173" s="533" t="s">
        <v>2283</v>
      </c>
      <c r="G173" s="534" t="s">
        <v>2284</v>
      </c>
      <c r="H173" s="522" t="s">
        <v>2285</v>
      </c>
      <c r="I173" s="344"/>
      <c r="J173" s="344"/>
      <c r="K173" s="344"/>
      <c r="L173" s="344"/>
      <c r="M173" s="344"/>
      <c r="N173" s="344"/>
      <c r="O173" s="344"/>
      <c r="P173" s="344"/>
      <c r="Q173" s="344"/>
      <c r="R173" s="344"/>
      <c r="S173" s="344"/>
      <c r="T173" s="344"/>
      <c r="U173" s="344"/>
      <c r="V173" s="344"/>
      <c r="W173" s="344"/>
      <c r="X173" s="344"/>
      <c r="Y173" s="344"/>
      <c r="Z173" s="344"/>
      <c r="AA173" s="344"/>
      <c r="AB173" s="344"/>
      <c r="AC173" s="344"/>
      <c r="AD173" s="344"/>
    </row>
    <row r="174">
      <c r="A174" s="537"/>
      <c r="B174" s="534"/>
      <c r="C174" s="534"/>
      <c r="D174" s="531" t="s">
        <v>111</v>
      </c>
      <c r="E174" s="536"/>
      <c r="F174" s="533" t="s">
        <v>2286</v>
      </c>
      <c r="G174" s="534" t="s">
        <v>2161</v>
      </c>
      <c r="H174" s="522" t="s">
        <v>2287</v>
      </c>
      <c r="I174" s="344"/>
      <c r="J174" s="344"/>
      <c r="K174" s="344"/>
      <c r="L174" s="344"/>
      <c r="M174" s="344"/>
      <c r="N174" s="344"/>
      <c r="O174" s="344"/>
      <c r="P174" s="344"/>
      <c r="Q174" s="344"/>
      <c r="R174" s="344"/>
      <c r="S174" s="344"/>
      <c r="T174" s="344"/>
      <c r="U174" s="344"/>
      <c r="V174" s="344"/>
      <c r="W174" s="344"/>
      <c r="X174" s="344"/>
      <c r="Y174" s="344"/>
      <c r="Z174" s="344"/>
      <c r="AA174" s="344"/>
      <c r="AB174" s="344"/>
      <c r="AC174" s="344"/>
      <c r="AD174" s="344"/>
    </row>
    <row r="175">
      <c r="A175" s="537"/>
      <c r="B175" s="534"/>
      <c r="C175" s="534"/>
      <c r="D175" s="531"/>
      <c r="E175" s="536"/>
      <c r="F175" s="533"/>
      <c r="G175" s="538"/>
      <c r="H175" s="535"/>
      <c r="I175" s="344"/>
      <c r="J175" s="344"/>
      <c r="K175" s="344"/>
      <c r="L175" s="344"/>
      <c r="M175" s="344"/>
      <c r="N175" s="344"/>
      <c r="O175" s="344"/>
      <c r="P175" s="344"/>
      <c r="Q175" s="344"/>
      <c r="R175" s="344"/>
      <c r="S175" s="344"/>
      <c r="T175" s="344"/>
      <c r="U175" s="344"/>
      <c r="V175" s="344"/>
      <c r="W175" s="344"/>
      <c r="X175" s="344"/>
      <c r="Y175" s="344"/>
      <c r="Z175" s="344"/>
      <c r="AA175" s="344"/>
      <c r="AB175" s="344"/>
      <c r="AC175" s="344"/>
      <c r="AD175" s="344"/>
    </row>
    <row r="176">
      <c r="A176" s="537"/>
      <c r="B176" s="527" t="s">
        <v>2288</v>
      </c>
      <c r="C176" s="527" t="s">
        <v>2289</v>
      </c>
      <c r="D176" s="531" t="s">
        <v>1955</v>
      </c>
      <c r="E176" s="536"/>
      <c r="F176" s="533" t="s">
        <v>2290</v>
      </c>
      <c r="G176" s="534" t="s">
        <v>2291</v>
      </c>
      <c r="H176" s="522" t="s">
        <v>2292</v>
      </c>
      <c r="I176" s="344"/>
      <c r="J176" s="344"/>
      <c r="K176" s="344"/>
      <c r="L176" s="344"/>
      <c r="M176" s="344"/>
      <c r="N176" s="344"/>
      <c r="O176" s="344"/>
      <c r="P176" s="344"/>
      <c r="Q176" s="344"/>
      <c r="R176" s="344"/>
      <c r="S176" s="344"/>
      <c r="T176" s="344"/>
      <c r="U176" s="344"/>
      <c r="V176" s="344"/>
      <c r="W176" s="344"/>
      <c r="X176" s="344"/>
      <c r="Y176" s="344"/>
      <c r="Z176" s="344"/>
      <c r="AA176" s="344"/>
      <c r="AB176" s="344"/>
      <c r="AC176" s="344"/>
      <c r="AD176" s="344"/>
    </row>
    <row r="177">
      <c r="A177" s="344"/>
      <c r="B177" s="539"/>
      <c r="C177" s="539"/>
      <c r="D177" s="540" t="s">
        <v>101</v>
      </c>
      <c r="E177" s="541"/>
      <c r="F177" s="542" t="s">
        <v>2293</v>
      </c>
      <c r="G177" s="543" t="s">
        <v>1912</v>
      </c>
      <c r="H177" s="514" t="s">
        <v>1913</v>
      </c>
      <c r="I177" s="344"/>
      <c r="J177" s="344"/>
      <c r="K177" s="344"/>
      <c r="L177" s="344"/>
      <c r="M177" s="344"/>
      <c r="N177" s="344"/>
      <c r="O177" s="344"/>
      <c r="P177" s="344"/>
      <c r="Q177" s="344"/>
      <c r="R177" s="344"/>
      <c r="S177" s="344"/>
      <c r="T177" s="344"/>
      <c r="U177" s="344"/>
      <c r="V177" s="344"/>
      <c r="W177" s="344"/>
      <c r="X177" s="344"/>
      <c r="Y177" s="344"/>
      <c r="Z177" s="344"/>
      <c r="AA177" s="344"/>
      <c r="AB177" s="344"/>
      <c r="AC177" s="344"/>
      <c r="AD177" s="344"/>
    </row>
    <row r="178">
      <c r="A178" s="344"/>
      <c r="B178" s="539"/>
      <c r="C178" s="539"/>
      <c r="D178" s="540" t="s">
        <v>2172</v>
      </c>
      <c r="E178" s="541"/>
      <c r="F178" s="542" t="s">
        <v>2294</v>
      </c>
      <c r="G178" s="543" t="s">
        <v>2174</v>
      </c>
      <c r="H178" s="514" t="s">
        <v>2295</v>
      </c>
      <c r="I178" s="344"/>
      <c r="J178" s="344"/>
      <c r="K178" s="344"/>
      <c r="L178" s="344"/>
      <c r="M178" s="344"/>
      <c r="N178" s="344"/>
      <c r="O178" s="344"/>
      <c r="P178" s="344"/>
      <c r="Q178" s="344"/>
      <c r="R178" s="344"/>
      <c r="S178" s="344"/>
      <c r="T178" s="344"/>
      <c r="U178" s="344"/>
      <c r="V178" s="344"/>
      <c r="W178" s="344"/>
      <c r="X178" s="344"/>
      <c r="Y178" s="344"/>
      <c r="Z178" s="344"/>
      <c r="AA178" s="344"/>
      <c r="AB178" s="344"/>
      <c r="AC178" s="344"/>
      <c r="AD178" s="344"/>
    </row>
    <row r="179">
      <c r="A179" s="344"/>
      <c r="B179" s="539"/>
      <c r="C179" s="539"/>
      <c r="D179" s="540" t="s">
        <v>73</v>
      </c>
      <c r="E179" s="541"/>
      <c r="F179" s="542" t="s">
        <v>2296</v>
      </c>
      <c r="G179" s="543" t="s">
        <v>2184</v>
      </c>
      <c r="H179" s="514" t="s">
        <v>2185</v>
      </c>
      <c r="I179" s="344"/>
      <c r="J179" s="344"/>
      <c r="K179" s="344"/>
      <c r="L179" s="344"/>
      <c r="M179" s="344"/>
      <c r="N179" s="344"/>
      <c r="O179" s="344"/>
      <c r="P179" s="344"/>
      <c r="Q179" s="344"/>
      <c r="R179" s="344"/>
      <c r="S179" s="344"/>
      <c r="T179" s="344"/>
      <c r="U179" s="344"/>
      <c r="V179" s="344"/>
      <c r="W179" s="344"/>
      <c r="X179" s="344"/>
      <c r="Y179" s="344"/>
      <c r="Z179" s="344"/>
      <c r="AA179" s="344"/>
      <c r="AB179" s="344"/>
      <c r="AC179" s="344"/>
      <c r="AD179" s="344"/>
    </row>
    <row r="180">
      <c r="A180" s="344"/>
      <c r="B180" s="539"/>
      <c r="C180" s="539"/>
      <c r="D180" s="540"/>
      <c r="E180" s="541"/>
      <c r="F180" s="542" t="s">
        <v>2297</v>
      </c>
      <c r="G180" s="543" t="s">
        <v>1982</v>
      </c>
      <c r="H180" s="514" t="s">
        <v>2083</v>
      </c>
      <c r="I180" s="344"/>
      <c r="J180" s="344"/>
      <c r="K180" s="344"/>
      <c r="L180" s="344"/>
      <c r="M180" s="344"/>
      <c r="N180" s="344"/>
      <c r="O180" s="344"/>
      <c r="P180" s="344"/>
      <c r="Q180" s="344"/>
      <c r="R180" s="344"/>
      <c r="S180" s="344"/>
      <c r="T180" s="344"/>
      <c r="U180" s="344"/>
      <c r="V180" s="344"/>
      <c r="W180" s="344"/>
      <c r="X180" s="344"/>
      <c r="Y180" s="344"/>
      <c r="Z180" s="344"/>
      <c r="AA180" s="344"/>
      <c r="AB180" s="344"/>
      <c r="AC180" s="344"/>
      <c r="AD180" s="344"/>
    </row>
    <row r="181">
      <c r="A181" s="344"/>
      <c r="B181" s="539"/>
      <c r="C181" s="539"/>
      <c r="D181" s="540" t="s">
        <v>75</v>
      </c>
      <c r="E181" s="541"/>
      <c r="F181" s="544" t="s">
        <v>2298</v>
      </c>
      <c r="G181" s="543" t="s">
        <v>2189</v>
      </c>
      <c r="H181" s="514" t="s">
        <v>2190</v>
      </c>
      <c r="I181" s="344"/>
      <c r="J181" s="344"/>
      <c r="K181" s="344"/>
      <c r="L181" s="344"/>
      <c r="M181" s="344"/>
      <c r="N181" s="344"/>
      <c r="O181" s="344"/>
      <c r="P181" s="344"/>
      <c r="Q181" s="344"/>
      <c r="R181" s="344"/>
      <c r="S181" s="344"/>
      <c r="T181" s="344"/>
      <c r="U181" s="344"/>
      <c r="V181" s="344"/>
      <c r="W181" s="344"/>
      <c r="X181" s="344"/>
      <c r="Y181" s="344"/>
      <c r="Z181" s="344"/>
      <c r="AA181" s="344"/>
      <c r="AB181" s="344"/>
      <c r="AC181" s="344"/>
      <c r="AD181" s="344"/>
    </row>
    <row r="182">
      <c r="A182" s="344"/>
      <c r="B182" s="539"/>
      <c r="C182" s="539"/>
      <c r="D182" s="540"/>
      <c r="E182" s="541"/>
      <c r="F182" s="542" t="s">
        <v>2299</v>
      </c>
      <c r="G182" s="543" t="s">
        <v>1982</v>
      </c>
      <c r="H182" s="514" t="s">
        <v>2083</v>
      </c>
      <c r="I182" s="344"/>
      <c r="J182" s="344"/>
      <c r="K182" s="344"/>
      <c r="L182" s="344"/>
      <c r="M182" s="344"/>
      <c r="N182" s="344"/>
      <c r="O182" s="344"/>
      <c r="P182" s="344"/>
      <c r="Q182" s="344"/>
      <c r="R182" s="344"/>
      <c r="S182" s="344"/>
      <c r="T182" s="344"/>
      <c r="U182" s="344"/>
      <c r="V182" s="344"/>
      <c r="W182" s="344"/>
      <c r="X182" s="344"/>
      <c r="Y182" s="344"/>
      <c r="Z182" s="344"/>
      <c r="AA182" s="344"/>
      <c r="AB182" s="344"/>
      <c r="AC182" s="344"/>
      <c r="AD182" s="344"/>
    </row>
    <row r="183">
      <c r="A183" s="344"/>
      <c r="B183" s="539" t="s">
        <v>2300</v>
      </c>
      <c r="C183" s="539" t="s">
        <v>2301</v>
      </c>
      <c r="D183" s="540" t="s">
        <v>168</v>
      </c>
      <c r="E183" s="541"/>
      <c r="F183" s="542" t="s">
        <v>2302</v>
      </c>
      <c r="G183" s="543" t="s">
        <v>1982</v>
      </c>
      <c r="H183" s="514" t="s">
        <v>1924</v>
      </c>
      <c r="I183" s="344"/>
      <c r="J183" s="344"/>
      <c r="K183" s="344"/>
      <c r="L183" s="344"/>
      <c r="M183" s="344"/>
      <c r="N183" s="344"/>
      <c r="O183" s="344"/>
      <c r="P183" s="344"/>
      <c r="Q183" s="344"/>
      <c r="R183" s="344"/>
      <c r="S183" s="344"/>
      <c r="T183" s="344"/>
      <c r="U183" s="344"/>
      <c r="V183" s="344"/>
      <c r="W183" s="344"/>
      <c r="X183" s="344"/>
      <c r="Y183" s="344"/>
      <c r="Z183" s="344"/>
      <c r="AA183" s="344"/>
      <c r="AB183" s="344"/>
      <c r="AC183" s="344"/>
      <c r="AD183" s="344"/>
    </row>
    <row r="184">
      <c r="A184" s="344"/>
      <c r="B184" s="539"/>
      <c r="C184" s="539"/>
      <c r="D184" s="540"/>
      <c r="E184" s="541"/>
      <c r="F184" s="542" t="s">
        <v>2303</v>
      </c>
      <c r="G184" s="543" t="s">
        <v>1982</v>
      </c>
      <c r="H184" s="514" t="s">
        <v>1924</v>
      </c>
      <c r="I184" s="344"/>
      <c r="J184" s="344"/>
      <c r="K184" s="344"/>
      <c r="L184" s="344"/>
      <c r="M184" s="344"/>
      <c r="N184" s="344"/>
      <c r="O184" s="344"/>
      <c r="P184" s="344"/>
      <c r="Q184" s="344"/>
      <c r="R184" s="344"/>
      <c r="S184" s="344"/>
      <c r="T184" s="344"/>
      <c r="U184" s="344"/>
      <c r="V184" s="344"/>
      <c r="W184" s="344"/>
      <c r="X184" s="344"/>
      <c r="Y184" s="344"/>
      <c r="Z184" s="344"/>
      <c r="AA184" s="344"/>
      <c r="AB184" s="344"/>
      <c r="AC184" s="344"/>
      <c r="AD184" s="344"/>
    </row>
    <row r="185">
      <c r="A185" s="344"/>
      <c r="B185" s="539" t="s">
        <v>2304</v>
      </c>
      <c r="C185" s="539" t="s">
        <v>2305</v>
      </c>
      <c r="D185" s="540" t="s">
        <v>170</v>
      </c>
      <c r="E185" s="541"/>
      <c r="F185" s="542" t="s">
        <v>2306</v>
      </c>
      <c r="G185" s="543" t="s">
        <v>2053</v>
      </c>
      <c r="H185" s="514" t="s">
        <v>2307</v>
      </c>
      <c r="I185" s="344"/>
      <c r="J185" s="344"/>
      <c r="K185" s="344"/>
      <c r="L185" s="344"/>
      <c r="M185" s="344"/>
      <c r="N185" s="344"/>
      <c r="O185" s="344"/>
      <c r="P185" s="344"/>
      <c r="Q185" s="344"/>
      <c r="R185" s="344"/>
      <c r="S185" s="344"/>
      <c r="T185" s="344"/>
      <c r="U185" s="344"/>
      <c r="V185" s="344"/>
      <c r="W185" s="344"/>
      <c r="X185" s="344"/>
      <c r="Y185" s="344"/>
      <c r="Z185" s="344"/>
      <c r="AA185" s="344"/>
      <c r="AB185" s="344"/>
      <c r="AC185" s="344"/>
      <c r="AD185" s="344"/>
    </row>
    <row r="186">
      <c r="A186" s="545" t="str">
        <f>'Tabel Suplemen A1'!B12</f>
        <v>Memiliki kompetensi untuk menganalisis persoalan kompleks untuk mengidentifikasi solusi bidang informatika/ilmu komputer dengan mempertimbangkan wawasan ilmu multidisiplin.</v>
      </c>
      <c r="B186" s="546" t="s">
        <v>2308</v>
      </c>
      <c r="C186" s="546" t="s">
        <v>2309</v>
      </c>
      <c r="D186" s="495" t="s">
        <v>92</v>
      </c>
      <c r="E186" s="344"/>
      <c r="F186" s="547" t="s">
        <v>2310</v>
      </c>
      <c r="G186" s="514" t="s">
        <v>2311</v>
      </c>
      <c r="H186" s="514" t="s">
        <v>2312</v>
      </c>
      <c r="I186" s="344"/>
      <c r="J186" s="344"/>
      <c r="K186" s="344"/>
      <c r="L186" s="344"/>
      <c r="M186" s="344"/>
      <c r="N186" s="344"/>
      <c r="O186" s="344"/>
      <c r="P186" s="344"/>
      <c r="Q186" s="344"/>
      <c r="R186" s="344"/>
      <c r="S186" s="344"/>
      <c r="T186" s="344"/>
      <c r="U186" s="344"/>
      <c r="V186" s="344"/>
      <c r="W186" s="344"/>
      <c r="X186" s="344"/>
      <c r="Y186" s="344"/>
      <c r="Z186" s="344"/>
      <c r="AA186" s="344"/>
      <c r="AB186" s="344"/>
      <c r="AC186" s="344"/>
      <c r="AD186" s="344"/>
    </row>
    <row r="187">
      <c r="A187" s="545"/>
      <c r="B187" s="546"/>
      <c r="C187" s="546"/>
      <c r="D187" s="495"/>
      <c r="E187" s="344"/>
      <c r="F187" s="547" t="s">
        <v>2313</v>
      </c>
      <c r="G187" s="514" t="s">
        <v>2314</v>
      </c>
      <c r="H187" s="514" t="s">
        <v>2315</v>
      </c>
      <c r="I187" s="344"/>
      <c r="J187" s="344"/>
      <c r="K187" s="344"/>
      <c r="L187" s="344"/>
      <c r="M187" s="344"/>
      <c r="N187" s="344"/>
      <c r="O187" s="344"/>
      <c r="P187" s="344"/>
      <c r="Q187" s="344"/>
      <c r="R187" s="344"/>
      <c r="S187" s="344"/>
      <c r="T187" s="344"/>
      <c r="U187" s="344"/>
      <c r="V187" s="344"/>
      <c r="W187" s="344"/>
      <c r="X187" s="344"/>
      <c r="Y187" s="344"/>
      <c r="Z187" s="344"/>
      <c r="AA187" s="344"/>
      <c r="AB187" s="344"/>
      <c r="AC187" s="344"/>
      <c r="AD187" s="344"/>
    </row>
    <row r="188">
      <c r="A188" s="545"/>
      <c r="B188" s="546"/>
      <c r="C188" s="546"/>
      <c r="D188" s="495" t="s">
        <v>94</v>
      </c>
      <c r="E188" s="344"/>
      <c r="F188" s="547" t="s">
        <v>2316</v>
      </c>
      <c r="G188" s="514" t="s">
        <v>2317</v>
      </c>
      <c r="H188" s="514" t="s">
        <v>2315</v>
      </c>
      <c r="I188" s="344"/>
      <c r="J188" s="344"/>
      <c r="K188" s="344"/>
      <c r="L188" s="344"/>
      <c r="M188" s="344"/>
      <c r="N188" s="344"/>
      <c r="O188" s="344"/>
      <c r="P188" s="344"/>
      <c r="Q188" s="344"/>
      <c r="R188" s="344"/>
      <c r="S188" s="344"/>
      <c r="T188" s="344"/>
      <c r="U188" s="344"/>
      <c r="V188" s="344"/>
      <c r="W188" s="344"/>
      <c r="X188" s="344"/>
      <c r="Y188" s="344"/>
      <c r="Z188" s="344"/>
      <c r="AA188" s="344"/>
      <c r="AB188" s="344"/>
      <c r="AC188" s="344"/>
      <c r="AD188" s="344"/>
    </row>
    <row r="189">
      <c r="A189" s="545"/>
      <c r="B189" s="546"/>
      <c r="C189" s="546"/>
      <c r="D189" s="495" t="s">
        <v>103</v>
      </c>
      <c r="E189" s="344"/>
      <c r="F189" s="547" t="s">
        <v>2318</v>
      </c>
      <c r="G189" s="514" t="s">
        <v>1887</v>
      </c>
      <c r="H189" s="514" t="s">
        <v>1949</v>
      </c>
      <c r="I189" s="344"/>
      <c r="J189" s="344"/>
      <c r="K189" s="344"/>
      <c r="L189" s="344"/>
      <c r="M189" s="344"/>
      <c r="N189" s="344"/>
      <c r="O189" s="344"/>
      <c r="P189" s="344"/>
      <c r="Q189" s="344"/>
      <c r="R189" s="344"/>
      <c r="S189" s="344"/>
      <c r="T189" s="344"/>
      <c r="U189" s="344"/>
      <c r="V189" s="344"/>
      <c r="W189" s="344"/>
      <c r="X189" s="344"/>
      <c r="Y189" s="344"/>
      <c r="Z189" s="344"/>
      <c r="AA189" s="344"/>
      <c r="AB189" s="344"/>
      <c r="AC189" s="344"/>
      <c r="AD189" s="344"/>
    </row>
    <row r="190">
      <c r="A190" s="545"/>
      <c r="B190" s="546"/>
      <c r="C190" s="546"/>
      <c r="D190" s="495" t="s">
        <v>109</v>
      </c>
      <c r="E190" s="344"/>
      <c r="F190" s="547" t="s">
        <v>2319</v>
      </c>
      <c r="G190" s="514" t="s">
        <v>2320</v>
      </c>
      <c r="H190" s="514" t="s">
        <v>2321</v>
      </c>
      <c r="I190" s="344"/>
      <c r="J190" s="344"/>
      <c r="K190" s="344"/>
      <c r="L190" s="344"/>
      <c r="M190" s="344"/>
      <c r="N190" s="344"/>
      <c r="O190" s="344"/>
      <c r="P190" s="344"/>
      <c r="Q190" s="344"/>
      <c r="R190" s="344"/>
      <c r="S190" s="344"/>
      <c r="T190" s="344"/>
      <c r="U190" s="344"/>
      <c r="V190" s="344"/>
      <c r="W190" s="344"/>
      <c r="X190" s="344"/>
      <c r="Y190" s="344"/>
      <c r="Z190" s="344"/>
      <c r="AA190" s="344"/>
      <c r="AB190" s="344"/>
      <c r="AC190" s="344"/>
      <c r="AD190" s="344"/>
    </row>
    <row r="191">
      <c r="A191" s="344"/>
      <c r="B191" s="546" t="s">
        <v>2322</v>
      </c>
      <c r="C191" s="546" t="s">
        <v>2323</v>
      </c>
      <c r="D191" s="495" t="s">
        <v>153</v>
      </c>
      <c r="E191" s="344"/>
      <c r="F191" s="547" t="s">
        <v>2324</v>
      </c>
      <c r="G191" s="514" t="s">
        <v>1976</v>
      </c>
      <c r="H191" s="514" t="s">
        <v>2325</v>
      </c>
      <c r="I191" s="344"/>
      <c r="J191" s="344"/>
      <c r="K191" s="344"/>
      <c r="L191" s="344"/>
      <c r="M191" s="344"/>
      <c r="N191" s="344"/>
      <c r="O191" s="344"/>
      <c r="P191" s="344"/>
      <c r="Q191" s="344"/>
      <c r="R191" s="344"/>
      <c r="S191" s="344"/>
      <c r="T191" s="344"/>
      <c r="U191" s="344"/>
      <c r="V191" s="344"/>
      <c r="W191" s="344"/>
      <c r="X191" s="344"/>
      <c r="Y191" s="344"/>
      <c r="Z191" s="344"/>
      <c r="AA191" s="344"/>
      <c r="AB191" s="344"/>
      <c r="AC191" s="344"/>
      <c r="AD191" s="344"/>
    </row>
    <row r="192">
      <c r="A192" s="344"/>
      <c r="B192" s="546" t="s">
        <v>2326</v>
      </c>
      <c r="C192" s="546" t="s">
        <v>2327</v>
      </c>
      <c r="D192" s="495" t="s">
        <v>2051</v>
      </c>
      <c r="E192" s="344"/>
      <c r="F192" s="547" t="s">
        <v>2328</v>
      </c>
      <c r="G192" s="514" t="s">
        <v>1909</v>
      </c>
      <c r="H192" s="514" t="s">
        <v>2329</v>
      </c>
      <c r="I192" s="344"/>
      <c r="J192" s="344"/>
      <c r="K192" s="344"/>
      <c r="L192" s="344"/>
      <c r="M192" s="344"/>
      <c r="N192" s="344"/>
      <c r="O192" s="344"/>
      <c r="P192" s="344"/>
      <c r="Q192" s="344"/>
      <c r="R192" s="344"/>
      <c r="S192" s="344"/>
      <c r="T192" s="344"/>
      <c r="U192" s="344"/>
      <c r="V192" s="344"/>
      <c r="W192" s="344"/>
      <c r="X192" s="344"/>
      <c r="Y192" s="344"/>
      <c r="Z192" s="344"/>
      <c r="AA192" s="344"/>
      <c r="AB192" s="344"/>
      <c r="AC192" s="344"/>
      <c r="AD192" s="344"/>
    </row>
    <row r="193">
      <c r="A193" s="344"/>
      <c r="B193" s="546"/>
      <c r="C193" s="546"/>
      <c r="D193" s="495" t="s">
        <v>170</v>
      </c>
      <c r="E193" s="344"/>
      <c r="F193" s="547" t="s">
        <v>2330</v>
      </c>
      <c r="G193" s="514" t="s">
        <v>1976</v>
      </c>
      <c r="H193" s="514" t="s">
        <v>2331</v>
      </c>
      <c r="I193" s="344"/>
      <c r="J193" s="344"/>
      <c r="K193" s="344"/>
      <c r="L193" s="344"/>
      <c r="M193" s="344"/>
      <c r="N193" s="344"/>
      <c r="O193" s="344"/>
      <c r="P193" s="344"/>
      <c r="Q193" s="344"/>
      <c r="R193" s="344"/>
      <c r="S193" s="344"/>
      <c r="T193" s="344"/>
      <c r="U193" s="344"/>
      <c r="V193" s="344"/>
      <c r="W193" s="344"/>
      <c r="X193" s="344"/>
      <c r="Y193" s="344"/>
      <c r="Z193" s="344"/>
      <c r="AA193" s="344"/>
      <c r="AB193" s="344"/>
      <c r="AC193" s="344"/>
      <c r="AD193" s="344"/>
    </row>
    <row r="194">
      <c r="A194" s="344"/>
      <c r="B194" s="546" t="s">
        <v>2332</v>
      </c>
      <c r="C194" s="546" t="s">
        <v>2333</v>
      </c>
      <c r="D194" s="495" t="s">
        <v>2193</v>
      </c>
      <c r="E194" s="344"/>
      <c r="F194" s="547" t="s">
        <v>2334</v>
      </c>
      <c r="G194" s="514" t="s">
        <v>1887</v>
      </c>
      <c r="H194" s="514" t="s">
        <v>1924</v>
      </c>
      <c r="I194" s="344"/>
      <c r="J194" s="344"/>
      <c r="K194" s="344"/>
      <c r="L194" s="344"/>
      <c r="M194" s="344"/>
      <c r="N194" s="344"/>
      <c r="O194" s="344"/>
      <c r="P194" s="344"/>
      <c r="Q194" s="344"/>
      <c r="R194" s="344"/>
      <c r="S194" s="344"/>
      <c r="T194" s="344"/>
      <c r="U194" s="344"/>
      <c r="V194" s="344"/>
      <c r="W194" s="344"/>
      <c r="X194" s="344"/>
      <c r="Y194" s="344"/>
      <c r="Z194" s="344"/>
      <c r="AA194" s="344"/>
      <c r="AB194" s="344"/>
      <c r="AC194" s="344"/>
      <c r="AD194" s="344"/>
    </row>
    <row r="195">
      <c r="A195" s="344"/>
      <c r="B195" s="546"/>
      <c r="C195" s="546"/>
      <c r="D195" s="495" t="s">
        <v>252</v>
      </c>
      <c r="E195" s="344"/>
      <c r="F195" s="547" t="s">
        <v>2335</v>
      </c>
      <c r="G195" s="514" t="s">
        <v>2336</v>
      </c>
      <c r="H195" s="514" t="s">
        <v>2337</v>
      </c>
      <c r="I195" s="344"/>
      <c r="J195" s="344"/>
      <c r="K195" s="344"/>
      <c r="L195" s="344"/>
      <c r="M195" s="344"/>
      <c r="N195" s="344"/>
      <c r="O195" s="344"/>
      <c r="P195" s="344"/>
      <c r="Q195" s="344"/>
      <c r="R195" s="344"/>
      <c r="S195" s="344"/>
      <c r="T195" s="344"/>
      <c r="U195" s="344"/>
      <c r="V195" s="344"/>
      <c r="W195" s="344"/>
      <c r="X195" s="344"/>
      <c r="Y195" s="344"/>
      <c r="Z195" s="344"/>
      <c r="AA195" s="344"/>
      <c r="AB195" s="344"/>
      <c r="AC195" s="344"/>
      <c r="AD195" s="344"/>
    </row>
    <row r="196">
      <c r="A196" s="344"/>
      <c r="B196" s="546" t="s">
        <v>2338</v>
      </c>
      <c r="C196" s="546" t="s">
        <v>2339</v>
      </c>
      <c r="D196" s="495" t="s">
        <v>252</v>
      </c>
      <c r="E196" s="344"/>
      <c r="F196" s="547" t="s">
        <v>2340</v>
      </c>
      <c r="G196" s="514" t="s">
        <v>2063</v>
      </c>
      <c r="H196" s="514" t="s">
        <v>2341</v>
      </c>
      <c r="I196" s="344"/>
      <c r="J196" s="344"/>
      <c r="K196" s="344"/>
      <c r="L196" s="344"/>
      <c r="M196" s="344"/>
      <c r="N196" s="344"/>
      <c r="O196" s="344"/>
      <c r="P196" s="344"/>
      <c r="Q196" s="344"/>
      <c r="R196" s="344"/>
      <c r="S196" s="344"/>
      <c r="T196" s="344"/>
      <c r="U196" s="344"/>
      <c r="V196" s="344"/>
      <c r="W196" s="344"/>
      <c r="X196" s="344"/>
      <c r="Y196" s="344"/>
      <c r="Z196" s="344"/>
      <c r="AA196" s="344"/>
      <c r="AB196" s="344"/>
      <c r="AC196" s="344"/>
      <c r="AD196" s="344"/>
    </row>
    <row r="197">
      <c r="A197" s="344"/>
      <c r="B197" s="546"/>
      <c r="C197" s="546"/>
      <c r="D197" s="495" t="s">
        <v>120</v>
      </c>
      <c r="E197" s="344"/>
      <c r="F197" s="547" t="s">
        <v>2342</v>
      </c>
      <c r="G197" s="514" t="s">
        <v>2343</v>
      </c>
      <c r="H197" s="514" t="s">
        <v>1949</v>
      </c>
      <c r="I197" s="344"/>
      <c r="J197" s="344"/>
      <c r="K197" s="344"/>
      <c r="L197" s="344"/>
      <c r="M197" s="344"/>
      <c r="N197" s="344"/>
      <c r="O197" s="344"/>
      <c r="P197" s="344"/>
      <c r="Q197" s="344"/>
      <c r="R197" s="344"/>
      <c r="S197" s="344"/>
      <c r="T197" s="344"/>
      <c r="U197" s="344"/>
      <c r="V197" s="344"/>
      <c r="W197" s="344"/>
      <c r="X197" s="344"/>
      <c r="Y197" s="344"/>
      <c r="Z197" s="344"/>
      <c r="AA197" s="344"/>
      <c r="AB197" s="344"/>
      <c r="AC197" s="344"/>
      <c r="AD197" s="344"/>
    </row>
    <row r="198">
      <c r="A198" s="344"/>
      <c r="B198" s="546"/>
      <c r="C198" s="546"/>
      <c r="D198" s="495" t="s">
        <v>126</v>
      </c>
      <c r="E198" s="344"/>
      <c r="F198" s="547" t="s">
        <v>2344</v>
      </c>
      <c r="G198" s="514" t="s">
        <v>2345</v>
      </c>
      <c r="H198" s="514" t="s">
        <v>2346</v>
      </c>
      <c r="I198" s="344"/>
      <c r="J198" s="344"/>
      <c r="K198" s="344"/>
      <c r="L198" s="344"/>
      <c r="M198" s="344"/>
      <c r="N198" s="344"/>
      <c r="O198" s="344"/>
      <c r="P198" s="344"/>
      <c r="Q198" s="344"/>
      <c r="R198" s="344"/>
      <c r="S198" s="344"/>
      <c r="T198" s="344"/>
      <c r="U198" s="344"/>
      <c r="V198" s="344"/>
      <c r="W198" s="344"/>
      <c r="X198" s="344"/>
      <c r="Y198" s="344"/>
      <c r="Z198" s="344"/>
      <c r="AA198" s="344"/>
      <c r="AB198" s="344"/>
      <c r="AC198" s="344"/>
      <c r="AD198" s="344"/>
    </row>
    <row r="199">
      <c r="A199" s="344"/>
      <c r="B199" s="546"/>
      <c r="C199" s="546"/>
      <c r="D199" s="495" t="s">
        <v>145</v>
      </c>
      <c r="E199" s="344"/>
      <c r="F199" s="547" t="s">
        <v>2347</v>
      </c>
      <c r="G199" s="514" t="s">
        <v>1982</v>
      </c>
      <c r="H199" s="514" t="s">
        <v>1924</v>
      </c>
      <c r="I199" s="344"/>
      <c r="J199" s="344"/>
      <c r="K199" s="344"/>
      <c r="L199" s="344"/>
      <c r="M199" s="344"/>
      <c r="N199" s="344"/>
      <c r="O199" s="344"/>
      <c r="P199" s="344"/>
      <c r="Q199" s="344"/>
      <c r="R199" s="344"/>
      <c r="S199" s="344"/>
      <c r="T199" s="344"/>
      <c r="U199" s="344"/>
      <c r="V199" s="344"/>
      <c r="W199" s="344"/>
      <c r="X199" s="344"/>
      <c r="Y199" s="344"/>
      <c r="Z199" s="344"/>
      <c r="AA199" s="344"/>
      <c r="AB199" s="344"/>
      <c r="AC199" s="344"/>
      <c r="AD199" s="344"/>
    </row>
    <row r="200">
      <c r="A200" s="344"/>
      <c r="B200" s="546" t="s">
        <v>2348</v>
      </c>
      <c r="C200" s="546" t="s">
        <v>2349</v>
      </c>
      <c r="D200" s="495" t="s">
        <v>132</v>
      </c>
      <c r="E200" s="344"/>
      <c r="F200" s="547" t="s">
        <v>2350</v>
      </c>
      <c r="G200" s="514" t="s">
        <v>2351</v>
      </c>
      <c r="H200" s="514" t="s">
        <v>2352</v>
      </c>
      <c r="I200" s="344"/>
      <c r="J200" s="344"/>
      <c r="K200" s="344"/>
      <c r="L200" s="344"/>
      <c r="M200" s="344"/>
      <c r="N200" s="344"/>
      <c r="O200" s="344"/>
      <c r="P200" s="344"/>
      <c r="Q200" s="344"/>
      <c r="R200" s="344"/>
      <c r="S200" s="344"/>
      <c r="T200" s="344"/>
      <c r="U200" s="344"/>
      <c r="V200" s="344"/>
      <c r="W200" s="344"/>
      <c r="X200" s="344"/>
      <c r="Y200" s="344"/>
      <c r="Z200" s="344"/>
      <c r="AA200" s="344"/>
      <c r="AB200" s="344"/>
      <c r="AC200" s="344"/>
      <c r="AD200" s="344"/>
    </row>
    <row r="201">
      <c r="A201" s="344"/>
      <c r="B201" s="546"/>
      <c r="C201" s="546"/>
      <c r="D201" s="495" t="s">
        <v>143</v>
      </c>
      <c r="E201" s="344"/>
      <c r="F201" s="547" t="s">
        <v>2353</v>
      </c>
      <c r="G201" s="514" t="s">
        <v>2354</v>
      </c>
      <c r="H201" s="514" t="s">
        <v>2126</v>
      </c>
      <c r="I201" s="344"/>
      <c r="J201" s="344"/>
      <c r="K201" s="344"/>
      <c r="L201" s="344"/>
      <c r="M201" s="344"/>
      <c r="N201" s="344"/>
      <c r="O201" s="344"/>
      <c r="P201" s="344"/>
      <c r="Q201" s="344"/>
      <c r="R201" s="344"/>
      <c r="S201" s="344"/>
      <c r="T201" s="344"/>
      <c r="U201" s="344"/>
      <c r="V201" s="344"/>
      <c r="W201" s="344"/>
      <c r="X201" s="344"/>
      <c r="Y201" s="344"/>
      <c r="Z201" s="344"/>
      <c r="AA201" s="344"/>
      <c r="AB201" s="344"/>
      <c r="AC201" s="344"/>
      <c r="AD201" s="344"/>
    </row>
    <row r="202">
      <c r="A202" s="344"/>
      <c r="B202" s="546" t="s">
        <v>2355</v>
      </c>
      <c r="C202" s="546" t="s">
        <v>2356</v>
      </c>
      <c r="D202" s="495" t="s">
        <v>111</v>
      </c>
      <c r="E202" s="344"/>
      <c r="F202" s="547" t="s">
        <v>2357</v>
      </c>
      <c r="G202" s="514" t="s">
        <v>2358</v>
      </c>
      <c r="H202" s="514" t="s">
        <v>2217</v>
      </c>
      <c r="I202" s="344"/>
      <c r="J202" s="344"/>
      <c r="K202" s="344"/>
      <c r="L202" s="344"/>
      <c r="M202" s="344"/>
      <c r="N202" s="344"/>
      <c r="O202" s="344"/>
      <c r="P202" s="344"/>
      <c r="Q202" s="344"/>
      <c r="R202" s="344"/>
      <c r="S202" s="344"/>
      <c r="T202" s="344"/>
      <c r="U202" s="344"/>
      <c r="V202" s="344"/>
      <c r="W202" s="344"/>
      <c r="X202" s="344"/>
      <c r="Y202" s="344"/>
      <c r="Z202" s="344"/>
      <c r="AA202" s="344"/>
      <c r="AB202" s="344"/>
      <c r="AC202" s="344"/>
      <c r="AD202" s="344"/>
    </row>
    <row r="203">
      <c r="A203" s="344"/>
      <c r="B203" s="546" t="s">
        <v>2359</v>
      </c>
      <c r="C203" s="546" t="s">
        <v>2360</v>
      </c>
      <c r="D203" s="495" t="s">
        <v>199</v>
      </c>
      <c r="E203" s="344"/>
      <c r="F203" s="547" t="s">
        <v>2361</v>
      </c>
      <c r="G203" s="514" t="s">
        <v>1912</v>
      </c>
      <c r="H203" s="514" t="s">
        <v>1913</v>
      </c>
      <c r="I203" s="344"/>
      <c r="J203" s="344"/>
      <c r="K203" s="344"/>
      <c r="L203" s="344"/>
      <c r="M203" s="344"/>
      <c r="N203" s="344"/>
      <c r="O203" s="344"/>
      <c r="P203" s="344"/>
      <c r="Q203" s="344"/>
      <c r="R203" s="344"/>
      <c r="S203" s="344"/>
      <c r="T203" s="344"/>
      <c r="U203" s="344"/>
      <c r="V203" s="344"/>
      <c r="W203" s="344"/>
      <c r="X203" s="344"/>
      <c r="Y203" s="344"/>
      <c r="Z203" s="344"/>
      <c r="AA203" s="344"/>
      <c r="AB203" s="344"/>
      <c r="AC203" s="344"/>
      <c r="AD203" s="344"/>
    </row>
    <row r="204">
      <c r="A204" s="344"/>
      <c r="B204" s="546"/>
      <c r="C204" s="546"/>
      <c r="D204" s="495" t="s">
        <v>136</v>
      </c>
      <c r="E204" s="344"/>
      <c r="F204" s="547" t="s">
        <v>2362</v>
      </c>
      <c r="G204" s="514" t="s">
        <v>2151</v>
      </c>
      <c r="H204" s="514" t="s">
        <v>2113</v>
      </c>
      <c r="I204" s="344"/>
      <c r="J204" s="344"/>
      <c r="K204" s="344"/>
      <c r="L204" s="344"/>
      <c r="M204" s="344"/>
      <c r="N204" s="344"/>
      <c r="O204" s="344"/>
      <c r="P204" s="344"/>
      <c r="Q204" s="344"/>
      <c r="R204" s="344"/>
      <c r="S204" s="344"/>
      <c r="T204" s="344"/>
      <c r="U204" s="344"/>
      <c r="V204" s="344"/>
      <c r="W204" s="344"/>
      <c r="X204" s="344"/>
      <c r="Y204" s="344"/>
      <c r="Z204" s="344"/>
      <c r="AA204" s="344"/>
      <c r="AB204" s="344"/>
      <c r="AC204" s="344"/>
      <c r="AD204" s="344"/>
    </row>
    <row r="205">
      <c r="A205" s="344"/>
      <c r="B205" s="546"/>
      <c r="C205" s="546"/>
      <c r="D205" s="495"/>
      <c r="E205" s="344"/>
      <c r="F205" s="547" t="s">
        <v>2363</v>
      </c>
      <c r="G205" s="514" t="s">
        <v>2151</v>
      </c>
      <c r="H205" s="514" t="s">
        <v>2113</v>
      </c>
      <c r="I205" s="344"/>
      <c r="J205" s="344"/>
      <c r="K205" s="344"/>
      <c r="L205" s="344"/>
      <c r="M205" s="344"/>
      <c r="N205" s="344"/>
      <c r="O205" s="344"/>
      <c r="P205" s="344"/>
      <c r="Q205" s="344"/>
      <c r="R205" s="344"/>
      <c r="S205" s="344"/>
      <c r="T205" s="344"/>
      <c r="U205" s="344"/>
      <c r="V205" s="344"/>
      <c r="W205" s="344"/>
      <c r="X205" s="344"/>
      <c r="Y205" s="344"/>
      <c r="Z205" s="344"/>
      <c r="AA205" s="344"/>
      <c r="AB205" s="344"/>
      <c r="AC205" s="344"/>
      <c r="AD205" s="344"/>
    </row>
    <row r="206">
      <c r="A206" s="344"/>
      <c r="B206" s="546" t="s">
        <v>2364</v>
      </c>
      <c r="C206" s="546" t="s">
        <v>2365</v>
      </c>
      <c r="D206" s="495" t="s">
        <v>199</v>
      </c>
      <c r="E206" s="344"/>
      <c r="F206" s="547" t="s">
        <v>2366</v>
      </c>
      <c r="G206" s="514" t="s">
        <v>1912</v>
      </c>
      <c r="H206" s="514" t="s">
        <v>1913</v>
      </c>
      <c r="I206" s="344"/>
      <c r="J206" s="344"/>
      <c r="K206" s="344"/>
      <c r="L206" s="344"/>
      <c r="M206" s="344"/>
      <c r="N206" s="344"/>
      <c r="O206" s="344"/>
      <c r="P206" s="344"/>
      <c r="Q206" s="344"/>
      <c r="R206" s="344"/>
      <c r="S206" s="344"/>
      <c r="T206" s="344"/>
      <c r="U206" s="344"/>
      <c r="V206" s="344"/>
      <c r="W206" s="344"/>
      <c r="X206" s="344"/>
      <c r="Y206" s="344"/>
      <c r="Z206" s="344"/>
      <c r="AA206" s="344"/>
      <c r="AB206" s="344"/>
      <c r="AC206" s="344"/>
      <c r="AD206" s="344"/>
    </row>
    <row r="207">
      <c r="A207" s="344"/>
      <c r="B207" s="548"/>
      <c r="C207" s="548"/>
      <c r="D207" s="495" t="s">
        <v>141</v>
      </c>
      <c r="E207" s="344"/>
      <c r="F207" s="547" t="s">
        <v>2367</v>
      </c>
      <c r="G207" s="514" t="s">
        <v>1887</v>
      </c>
      <c r="H207" s="514" t="s">
        <v>1949</v>
      </c>
      <c r="I207" s="344"/>
      <c r="J207" s="344"/>
      <c r="K207" s="344"/>
      <c r="L207" s="344"/>
      <c r="M207" s="344"/>
      <c r="N207" s="344"/>
      <c r="O207" s="344"/>
      <c r="P207" s="344"/>
      <c r="Q207" s="344"/>
      <c r="R207" s="344"/>
      <c r="S207" s="344"/>
      <c r="T207" s="344"/>
      <c r="U207" s="344"/>
      <c r="V207" s="344"/>
      <c r="W207" s="344"/>
      <c r="X207" s="344"/>
      <c r="Y207" s="344"/>
      <c r="Z207" s="344"/>
      <c r="AA207" s="344"/>
      <c r="AB207" s="344"/>
      <c r="AC207" s="344"/>
      <c r="AD207" s="344"/>
    </row>
    <row r="208">
      <c r="A208" s="344"/>
      <c r="B208" s="548"/>
      <c r="C208" s="548"/>
      <c r="D208" s="344"/>
      <c r="E208" s="344"/>
      <c r="F208" s="549"/>
      <c r="G208" s="545"/>
      <c r="H208" s="545"/>
      <c r="I208" s="344"/>
      <c r="J208" s="344"/>
      <c r="K208" s="344"/>
      <c r="L208" s="344"/>
      <c r="M208" s="344"/>
      <c r="N208" s="344"/>
      <c r="O208" s="344"/>
      <c r="P208" s="344"/>
      <c r="Q208" s="344"/>
      <c r="R208" s="344"/>
      <c r="S208" s="344"/>
      <c r="T208" s="344"/>
      <c r="U208" s="344"/>
      <c r="V208" s="344"/>
      <c r="W208" s="344"/>
      <c r="X208" s="344"/>
      <c r="Y208" s="344"/>
      <c r="Z208" s="344"/>
      <c r="AA208" s="344"/>
      <c r="AB208" s="344"/>
      <c r="AC208" s="344"/>
      <c r="AD208" s="344"/>
    </row>
    <row r="209">
      <c r="A209" s="344"/>
      <c r="B209" s="548"/>
      <c r="C209" s="548"/>
      <c r="D209" s="344"/>
      <c r="E209" s="344"/>
      <c r="F209" s="549"/>
      <c r="G209" s="545"/>
      <c r="H209" s="545"/>
      <c r="I209" s="344"/>
      <c r="J209" s="344"/>
      <c r="K209" s="344"/>
      <c r="L209" s="344"/>
      <c r="M209" s="344"/>
      <c r="N209" s="344"/>
      <c r="O209" s="344"/>
      <c r="P209" s="344"/>
      <c r="Q209" s="344"/>
      <c r="R209" s="344"/>
      <c r="S209" s="344"/>
      <c r="T209" s="344"/>
      <c r="U209" s="344"/>
      <c r="V209" s="344"/>
      <c r="W209" s="344"/>
      <c r="X209" s="344"/>
      <c r="Y209" s="344"/>
      <c r="Z209" s="344"/>
      <c r="AA209" s="344"/>
      <c r="AB209" s="344"/>
      <c r="AC209" s="344"/>
      <c r="AD209" s="344"/>
    </row>
    <row r="210">
      <c r="A210" s="344"/>
      <c r="B210" s="548"/>
      <c r="C210" s="548"/>
      <c r="D210" s="344"/>
      <c r="E210" s="344"/>
      <c r="F210" s="549"/>
      <c r="G210" s="545"/>
      <c r="H210" s="545"/>
      <c r="I210" s="344"/>
      <c r="J210" s="344"/>
      <c r="K210" s="344"/>
      <c r="L210" s="344"/>
      <c r="M210" s="344"/>
      <c r="N210" s="344"/>
      <c r="O210" s="344"/>
      <c r="P210" s="344"/>
      <c r="Q210" s="344"/>
      <c r="R210" s="344"/>
      <c r="S210" s="344"/>
      <c r="T210" s="344"/>
      <c r="U210" s="344"/>
      <c r="V210" s="344"/>
      <c r="W210" s="344"/>
      <c r="X210" s="344"/>
      <c r="Y210" s="344"/>
      <c r="Z210" s="344"/>
      <c r="AA210" s="344"/>
      <c r="AB210" s="344"/>
      <c r="AC210" s="344"/>
      <c r="AD210" s="344"/>
    </row>
    <row r="211">
      <c r="A211" s="344"/>
      <c r="B211" s="548"/>
      <c r="C211" s="548"/>
      <c r="D211" s="344"/>
      <c r="E211" s="344"/>
      <c r="F211" s="549"/>
      <c r="G211" s="545"/>
      <c r="H211" s="545"/>
      <c r="I211" s="344"/>
      <c r="J211" s="344"/>
      <c r="K211" s="344"/>
      <c r="L211" s="344"/>
      <c r="M211" s="344"/>
      <c r="N211" s="344"/>
      <c r="O211" s="344"/>
      <c r="P211" s="344"/>
      <c r="Q211" s="344"/>
      <c r="R211" s="344"/>
      <c r="S211" s="344"/>
      <c r="T211" s="344"/>
      <c r="U211" s="344"/>
      <c r="V211" s="344"/>
      <c r="W211" s="344"/>
      <c r="X211" s="344"/>
      <c r="Y211" s="344"/>
      <c r="Z211" s="344"/>
      <c r="AA211" s="344"/>
      <c r="AB211" s="344"/>
      <c r="AC211" s="344"/>
      <c r="AD211" s="344"/>
    </row>
    <row r="212">
      <c r="A212" s="344"/>
      <c r="B212" s="548"/>
      <c r="C212" s="548"/>
      <c r="D212" s="344"/>
      <c r="E212" s="344"/>
      <c r="F212" s="549"/>
      <c r="G212" s="545"/>
      <c r="H212" s="545"/>
      <c r="I212" s="344"/>
      <c r="J212" s="344"/>
      <c r="K212" s="344"/>
      <c r="L212" s="344"/>
      <c r="M212" s="344"/>
      <c r="N212" s="344"/>
      <c r="O212" s="344"/>
      <c r="P212" s="344"/>
      <c r="Q212" s="344"/>
      <c r="R212" s="344"/>
      <c r="S212" s="344"/>
      <c r="T212" s="344"/>
      <c r="U212" s="344"/>
      <c r="V212" s="344"/>
      <c r="W212" s="344"/>
      <c r="X212" s="344"/>
      <c r="Y212" s="344"/>
      <c r="Z212" s="344"/>
      <c r="AA212" s="344"/>
      <c r="AB212" s="344"/>
      <c r="AC212" s="344"/>
      <c r="AD212" s="344"/>
    </row>
    <row r="213">
      <c r="A213" s="344"/>
      <c r="B213" s="548"/>
      <c r="C213" s="548"/>
      <c r="D213" s="344"/>
      <c r="E213" s="344"/>
      <c r="F213" s="549"/>
      <c r="G213" s="545"/>
      <c r="H213" s="545"/>
      <c r="I213" s="344"/>
      <c r="J213" s="344"/>
      <c r="K213" s="344"/>
      <c r="L213" s="344"/>
      <c r="M213" s="344"/>
      <c r="N213" s="344"/>
      <c r="O213" s="344"/>
      <c r="P213" s="344"/>
      <c r="Q213" s="344"/>
      <c r="R213" s="344"/>
      <c r="S213" s="344"/>
      <c r="T213" s="344"/>
      <c r="U213" s="344"/>
      <c r="V213" s="344"/>
      <c r="W213" s="344"/>
      <c r="X213" s="344"/>
      <c r="Y213" s="344"/>
      <c r="Z213" s="344"/>
      <c r="AA213" s="344"/>
      <c r="AB213" s="344"/>
      <c r="AC213" s="344"/>
      <c r="AD213" s="344"/>
    </row>
    <row r="214">
      <c r="A214" s="344"/>
      <c r="B214" s="548"/>
      <c r="C214" s="548"/>
      <c r="D214" s="344"/>
      <c r="E214" s="344"/>
      <c r="F214" s="549"/>
      <c r="G214" s="545"/>
      <c r="H214" s="545"/>
      <c r="I214" s="344"/>
      <c r="J214" s="344"/>
      <c r="K214" s="344"/>
      <c r="L214" s="344"/>
      <c r="M214" s="344"/>
      <c r="N214" s="344"/>
      <c r="O214" s="344"/>
      <c r="P214" s="344"/>
      <c r="Q214" s="344"/>
      <c r="R214" s="344"/>
      <c r="S214" s="344"/>
      <c r="T214" s="344"/>
      <c r="U214" s="344"/>
      <c r="V214" s="344"/>
      <c r="W214" s="344"/>
      <c r="X214" s="344"/>
      <c r="Y214" s="344"/>
      <c r="Z214" s="344"/>
      <c r="AA214" s="344"/>
      <c r="AB214" s="344"/>
      <c r="AC214" s="344"/>
      <c r="AD214" s="344"/>
    </row>
    <row r="215">
      <c r="A215" s="344"/>
      <c r="B215" s="548"/>
      <c r="C215" s="548"/>
      <c r="D215" s="344"/>
      <c r="E215" s="344"/>
      <c r="F215" s="549"/>
      <c r="G215" s="545"/>
      <c r="H215" s="545"/>
      <c r="I215" s="344"/>
      <c r="J215" s="344"/>
      <c r="K215" s="344"/>
      <c r="L215" s="344"/>
      <c r="M215" s="344"/>
      <c r="N215" s="344"/>
      <c r="O215" s="344"/>
      <c r="P215" s="344"/>
      <c r="Q215" s="344"/>
      <c r="R215" s="344"/>
      <c r="S215" s="344"/>
      <c r="T215" s="344"/>
      <c r="U215" s="344"/>
      <c r="V215" s="344"/>
      <c r="W215" s="344"/>
      <c r="X215" s="344"/>
      <c r="Y215" s="344"/>
      <c r="Z215" s="344"/>
      <c r="AA215" s="344"/>
      <c r="AB215" s="344"/>
      <c r="AC215" s="344"/>
      <c r="AD215" s="344"/>
    </row>
    <row r="216">
      <c r="A216" s="344"/>
      <c r="B216" s="548"/>
      <c r="C216" s="548"/>
      <c r="D216" s="344"/>
      <c r="E216" s="344"/>
      <c r="F216" s="549"/>
      <c r="G216" s="545"/>
      <c r="H216" s="545"/>
      <c r="I216" s="344"/>
      <c r="J216" s="344"/>
      <c r="K216" s="344"/>
      <c r="L216" s="344"/>
      <c r="M216" s="344"/>
      <c r="N216" s="344"/>
      <c r="O216" s="344"/>
      <c r="P216" s="344"/>
      <c r="Q216" s="344"/>
      <c r="R216" s="344"/>
      <c r="S216" s="344"/>
      <c r="T216" s="344"/>
      <c r="U216" s="344"/>
      <c r="V216" s="344"/>
      <c r="W216" s="344"/>
      <c r="X216" s="344"/>
      <c r="Y216" s="344"/>
      <c r="Z216" s="344"/>
      <c r="AA216" s="344"/>
      <c r="AB216" s="344"/>
      <c r="AC216" s="344"/>
      <c r="AD216" s="344"/>
    </row>
    <row r="217">
      <c r="A217" s="344"/>
      <c r="B217" s="548"/>
      <c r="C217" s="548"/>
      <c r="D217" s="344"/>
      <c r="E217" s="344"/>
      <c r="F217" s="549"/>
      <c r="G217" s="545"/>
      <c r="H217" s="545"/>
      <c r="I217" s="344"/>
      <c r="J217" s="344"/>
      <c r="K217" s="344"/>
      <c r="L217" s="344"/>
      <c r="M217" s="344"/>
      <c r="N217" s="344"/>
      <c r="O217" s="344"/>
      <c r="P217" s="344"/>
      <c r="Q217" s="344"/>
      <c r="R217" s="344"/>
      <c r="S217" s="344"/>
      <c r="T217" s="344"/>
      <c r="U217" s="344"/>
      <c r="V217" s="344"/>
      <c r="W217" s="344"/>
      <c r="X217" s="344"/>
      <c r="Y217" s="344"/>
      <c r="Z217" s="344"/>
      <c r="AA217" s="344"/>
      <c r="AB217" s="344"/>
      <c r="AC217" s="344"/>
      <c r="AD217" s="344"/>
    </row>
    <row r="218">
      <c r="A218" s="344"/>
      <c r="B218" s="548"/>
      <c r="C218" s="548"/>
      <c r="D218" s="344"/>
      <c r="E218" s="344"/>
      <c r="F218" s="549"/>
      <c r="G218" s="545"/>
      <c r="H218" s="545"/>
      <c r="I218" s="344"/>
      <c r="J218" s="344"/>
      <c r="K218" s="344"/>
      <c r="L218" s="344"/>
      <c r="M218" s="344"/>
      <c r="N218" s="344"/>
      <c r="O218" s="344"/>
      <c r="P218" s="344"/>
      <c r="Q218" s="344"/>
      <c r="R218" s="344"/>
      <c r="S218" s="344"/>
      <c r="T218" s="344"/>
      <c r="U218" s="344"/>
      <c r="V218" s="344"/>
      <c r="W218" s="344"/>
      <c r="X218" s="344"/>
      <c r="Y218" s="344"/>
      <c r="Z218" s="344"/>
      <c r="AA218" s="344"/>
      <c r="AB218" s="344"/>
      <c r="AC218" s="344"/>
      <c r="AD218" s="344"/>
    </row>
    <row r="219">
      <c r="A219" s="344"/>
      <c r="B219" s="548"/>
      <c r="C219" s="548"/>
      <c r="D219" s="344"/>
      <c r="E219" s="344"/>
      <c r="F219" s="549"/>
      <c r="G219" s="545"/>
      <c r="H219" s="545"/>
      <c r="I219" s="344"/>
      <c r="J219" s="344"/>
      <c r="K219" s="344"/>
      <c r="L219" s="344"/>
      <c r="M219" s="344"/>
      <c r="N219" s="344"/>
      <c r="O219" s="344"/>
      <c r="P219" s="344"/>
      <c r="Q219" s="344"/>
      <c r="R219" s="344"/>
      <c r="S219" s="344"/>
      <c r="T219" s="344"/>
      <c r="U219" s="344"/>
      <c r="V219" s="344"/>
      <c r="W219" s="344"/>
      <c r="X219" s="344"/>
      <c r="Y219" s="344"/>
      <c r="Z219" s="344"/>
      <c r="AA219" s="344"/>
      <c r="AB219" s="344"/>
      <c r="AC219" s="344"/>
      <c r="AD219" s="344"/>
    </row>
    <row r="220">
      <c r="A220" s="344"/>
      <c r="B220" s="548"/>
      <c r="C220" s="548"/>
      <c r="D220" s="344"/>
      <c r="E220" s="344"/>
      <c r="F220" s="549"/>
      <c r="G220" s="545"/>
      <c r="H220" s="545"/>
      <c r="I220" s="344"/>
      <c r="J220" s="344"/>
      <c r="K220" s="344"/>
      <c r="L220" s="344"/>
      <c r="M220" s="344"/>
      <c r="N220" s="344"/>
      <c r="O220" s="344"/>
      <c r="P220" s="344"/>
      <c r="Q220" s="344"/>
      <c r="R220" s="344"/>
      <c r="S220" s="344"/>
      <c r="T220" s="344"/>
      <c r="U220" s="344"/>
      <c r="V220" s="344"/>
      <c r="W220" s="344"/>
      <c r="X220" s="344"/>
      <c r="Y220" s="344"/>
      <c r="Z220" s="344"/>
      <c r="AA220" s="344"/>
      <c r="AB220" s="344"/>
      <c r="AC220" s="344"/>
      <c r="AD220" s="344"/>
    </row>
    <row r="221">
      <c r="A221" s="344"/>
      <c r="B221" s="548"/>
      <c r="C221" s="548"/>
      <c r="D221" s="344"/>
      <c r="E221" s="344"/>
      <c r="F221" s="549"/>
      <c r="G221" s="545"/>
      <c r="H221" s="545"/>
      <c r="I221" s="344"/>
      <c r="J221" s="344"/>
      <c r="K221" s="344"/>
      <c r="L221" s="344"/>
      <c r="M221" s="344"/>
      <c r="N221" s="344"/>
      <c r="O221" s="344"/>
      <c r="P221" s="344"/>
      <c r="Q221" s="344"/>
      <c r="R221" s="344"/>
      <c r="S221" s="344"/>
      <c r="T221" s="344"/>
      <c r="U221" s="344"/>
      <c r="V221" s="344"/>
      <c r="W221" s="344"/>
      <c r="X221" s="344"/>
      <c r="Y221" s="344"/>
      <c r="Z221" s="344"/>
      <c r="AA221" s="344"/>
      <c r="AB221" s="344"/>
      <c r="AC221" s="344"/>
      <c r="AD221" s="344"/>
    </row>
    <row r="222">
      <c r="A222" s="344"/>
      <c r="B222" s="548"/>
      <c r="C222" s="548"/>
      <c r="D222" s="344"/>
      <c r="E222" s="344"/>
      <c r="F222" s="549"/>
      <c r="G222" s="545"/>
      <c r="H222" s="545"/>
      <c r="I222" s="344"/>
      <c r="J222" s="344"/>
      <c r="K222" s="344"/>
      <c r="L222" s="344"/>
      <c r="M222" s="344"/>
      <c r="N222" s="344"/>
      <c r="O222" s="344"/>
      <c r="P222" s="344"/>
      <c r="Q222" s="344"/>
      <c r="R222" s="344"/>
      <c r="S222" s="344"/>
      <c r="T222" s="344"/>
      <c r="U222" s="344"/>
      <c r="V222" s="344"/>
      <c r="W222" s="344"/>
      <c r="X222" s="344"/>
      <c r="Y222" s="344"/>
      <c r="Z222" s="344"/>
      <c r="AA222" s="344"/>
      <c r="AB222" s="344"/>
      <c r="AC222" s="344"/>
      <c r="AD222" s="344"/>
    </row>
    <row r="223">
      <c r="A223" s="344"/>
      <c r="B223" s="548"/>
      <c r="C223" s="548"/>
      <c r="D223" s="344"/>
      <c r="E223" s="344"/>
      <c r="F223" s="549"/>
      <c r="G223" s="545"/>
      <c r="H223" s="545"/>
      <c r="I223" s="344"/>
      <c r="J223" s="344"/>
      <c r="K223" s="344"/>
      <c r="L223" s="344"/>
      <c r="M223" s="344"/>
      <c r="N223" s="344"/>
      <c r="O223" s="344"/>
      <c r="P223" s="344"/>
      <c r="Q223" s="344"/>
      <c r="R223" s="344"/>
      <c r="S223" s="344"/>
      <c r="T223" s="344"/>
      <c r="U223" s="344"/>
      <c r="V223" s="344"/>
      <c r="W223" s="344"/>
      <c r="X223" s="344"/>
      <c r="Y223" s="344"/>
      <c r="Z223" s="344"/>
      <c r="AA223" s="344"/>
      <c r="AB223" s="344"/>
      <c r="AC223" s="344"/>
      <c r="AD223" s="344"/>
    </row>
    <row r="224">
      <c r="A224" s="344"/>
      <c r="B224" s="548"/>
      <c r="C224" s="548"/>
      <c r="D224" s="344"/>
      <c r="E224" s="344"/>
      <c r="F224" s="549"/>
      <c r="G224" s="545"/>
      <c r="H224" s="545"/>
      <c r="I224" s="344"/>
      <c r="J224" s="344"/>
      <c r="K224" s="344"/>
      <c r="L224" s="344"/>
      <c r="M224" s="344"/>
      <c r="N224" s="344"/>
      <c r="O224" s="344"/>
      <c r="P224" s="344"/>
      <c r="Q224" s="344"/>
      <c r="R224" s="344"/>
      <c r="S224" s="344"/>
      <c r="T224" s="344"/>
      <c r="U224" s="344"/>
      <c r="V224" s="344"/>
      <c r="W224" s="344"/>
      <c r="X224" s="344"/>
      <c r="Y224" s="344"/>
      <c r="Z224" s="344"/>
      <c r="AA224" s="344"/>
      <c r="AB224" s="344"/>
      <c r="AC224" s="344"/>
      <c r="AD224" s="344"/>
    </row>
    <row r="225">
      <c r="A225" s="344"/>
      <c r="B225" s="548"/>
      <c r="C225" s="548"/>
      <c r="D225" s="344"/>
      <c r="E225" s="344"/>
      <c r="F225" s="549"/>
      <c r="G225" s="545"/>
      <c r="H225" s="545"/>
      <c r="I225" s="344"/>
      <c r="J225" s="344"/>
      <c r="K225" s="344"/>
      <c r="L225" s="344"/>
      <c r="M225" s="344"/>
      <c r="N225" s="344"/>
      <c r="O225" s="344"/>
      <c r="P225" s="344"/>
      <c r="Q225" s="344"/>
      <c r="R225" s="344"/>
      <c r="S225" s="344"/>
      <c r="T225" s="344"/>
      <c r="U225" s="344"/>
      <c r="V225" s="344"/>
      <c r="W225" s="344"/>
      <c r="X225" s="344"/>
      <c r="Y225" s="344"/>
      <c r="Z225" s="344"/>
      <c r="AA225" s="344"/>
      <c r="AB225" s="344"/>
      <c r="AC225" s="344"/>
      <c r="AD225" s="344"/>
    </row>
    <row r="226">
      <c r="A226" s="344"/>
      <c r="B226" s="548"/>
      <c r="C226" s="548"/>
      <c r="D226" s="344"/>
      <c r="E226" s="344"/>
      <c r="F226" s="549"/>
      <c r="G226" s="545"/>
      <c r="H226" s="545"/>
      <c r="I226" s="344"/>
      <c r="J226" s="344"/>
      <c r="K226" s="344"/>
      <c r="L226" s="344"/>
      <c r="M226" s="344"/>
      <c r="N226" s="344"/>
      <c r="O226" s="344"/>
      <c r="P226" s="344"/>
      <c r="Q226" s="344"/>
      <c r="R226" s="344"/>
      <c r="S226" s="344"/>
      <c r="T226" s="344"/>
      <c r="U226" s="344"/>
      <c r="V226" s="344"/>
      <c r="W226" s="344"/>
      <c r="X226" s="344"/>
      <c r="Y226" s="344"/>
      <c r="Z226" s="344"/>
      <c r="AA226" s="344"/>
      <c r="AB226" s="344"/>
      <c r="AC226" s="344"/>
      <c r="AD226" s="344"/>
    </row>
    <row r="227">
      <c r="A227" s="344"/>
      <c r="B227" s="548"/>
      <c r="C227" s="548"/>
      <c r="D227" s="344"/>
      <c r="E227" s="344"/>
      <c r="F227" s="549"/>
      <c r="G227" s="545"/>
      <c r="H227" s="545"/>
      <c r="I227" s="344"/>
      <c r="J227" s="344"/>
      <c r="K227" s="344"/>
      <c r="L227" s="344"/>
      <c r="M227" s="344"/>
      <c r="N227" s="344"/>
      <c r="O227" s="344"/>
      <c r="P227" s="344"/>
      <c r="Q227" s="344"/>
      <c r="R227" s="344"/>
      <c r="S227" s="344"/>
      <c r="T227" s="344"/>
      <c r="U227" s="344"/>
      <c r="V227" s="344"/>
      <c r="W227" s="344"/>
      <c r="X227" s="344"/>
      <c r="Y227" s="344"/>
      <c r="Z227" s="344"/>
      <c r="AA227" s="344"/>
      <c r="AB227" s="344"/>
      <c r="AC227" s="344"/>
      <c r="AD227" s="344"/>
    </row>
    <row r="228">
      <c r="A228" s="344"/>
      <c r="B228" s="548"/>
      <c r="C228" s="548"/>
      <c r="D228" s="344"/>
      <c r="E228" s="344"/>
      <c r="F228" s="549"/>
      <c r="G228" s="545"/>
      <c r="H228" s="545"/>
      <c r="I228" s="344"/>
      <c r="J228" s="344"/>
      <c r="K228" s="344"/>
      <c r="L228" s="344"/>
      <c r="M228" s="344"/>
      <c r="N228" s="344"/>
      <c r="O228" s="344"/>
      <c r="P228" s="344"/>
      <c r="Q228" s="344"/>
      <c r="R228" s="344"/>
      <c r="S228" s="344"/>
      <c r="T228" s="344"/>
      <c r="U228" s="344"/>
      <c r="V228" s="344"/>
      <c r="W228" s="344"/>
      <c r="X228" s="344"/>
      <c r="Y228" s="344"/>
      <c r="Z228" s="344"/>
      <c r="AA228" s="344"/>
      <c r="AB228" s="344"/>
      <c r="AC228" s="344"/>
      <c r="AD228" s="344"/>
    </row>
    <row r="229">
      <c r="A229" s="344"/>
      <c r="B229" s="548"/>
      <c r="C229" s="548"/>
      <c r="D229" s="344"/>
      <c r="E229" s="344"/>
      <c r="F229" s="549"/>
      <c r="G229" s="545"/>
      <c r="H229" s="545"/>
      <c r="I229" s="344"/>
      <c r="J229" s="344"/>
      <c r="K229" s="344"/>
      <c r="L229" s="344"/>
      <c r="M229" s="344"/>
      <c r="N229" s="344"/>
      <c r="O229" s="344"/>
      <c r="P229" s="344"/>
      <c r="Q229" s="344"/>
      <c r="R229" s="344"/>
      <c r="S229" s="344"/>
      <c r="T229" s="344"/>
      <c r="U229" s="344"/>
      <c r="V229" s="344"/>
      <c r="W229" s="344"/>
      <c r="X229" s="344"/>
      <c r="Y229" s="344"/>
      <c r="Z229" s="344"/>
      <c r="AA229" s="344"/>
      <c r="AB229" s="344"/>
      <c r="AC229" s="344"/>
      <c r="AD229" s="344"/>
    </row>
    <row r="230">
      <c r="A230" s="344"/>
      <c r="B230" s="548"/>
      <c r="C230" s="548"/>
      <c r="D230" s="344"/>
      <c r="E230" s="344"/>
      <c r="F230" s="549"/>
      <c r="G230" s="545"/>
      <c r="H230" s="545"/>
      <c r="I230" s="344"/>
      <c r="J230" s="344"/>
      <c r="K230" s="344"/>
      <c r="L230" s="344"/>
      <c r="M230" s="344"/>
      <c r="N230" s="344"/>
      <c r="O230" s="344"/>
      <c r="P230" s="344"/>
      <c r="Q230" s="344"/>
      <c r="R230" s="344"/>
      <c r="S230" s="344"/>
      <c r="T230" s="344"/>
      <c r="U230" s="344"/>
      <c r="V230" s="344"/>
      <c r="W230" s="344"/>
      <c r="X230" s="344"/>
      <c r="Y230" s="344"/>
      <c r="Z230" s="344"/>
      <c r="AA230" s="344"/>
      <c r="AB230" s="344"/>
      <c r="AC230" s="344"/>
      <c r="AD230" s="344"/>
    </row>
    <row r="231">
      <c r="A231" s="344"/>
      <c r="B231" s="548"/>
      <c r="C231" s="548"/>
      <c r="D231" s="344"/>
      <c r="E231" s="344"/>
      <c r="F231" s="549"/>
      <c r="G231" s="545"/>
      <c r="H231" s="545"/>
      <c r="I231" s="344"/>
      <c r="J231" s="344"/>
      <c r="K231" s="344"/>
      <c r="L231" s="344"/>
      <c r="M231" s="344"/>
      <c r="N231" s="344"/>
      <c r="O231" s="344"/>
      <c r="P231" s="344"/>
      <c r="Q231" s="344"/>
      <c r="R231" s="344"/>
      <c r="S231" s="344"/>
      <c r="T231" s="344"/>
      <c r="U231" s="344"/>
      <c r="V231" s="344"/>
      <c r="W231" s="344"/>
      <c r="X231" s="344"/>
      <c r="Y231" s="344"/>
      <c r="Z231" s="344"/>
      <c r="AA231" s="344"/>
      <c r="AB231" s="344"/>
      <c r="AC231" s="344"/>
      <c r="AD231" s="344"/>
    </row>
    <row r="232">
      <c r="A232" s="344"/>
      <c r="B232" s="548"/>
      <c r="C232" s="548"/>
      <c r="D232" s="344"/>
      <c r="E232" s="344"/>
      <c r="F232" s="549"/>
      <c r="G232" s="545"/>
      <c r="H232" s="545"/>
      <c r="I232" s="344"/>
      <c r="J232" s="344"/>
      <c r="K232" s="344"/>
      <c r="L232" s="344"/>
      <c r="M232" s="344"/>
      <c r="N232" s="344"/>
      <c r="O232" s="344"/>
      <c r="P232" s="344"/>
      <c r="Q232" s="344"/>
      <c r="R232" s="344"/>
      <c r="S232" s="344"/>
      <c r="T232" s="344"/>
      <c r="U232" s="344"/>
      <c r="V232" s="344"/>
      <c r="W232" s="344"/>
      <c r="X232" s="344"/>
      <c r="Y232" s="344"/>
      <c r="Z232" s="344"/>
      <c r="AA232" s="344"/>
      <c r="AB232" s="344"/>
      <c r="AC232" s="344"/>
      <c r="AD232" s="344"/>
    </row>
    <row r="233">
      <c r="A233" s="344"/>
      <c r="B233" s="548"/>
      <c r="C233" s="548"/>
      <c r="D233" s="344"/>
      <c r="E233" s="344"/>
      <c r="F233" s="549"/>
      <c r="G233" s="545"/>
      <c r="H233" s="545"/>
      <c r="I233" s="344"/>
      <c r="J233" s="344"/>
      <c r="K233" s="344"/>
      <c r="L233" s="344"/>
      <c r="M233" s="344"/>
      <c r="N233" s="344"/>
      <c r="O233" s="344"/>
      <c r="P233" s="344"/>
      <c r="Q233" s="344"/>
      <c r="R233" s="344"/>
      <c r="S233" s="344"/>
      <c r="T233" s="344"/>
      <c r="U233" s="344"/>
      <c r="V233" s="344"/>
      <c r="W233" s="344"/>
      <c r="X233" s="344"/>
      <c r="Y233" s="344"/>
      <c r="Z233" s="344"/>
      <c r="AA233" s="344"/>
      <c r="AB233" s="344"/>
      <c r="AC233" s="344"/>
      <c r="AD233" s="344"/>
    </row>
    <row r="234">
      <c r="A234" s="344"/>
      <c r="B234" s="548"/>
      <c r="C234" s="548"/>
      <c r="D234" s="344"/>
      <c r="E234" s="344"/>
      <c r="F234" s="549"/>
      <c r="G234" s="545"/>
      <c r="H234" s="545"/>
      <c r="I234" s="344"/>
      <c r="J234" s="344"/>
      <c r="K234" s="344"/>
      <c r="L234" s="344"/>
      <c r="M234" s="344"/>
      <c r="N234" s="344"/>
      <c r="O234" s="344"/>
      <c r="P234" s="344"/>
      <c r="Q234" s="344"/>
      <c r="R234" s="344"/>
      <c r="S234" s="344"/>
      <c r="T234" s="344"/>
      <c r="U234" s="344"/>
      <c r="V234" s="344"/>
      <c r="W234" s="344"/>
      <c r="X234" s="344"/>
      <c r="Y234" s="344"/>
      <c r="Z234" s="344"/>
      <c r="AA234" s="344"/>
      <c r="AB234" s="344"/>
      <c r="AC234" s="344"/>
      <c r="AD234" s="344"/>
    </row>
    <row r="235">
      <c r="A235" s="344"/>
      <c r="B235" s="548"/>
      <c r="C235" s="548"/>
      <c r="D235" s="344"/>
      <c r="E235" s="344"/>
      <c r="F235" s="549"/>
      <c r="G235" s="545"/>
      <c r="H235" s="545"/>
      <c r="I235" s="344"/>
      <c r="J235" s="344"/>
      <c r="K235" s="344"/>
      <c r="L235" s="344"/>
      <c r="M235" s="344"/>
      <c r="N235" s="344"/>
      <c r="O235" s="344"/>
      <c r="P235" s="344"/>
      <c r="Q235" s="344"/>
      <c r="R235" s="344"/>
      <c r="S235" s="344"/>
      <c r="T235" s="344"/>
      <c r="U235" s="344"/>
      <c r="V235" s="344"/>
      <c r="W235" s="344"/>
      <c r="X235" s="344"/>
      <c r="Y235" s="344"/>
      <c r="Z235" s="344"/>
      <c r="AA235" s="344"/>
      <c r="AB235" s="344"/>
      <c r="AC235" s="344"/>
      <c r="AD235" s="344"/>
    </row>
    <row r="236">
      <c r="A236" s="344"/>
      <c r="B236" s="548"/>
      <c r="C236" s="548"/>
      <c r="D236" s="344"/>
      <c r="E236" s="344"/>
      <c r="F236" s="549"/>
      <c r="G236" s="545"/>
      <c r="H236" s="545"/>
      <c r="I236" s="344"/>
      <c r="J236" s="344"/>
      <c r="K236" s="344"/>
      <c r="L236" s="344"/>
      <c r="M236" s="344"/>
      <c r="N236" s="344"/>
      <c r="O236" s="344"/>
      <c r="P236" s="344"/>
      <c r="Q236" s="344"/>
      <c r="R236" s="344"/>
      <c r="S236" s="344"/>
      <c r="T236" s="344"/>
      <c r="U236" s="344"/>
      <c r="V236" s="344"/>
      <c r="W236" s="344"/>
      <c r="X236" s="344"/>
      <c r="Y236" s="344"/>
      <c r="Z236" s="344"/>
      <c r="AA236" s="344"/>
      <c r="AB236" s="344"/>
      <c r="AC236" s="344"/>
      <c r="AD236" s="344"/>
    </row>
    <row r="237">
      <c r="A237" s="344"/>
      <c r="B237" s="548"/>
      <c r="C237" s="548"/>
      <c r="D237" s="344"/>
      <c r="E237" s="344"/>
      <c r="F237" s="549"/>
      <c r="G237" s="545"/>
      <c r="H237" s="545"/>
      <c r="I237" s="344"/>
      <c r="J237" s="344"/>
      <c r="K237" s="344"/>
      <c r="L237" s="344"/>
      <c r="M237" s="344"/>
      <c r="N237" s="344"/>
      <c r="O237" s="344"/>
      <c r="P237" s="344"/>
      <c r="Q237" s="344"/>
      <c r="R237" s="344"/>
      <c r="S237" s="344"/>
      <c r="T237" s="344"/>
      <c r="U237" s="344"/>
      <c r="V237" s="344"/>
      <c r="W237" s="344"/>
      <c r="X237" s="344"/>
      <c r="Y237" s="344"/>
      <c r="Z237" s="344"/>
      <c r="AA237" s="344"/>
      <c r="AB237" s="344"/>
      <c r="AC237" s="344"/>
      <c r="AD237" s="344"/>
    </row>
    <row r="238">
      <c r="A238" s="344"/>
      <c r="B238" s="548"/>
      <c r="C238" s="548"/>
      <c r="D238" s="344"/>
      <c r="E238" s="344"/>
      <c r="F238" s="549"/>
      <c r="G238" s="545"/>
      <c r="H238" s="545"/>
      <c r="I238" s="344"/>
      <c r="J238" s="344"/>
      <c r="K238" s="344"/>
      <c r="L238" s="344"/>
      <c r="M238" s="344"/>
      <c r="N238" s="344"/>
      <c r="O238" s="344"/>
      <c r="P238" s="344"/>
      <c r="Q238" s="344"/>
      <c r="R238" s="344"/>
      <c r="S238" s="344"/>
      <c r="T238" s="344"/>
      <c r="U238" s="344"/>
      <c r="V238" s="344"/>
      <c r="W238" s="344"/>
      <c r="X238" s="344"/>
      <c r="Y238" s="344"/>
      <c r="Z238" s="344"/>
      <c r="AA238" s="344"/>
      <c r="AB238" s="344"/>
      <c r="AC238" s="344"/>
      <c r="AD238" s="344"/>
    </row>
    <row r="239">
      <c r="A239" s="344"/>
      <c r="B239" s="548"/>
      <c r="C239" s="548"/>
      <c r="D239" s="344"/>
      <c r="E239" s="344"/>
      <c r="F239" s="549"/>
      <c r="G239" s="545"/>
      <c r="H239" s="545"/>
      <c r="I239" s="344"/>
      <c r="J239" s="344"/>
      <c r="K239" s="344"/>
      <c r="L239" s="344"/>
      <c r="M239" s="344"/>
      <c r="N239" s="344"/>
      <c r="O239" s="344"/>
      <c r="P239" s="344"/>
      <c r="Q239" s="344"/>
      <c r="R239" s="344"/>
      <c r="S239" s="344"/>
      <c r="T239" s="344"/>
      <c r="U239" s="344"/>
      <c r="V239" s="344"/>
      <c r="W239" s="344"/>
      <c r="X239" s="344"/>
      <c r="Y239" s="344"/>
      <c r="Z239" s="344"/>
      <c r="AA239" s="344"/>
      <c r="AB239" s="344"/>
      <c r="AC239" s="344"/>
      <c r="AD239" s="344"/>
    </row>
    <row r="240">
      <c r="A240" s="344"/>
      <c r="B240" s="548"/>
      <c r="C240" s="548"/>
      <c r="D240" s="344"/>
      <c r="E240" s="344"/>
      <c r="F240" s="549"/>
      <c r="G240" s="545"/>
      <c r="H240" s="545"/>
      <c r="I240" s="344"/>
      <c r="J240" s="344"/>
      <c r="K240" s="344"/>
      <c r="L240" s="344"/>
      <c r="M240" s="344"/>
      <c r="N240" s="344"/>
      <c r="O240" s="344"/>
      <c r="P240" s="344"/>
      <c r="Q240" s="344"/>
      <c r="R240" s="344"/>
      <c r="S240" s="344"/>
      <c r="T240" s="344"/>
      <c r="U240" s="344"/>
      <c r="V240" s="344"/>
      <c r="W240" s="344"/>
      <c r="X240" s="344"/>
      <c r="Y240" s="344"/>
      <c r="Z240" s="344"/>
      <c r="AA240" s="344"/>
      <c r="AB240" s="344"/>
      <c r="AC240" s="344"/>
      <c r="AD240" s="344"/>
    </row>
    <row r="241">
      <c r="A241" s="344"/>
      <c r="B241" s="548"/>
      <c r="C241" s="548"/>
      <c r="D241" s="344"/>
      <c r="E241" s="344"/>
      <c r="F241" s="549"/>
      <c r="G241" s="545"/>
      <c r="H241" s="545"/>
      <c r="I241" s="344"/>
      <c r="J241" s="344"/>
      <c r="K241" s="344"/>
      <c r="L241" s="344"/>
      <c r="M241" s="344"/>
      <c r="N241" s="344"/>
      <c r="O241" s="344"/>
      <c r="P241" s="344"/>
      <c r="Q241" s="344"/>
      <c r="R241" s="344"/>
      <c r="S241" s="344"/>
      <c r="T241" s="344"/>
      <c r="U241" s="344"/>
      <c r="V241" s="344"/>
      <c r="W241" s="344"/>
      <c r="X241" s="344"/>
      <c r="Y241" s="344"/>
      <c r="Z241" s="344"/>
      <c r="AA241" s="344"/>
      <c r="AB241" s="344"/>
      <c r="AC241" s="344"/>
      <c r="AD241" s="344"/>
    </row>
    <row r="242">
      <c r="A242" s="344"/>
      <c r="B242" s="548"/>
      <c r="C242" s="548"/>
      <c r="D242" s="344"/>
      <c r="E242" s="344"/>
      <c r="F242" s="549"/>
      <c r="G242" s="545"/>
      <c r="H242" s="545"/>
      <c r="I242" s="344"/>
      <c r="J242" s="344"/>
      <c r="K242" s="344"/>
      <c r="L242" s="344"/>
      <c r="M242" s="344"/>
      <c r="N242" s="344"/>
      <c r="O242" s="344"/>
      <c r="P242" s="344"/>
      <c r="Q242" s="344"/>
      <c r="R242" s="344"/>
      <c r="S242" s="344"/>
      <c r="T242" s="344"/>
      <c r="U242" s="344"/>
      <c r="V242" s="344"/>
      <c r="W242" s="344"/>
      <c r="X242" s="344"/>
      <c r="Y242" s="344"/>
      <c r="Z242" s="344"/>
      <c r="AA242" s="344"/>
      <c r="AB242" s="344"/>
      <c r="AC242" s="344"/>
      <c r="AD242" s="344"/>
    </row>
    <row r="243">
      <c r="A243" s="344"/>
      <c r="B243" s="548"/>
      <c r="C243" s="548"/>
      <c r="D243" s="344"/>
      <c r="E243" s="344"/>
      <c r="F243" s="549"/>
      <c r="G243" s="545"/>
      <c r="H243" s="545"/>
      <c r="I243" s="344"/>
      <c r="J243" s="344"/>
      <c r="K243" s="344"/>
      <c r="L243" s="344"/>
      <c r="M243" s="344"/>
      <c r="N243" s="344"/>
      <c r="O243" s="344"/>
      <c r="P243" s="344"/>
      <c r="Q243" s="344"/>
      <c r="R243" s="344"/>
      <c r="S243" s="344"/>
      <c r="T243" s="344"/>
      <c r="U243" s="344"/>
      <c r="V243" s="344"/>
      <c r="W243" s="344"/>
      <c r="X243" s="344"/>
      <c r="Y243" s="344"/>
      <c r="Z243" s="344"/>
      <c r="AA243" s="344"/>
      <c r="AB243" s="344"/>
      <c r="AC243" s="344"/>
      <c r="AD243" s="344"/>
    </row>
    <row r="244">
      <c r="A244" s="344"/>
      <c r="B244" s="548"/>
      <c r="C244" s="548"/>
      <c r="D244" s="344"/>
      <c r="E244" s="344"/>
      <c r="F244" s="549"/>
      <c r="G244" s="545"/>
      <c r="H244" s="545"/>
      <c r="I244" s="344"/>
      <c r="J244" s="344"/>
      <c r="K244" s="344"/>
      <c r="L244" s="344"/>
      <c r="M244" s="344"/>
      <c r="N244" s="344"/>
      <c r="O244" s="344"/>
      <c r="P244" s="344"/>
      <c r="Q244" s="344"/>
      <c r="R244" s="344"/>
      <c r="S244" s="344"/>
      <c r="T244" s="344"/>
      <c r="U244" s="344"/>
      <c r="V244" s="344"/>
      <c r="W244" s="344"/>
      <c r="X244" s="344"/>
      <c r="Y244" s="344"/>
      <c r="Z244" s="344"/>
      <c r="AA244" s="344"/>
      <c r="AB244" s="344"/>
      <c r="AC244" s="344"/>
      <c r="AD244" s="344"/>
    </row>
    <row r="245">
      <c r="A245" s="344"/>
      <c r="B245" s="548"/>
      <c r="C245" s="548"/>
      <c r="D245" s="344"/>
      <c r="E245" s="344"/>
      <c r="F245" s="549"/>
      <c r="G245" s="545"/>
      <c r="H245" s="545"/>
      <c r="I245" s="344"/>
      <c r="J245" s="344"/>
      <c r="K245" s="344"/>
      <c r="L245" s="344"/>
      <c r="M245" s="344"/>
      <c r="N245" s="344"/>
      <c r="O245" s="344"/>
      <c r="P245" s="344"/>
      <c r="Q245" s="344"/>
      <c r="R245" s="344"/>
      <c r="S245" s="344"/>
      <c r="T245" s="344"/>
      <c r="U245" s="344"/>
      <c r="V245" s="344"/>
      <c r="W245" s="344"/>
      <c r="X245" s="344"/>
      <c r="Y245" s="344"/>
      <c r="Z245" s="344"/>
      <c r="AA245" s="344"/>
      <c r="AB245" s="344"/>
      <c r="AC245" s="344"/>
      <c r="AD245" s="344"/>
    </row>
    <row r="246">
      <c r="A246" s="344"/>
      <c r="B246" s="548"/>
      <c r="C246" s="548"/>
      <c r="D246" s="344"/>
      <c r="E246" s="344"/>
      <c r="F246" s="549"/>
      <c r="G246" s="545"/>
      <c r="H246" s="545"/>
      <c r="I246" s="344"/>
      <c r="J246" s="344"/>
      <c r="K246" s="344"/>
      <c r="L246" s="344"/>
      <c r="M246" s="344"/>
      <c r="N246" s="344"/>
      <c r="O246" s="344"/>
      <c r="P246" s="344"/>
      <c r="Q246" s="344"/>
      <c r="R246" s="344"/>
      <c r="S246" s="344"/>
      <c r="T246" s="344"/>
      <c r="U246" s="344"/>
      <c r="V246" s="344"/>
      <c r="W246" s="344"/>
      <c r="X246" s="344"/>
      <c r="Y246" s="344"/>
      <c r="Z246" s="344"/>
      <c r="AA246" s="344"/>
      <c r="AB246" s="344"/>
      <c r="AC246" s="344"/>
      <c r="AD246" s="344"/>
    </row>
    <row r="247">
      <c r="A247" s="344"/>
      <c r="B247" s="548"/>
      <c r="C247" s="548"/>
      <c r="D247" s="344"/>
      <c r="E247" s="344"/>
      <c r="F247" s="549"/>
      <c r="G247" s="545"/>
      <c r="H247" s="545"/>
      <c r="I247" s="344"/>
      <c r="J247" s="344"/>
      <c r="K247" s="344"/>
      <c r="L247" s="344"/>
      <c r="M247" s="344"/>
      <c r="N247" s="344"/>
      <c r="O247" s="344"/>
      <c r="P247" s="344"/>
      <c r="Q247" s="344"/>
      <c r="R247" s="344"/>
      <c r="S247" s="344"/>
      <c r="T247" s="344"/>
      <c r="U247" s="344"/>
      <c r="V247" s="344"/>
      <c r="W247" s="344"/>
      <c r="X247" s="344"/>
      <c r="Y247" s="344"/>
      <c r="Z247" s="344"/>
      <c r="AA247" s="344"/>
      <c r="AB247" s="344"/>
      <c r="AC247" s="344"/>
      <c r="AD247" s="344"/>
    </row>
    <row r="248">
      <c r="A248" s="344"/>
      <c r="B248" s="548"/>
      <c r="C248" s="548"/>
      <c r="D248" s="344"/>
      <c r="E248" s="344"/>
      <c r="F248" s="549"/>
      <c r="G248" s="545"/>
      <c r="H248" s="545"/>
      <c r="I248" s="344"/>
      <c r="J248" s="344"/>
      <c r="K248" s="344"/>
      <c r="L248" s="344"/>
      <c r="M248" s="344"/>
      <c r="N248" s="344"/>
      <c r="O248" s="344"/>
      <c r="P248" s="344"/>
      <c r="Q248" s="344"/>
      <c r="R248" s="344"/>
      <c r="S248" s="344"/>
      <c r="T248" s="344"/>
      <c r="U248" s="344"/>
      <c r="V248" s="344"/>
      <c r="W248" s="344"/>
      <c r="X248" s="344"/>
      <c r="Y248" s="344"/>
      <c r="Z248" s="344"/>
      <c r="AA248" s="344"/>
      <c r="AB248" s="344"/>
      <c r="AC248" s="344"/>
      <c r="AD248" s="344"/>
    </row>
    <row r="249">
      <c r="A249" s="344"/>
      <c r="B249" s="548"/>
      <c r="C249" s="548"/>
      <c r="D249" s="344"/>
      <c r="E249" s="344"/>
      <c r="F249" s="549"/>
      <c r="G249" s="545"/>
      <c r="H249" s="545"/>
      <c r="I249" s="344"/>
      <c r="J249" s="344"/>
      <c r="K249" s="344"/>
      <c r="L249" s="344"/>
      <c r="M249" s="344"/>
      <c r="N249" s="344"/>
      <c r="O249" s="344"/>
      <c r="P249" s="344"/>
      <c r="Q249" s="344"/>
      <c r="R249" s="344"/>
      <c r="S249" s="344"/>
      <c r="T249" s="344"/>
      <c r="U249" s="344"/>
      <c r="V249" s="344"/>
      <c r="W249" s="344"/>
      <c r="X249" s="344"/>
      <c r="Y249" s="344"/>
      <c r="Z249" s="344"/>
      <c r="AA249" s="344"/>
      <c r="AB249" s="344"/>
      <c r="AC249" s="344"/>
      <c r="AD249" s="344"/>
    </row>
    <row r="250">
      <c r="A250" s="344"/>
      <c r="B250" s="548"/>
      <c r="C250" s="548"/>
      <c r="D250" s="344"/>
      <c r="E250" s="344"/>
      <c r="F250" s="549"/>
      <c r="G250" s="545"/>
      <c r="H250" s="545"/>
      <c r="I250" s="344"/>
      <c r="J250" s="344"/>
      <c r="K250" s="344"/>
      <c r="L250" s="344"/>
      <c r="M250" s="344"/>
      <c r="N250" s="344"/>
      <c r="O250" s="344"/>
      <c r="P250" s="344"/>
      <c r="Q250" s="344"/>
      <c r="R250" s="344"/>
      <c r="S250" s="344"/>
      <c r="T250" s="344"/>
      <c r="U250" s="344"/>
      <c r="V250" s="344"/>
      <c r="W250" s="344"/>
      <c r="X250" s="344"/>
      <c r="Y250" s="344"/>
      <c r="Z250" s="344"/>
      <c r="AA250" s="344"/>
      <c r="AB250" s="344"/>
      <c r="AC250" s="344"/>
      <c r="AD250" s="344"/>
    </row>
    <row r="251">
      <c r="A251" s="344"/>
      <c r="B251" s="548"/>
      <c r="C251" s="548"/>
      <c r="D251" s="344"/>
      <c r="E251" s="344"/>
      <c r="F251" s="549"/>
      <c r="G251" s="545"/>
      <c r="H251" s="545"/>
      <c r="I251" s="344"/>
      <c r="J251" s="344"/>
      <c r="K251" s="344"/>
      <c r="L251" s="344"/>
      <c r="M251" s="344"/>
      <c r="N251" s="344"/>
      <c r="O251" s="344"/>
      <c r="P251" s="344"/>
      <c r="Q251" s="344"/>
      <c r="R251" s="344"/>
      <c r="S251" s="344"/>
      <c r="T251" s="344"/>
      <c r="U251" s="344"/>
      <c r="V251" s="344"/>
      <c r="W251" s="344"/>
      <c r="X251" s="344"/>
      <c r="Y251" s="344"/>
      <c r="Z251" s="344"/>
      <c r="AA251" s="344"/>
      <c r="AB251" s="344"/>
      <c r="AC251" s="344"/>
      <c r="AD251" s="344"/>
    </row>
    <row r="252">
      <c r="A252" s="344"/>
      <c r="B252" s="548"/>
      <c r="C252" s="548"/>
      <c r="D252" s="344"/>
      <c r="E252" s="344"/>
      <c r="F252" s="549"/>
      <c r="G252" s="545"/>
      <c r="H252" s="545"/>
      <c r="I252" s="344"/>
      <c r="J252" s="344"/>
      <c r="K252" s="344"/>
      <c r="L252" s="344"/>
      <c r="M252" s="344"/>
      <c r="N252" s="344"/>
      <c r="O252" s="344"/>
      <c r="P252" s="344"/>
      <c r="Q252" s="344"/>
      <c r="R252" s="344"/>
      <c r="S252" s="344"/>
      <c r="T252" s="344"/>
      <c r="U252" s="344"/>
      <c r="V252" s="344"/>
      <c r="W252" s="344"/>
      <c r="X252" s="344"/>
      <c r="Y252" s="344"/>
      <c r="Z252" s="344"/>
      <c r="AA252" s="344"/>
      <c r="AB252" s="344"/>
      <c r="AC252" s="344"/>
      <c r="AD252" s="344"/>
    </row>
    <row r="253">
      <c r="A253" s="344"/>
      <c r="B253" s="548"/>
      <c r="C253" s="548"/>
      <c r="D253" s="344"/>
      <c r="E253" s="344"/>
      <c r="F253" s="549"/>
      <c r="G253" s="545"/>
      <c r="H253" s="545"/>
      <c r="I253" s="344"/>
      <c r="J253" s="344"/>
      <c r="K253" s="344"/>
      <c r="L253" s="344"/>
      <c r="M253" s="344"/>
      <c r="N253" s="344"/>
      <c r="O253" s="344"/>
      <c r="P253" s="344"/>
      <c r="Q253" s="344"/>
      <c r="R253" s="344"/>
      <c r="S253" s="344"/>
      <c r="T253" s="344"/>
      <c r="U253" s="344"/>
      <c r="V253" s="344"/>
      <c r="W253" s="344"/>
      <c r="X253" s="344"/>
      <c r="Y253" s="344"/>
      <c r="Z253" s="344"/>
      <c r="AA253" s="344"/>
      <c r="AB253" s="344"/>
      <c r="AC253" s="344"/>
      <c r="AD253" s="344"/>
    </row>
    <row r="254">
      <c r="A254" s="344"/>
      <c r="B254" s="548"/>
      <c r="C254" s="548"/>
      <c r="D254" s="344"/>
      <c r="E254" s="344"/>
      <c r="F254" s="549"/>
      <c r="G254" s="545"/>
      <c r="H254" s="545"/>
      <c r="I254" s="344"/>
      <c r="J254" s="344"/>
      <c r="K254" s="344"/>
      <c r="L254" s="344"/>
      <c r="M254" s="344"/>
      <c r="N254" s="344"/>
      <c r="O254" s="344"/>
      <c r="P254" s="344"/>
      <c r="Q254" s="344"/>
      <c r="R254" s="344"/>
      <c r="S254" s="344"/>
      <c r="T254" s="344"/>
      <c r="U254" s="344"/>
      <c r="V254" s="344"/>
      <c r="W254" s="344"/>
      <c r="X254" s="344"/>
      <c r="Y254" s="344"/>
      <c r="Z254" s="344"/>
      <c r="AA254" s="344"/>
      <c r="AB254" s="344"/>
      <c r="AC254" s="344"/>
      <c r="AD254" s="344"/>
    </row>
    <row r="255">
      <c r="A255" s="344"/>
      <c r="B255" s="548"/>
      <c r="C255" s="548"/>
      <c r="D255" s="344"/>
      <c r="E255" s="344"/>
      <c r="F255" s="549"/>
      <c r="G255" s="545"/>
      <c r="H255" s="545"/>
      <c r="I255" s="344"/>
      <c r="J255" s="344"/>
      <c r="K255" s="344"/>
      <c r="L255" s="344"/>
      <c r="M255" s="344"/>
      <c r="N255" s="344"/>
      <c r="O255" s="344"/>
      <c r="P255" s="344"/>
      <c r="Q255" s="344"/>
      <c r="R255" s="344"/>
      <c r="S255" s="344"/>
      <c r="T255" s="344"/>
      <c r="U255" s="344"/>
      <c r="V255" s="344"/>
      <c r="W255" s="344"/>
      <c r="X255" s="344"/>
      <c r="Y255" s="344"/>
      <c r="Z255" s="344"/>
      <c r="AA255" s="344"/>
      <c r="AB255" s="344"/>
      <c r="AC255" s="344"/>
      <c r="AD255" s="344"/>
    </row>
    <row r="256">
      <c r="A256" s="344"/>
      <c r="B256" s="548"/>
      <c r="C256" s="548"/>
      <c r="D256" s="344"/>
      <c r="E256" s="344"/>
      <c r="F256" s="549"/>
      <c r="G256" s="545"/>
      <c r="H256" s="545"/>
      <c r="I256" s="344"/>
      <c r="J256" s="344"/>
      <c r="K256" s="344"/>
      <c r="L256" s="344"/>
      <c r="M256" s="344"/>
      <c r="N256" s="344"/>
      <c r="O256" s="344"/>
      <c r="P256" s="344"/>
      <c r="Q256" s="344"/>
      <c r="R256" s="344"/>
      <c r="S256" s="344"/>
      <c r="T256" s="344"/>
      <c r="U256" s="344"/>
      <c r="V256" s="344"/>
      <c r="W256" s="344"/>
      <c r="X256" s="344"/>
      <c r="Y256" s="344"/>
      <c r="Z256" s="344"/>
      <c r="AA256" s="344"/>
      <c r="AB256" s="344"/>
      <c r="AC256" s="344"/>
      <c r="AD256" s="344"/>
    </row>
    <row r="257">
      <c r="A257" s="344"/>
      <c r="B257" s="548"/>
      <c r="C257" s="548"/>
      <c r="D257" s="344"/>
      <c r="E257" s="344"/>
      <c r="F257" s="549"/>
      <c r="G257" s="545"/>
      <c r="H257" s="545"/>
      <c r="I257" s="344"/>
      <c r="J257" s="344"/>
      <c r="K257" s="344"/>
      <c r="L257" s="344"/>
      <c r="M257" s="344"/>
      <c r="N257" s="344"/>
      <c r="O257" s="344"/>
      <c r="P257" s="344"/>
      <c r="Q257" s="344"/>
      <c r="R257" s="344"/>
      <c r="S257" s="344"/>
      <c r="T257" s="344"/>
      <c r="U257" s="344"/>
      <c r="V257" s="344"/>
      <c r="W257" s="344"/>
      <c r="X257" s="344"/>
      <c r="Y257" s="344"/>
      <c r="Z257" s="344"/>
      <c r="AA257" s="344"/>
      <c r="AB257" s="344"/>
      <c r="AC257" s="344"/>
      <c r="AD257" s="344"/>
    </row>
    <row r="258">
      <c r="A258" s="344"/>
      <c r="B258" s="548"/>
      <c r="C258" s="548"/>
      <c r="D258" s="344"/>
      <c r="E258" s="344"/>
      <c r="F258" s="549"/>
      <c r="G258" s="545"/>
      <c r="H258" s="545"/>
      <c r="I258" s="344"/>
      <c r="J258" s="344"/>
      <c r="K258" s="344"/>
      <c r="L258" s="344"/>
      <c r="M258" s="344"/>
      <c r="N258" s="344"/>
      <c r="O258" s="344"/>
      <c r="P258" s="344"/>
      <c r="Q258" s="344"/>
      <c r="R258" s="344"/>
      <c r="S258" s="344"/>
      <c r="T258" s="344"/>
      <c r="U258" s="344"/>
      <c r="V258" s="344"/>
      <c r="W258" s="344"/>
      <c r="X258" s="344"/>
      <c r="Y258" s="344"/>
      <c r="Z258" s="344"/>
      <c r="AA258" s="344"/>
      <c r="AB258" s="344"/>
      <c r="AC258" s="344"/>
      <c r="AD258" s="344"/>
    </row>
    <row r="259">
      <c r="A259" s="344"/>
      <c r="B259" s="548"/>
      <c r="C259" s="548"/>
      <c r="D259" s="344"/>
      <c r="E259" s="344"/>
      <c r="F259" s="549"/>
      <c r="G259" s="545"/>
      <c r="H259" s="545"/>
      <c r="I259" s="344"/>
      <c r="J259" s="344"/>
      <c r="K259" s="344"/>
      <c r="L259" s="344"/>
      <c r="M259" s="344"/>
      <c r="N259" s="344"/>
      <c r="O259" s="344"/>
      <c r="P259" s="344"/>
      <c r="Q259" s="344"/>
      <c r="R259" s="344"/>
      <c r="S259" s="344"/>
      <c r="T259" s="344"/>
      <c r="U259" s="344"/>
      <c r="V259" s="344"/>
      <c r="W259" s="344"/>
      <c r="X259" s="344"/>
      <c r="Y259" s="344"/>
      <c r="Z259" s="344"/>
      <c r="AA259" s="344"/>
      <c r="AB259" s="344"/>
      <c r="AC259" s="344"/>
      <c r="AD259" s="344"/>
    </row>
    <row r="260">
      <c r="A260" s="344"/>
      <c r="B260" s="548"/>
      <c r="C260" s="548"/>
      <c r="D260" s="344"/>
      <c r="E260" s="344"/>
      <c r="F260" s="549"/>
      <c r="G260" s="545"/>
      <c r="H260" s="545"/>
      <c r="I260" s="344"/>
      <c r="J260" s="344"/>
      <c r="K260" s="344"/>
      <c r="L260" s="344"/>
      <c r="M260" s="344"/>
      <c r="N260" s="344"/>
      <c r="O260" s="344"/>
      <c r="P260" s="344"/>
      <c r="Q260" s="344"/>
      <c r="R260" s="344"/>
      <c r="S260" s="344"/>
      <c r="T260" s="344"/>
      <c r="U260" s="344"/>
      <c r="V260" s="344"/>
      <c r="W260" s="344"/>
      <c r="X260" s="344"/>
      <c r="Y260" s="344"/>
      <c r="Z260" s="344"/>
      <c r="AA260" s="344"/>
      <c r="AB260" s="344"/>
      <c r="AC260" s="344"/>
      <c r="AD260" s="344"/>
    </row>
    <row r="261">
      <c r="A261" s="344"/>
      <c r="B261" s="548"/>
      <c r="C261" s="548"/>
      <c r="D261" s="344"/>
      <c r="E261" s="344"/>
      <c r="F261" s="549"/>
      <c r="G261" s="545"/>
      <c r="H261" s="545"/>
      <c r="I261" s="344"/>
      <c r="J261" s="344"/>
      <c r="K261" s="344"/>
      <c r="L261" s="344"/>
      <c r="M261" s="344"/>
      <c r="N261" s="344"/>
      <c r="O261" s="344"/>
      <c r="P261" s="344"/>
      <c r="Q261" s="344"/>
      <c r="R261" s="344"/>
      <c r="S261" s="344"/>
      <c r="T261" s="344"/>
      <c r="U261" s="344"/>
      <c r="V261" s="344"/>
      <c r="W261" s="344"/>
      <c r="X261" s="344"/>
      <c r="Y261" s="344"/>
      <c r="Z261" s="344"/>
      <c r="AA261" s="344"/>
      <c r="AB261" s="344"/>
      <c r="AC261" s="344"/>
      <c r="AD261" s="344"/>
    </row>
    <row r="262">
      <c r="A262" s="344"/>
      <c r="B262" s="548"/>
      <c r="C262" s="548"/>
      <c r="D262" s="344"/>
      <c r="E262" s="344"/>
      <c r="F262" s="549"/>
      <c r="G262" s="545"/>
      <c r="H262" s="545"/>
      <c r="I262" s="344"/>
      <c r="J262" s="344"/>
      <c r="K262" s="344"/>
      <c r="L262" s="344"/>
      <c r="M262" s="344"/>
      <c r="N262" s="344"/>
      <c r="O262" s="344"/>
      <c r="P262" s="344"/>
      <c r="Q262" s="344"/>
      <c r="R262" s="344"/>
      <c r="S262" s="344"/>
      <c r="T262" s="344"/>
      <c r="U262" s="344"/>
      <c r="V262" s="344"/>
      <c r="W262" s="344"/>
      <c r="X262" s="344"/>
      <c r="Y262" s="344"/>
      <c r="Z262" s="344"/>
      <c r="AA262" s="344"/>
      <c r="AB262" s="344"/>
      <c r="AC262" s="344"/>
      <c r="AD262" s="344"/>
    </row>
    <row r="263">
      <c r="A263" s="344"/>
      <c r="B263" s="548"/>
      <c r="C263" s="548"/>
      <c r="D263" s="344"/>
      <c r="E263" s="344"/>
      <c r="F263" s="549"/>
      <c r="G263" s="545"/>
      <c r="H263" s="545"/>
      <c r="I263" s="344"/>
      <c r="J263" s="344"/>
      <c r="K263" s="344"/>
      <c r="L263" s="344"/>
      <c r="M263" s="344"/>
      <c r="N263" s="344"/>
      <c r="O263" s="344"/>
      <c r="P263" s="344"/>
      <c r="Q263" s="344"/>
      <c r="R263" s="344"/>
      <c r="S263" s="344"/>
      <c r="T263" s="344"/>
      <c r="U263" s="344"/>
      <c r="V263" s="344"/>
      <c r="W263" s="344"/>
      <c r="X263" s="344"/>
      <c r="Y263" s="344"/>
      <c r="Z263" s="344"/>
      <c r="AA263" s="344"/>
      <c r="AB263" s="344"/>
      <c r="AC263" s="344"/>
      <c r="AD263" s="344"/>
    </row>
    <row r="264">
      <c r="A264" s="344"/>
      <c r="B264" s="548"/>
      <c r="C264" s="548"/>
      <c r="D264" s="344"/>
      <c r="E264" s="344"/>
      <c r="F264" s="549"/>
      <c r="G264" s="545"/>
      <c r="H264" s="545"/>
      <c r="I264" s="344"/>
      <c r="J264" s="344"/>
      <c r="K264" s="344"/>
      <c r="L264" s="344"/>
      <c r="M264" s="344"/>
      <c r="N264" s="344"/>
      <c r="O264" s="344"/>
      <c r="P264" s="344"/>
      <c r="Q264" s="344"/>
      <c r="R264" s="344"/>
      <c r="S264" s="344"/>
      <c r="T264" s="344"/>
      <c r="U264" s="344"/>
      <c r="V264" s="344"/>
      <c r="W264" s="344"/>
      <c r="X264" s="344"/>
      <c r="Y264" s="344"/>
      <c r="Z264" s="344"/>
      <c r="AA264" s="344"/>
      <c r="AB264" s="344"/>
      <c r="AC264" s="344"/>
      <c r="AD264" s="344"/>
    </row>
    <row r="265">
      <c r="A265" s="344"/>
      <c r="B265" s="548"/>
      <c r="C265" s="548"/>
      <c r="D265" s="344"/>
      <c r="E265" s="344"/>
      <c r="F265" s="549"/>
      <c r="G265" s="545"/>
      <c r="H265" s="545"/>
      <c r="I265" s="344"/>
      <c r="J265" s="344"/>
      <c r="K265" s="344"/>
      <c r="L265" s="344"/>
      <c r="M265" s="344"/>
      <c r="N265" s="344"/>
      <c r="O265" s="344"/>
      <c r="P265" s="344"/>
      <c r="Q265" s="344"/>
      <c r="R265" s="344"/>
      <c r="S265" s="344"/>
      <c r="T265" s="344"/>
      <c r="U265" s="344"/>
      <c r="V265" s="344"/>
      <c r="W265" s="344"/>
      <c r="X265" s="344"/>
      <c r="Y265" s="344"/>
      <c r="Z265" s="344"/>
      <c r="AA265" s="344"/>
      <c r="AB265" s="344"/>
      <c r="AC265" s="344"/>
      <c r="AD265" s="344"/>
    </row>
    <row r="266">
      <c r="A266" s="344"/>
      <c r="B266" s="548"/>
      <c r="C266" s="548"/>
      <c r="D266" s="344"/>
      <c r="E266" s="344"/>
      <c r="F266" s="549"/>
      <c r="G266" s="545"/>
      <c r="H266" s="545"/>
      <c r="I266" s="344"/>
      <c r="J266" s="344"/>
      <c r="K266" s="344"/>
      <c r="L266" s="344"/>
      <c r="M266" s="344"/>
      <c r="N266" s="344"/>
      <c r="O266" s="344"/>
      <c r="P266" s="344"/>
      <c r="Q266" s="344"/>
      <c r="R266" s="344"/>
      <c r="S266" s="344"/>
      <c r="T266" s="344"/>
      <c r="U266" s="344"/>
      <c r="V266" s="344"/>
      <c r="W266" s="344"/>
      <c r="X266" s="344"/>
      <c r="Y266" s="344"/>
      <c r="Z266" s="344"/>
      <c r="AA266" s="344"/>
      <c r="AB266" s="344"/>
      <c r="AC266" s="344"/>
      <c r="AD266" s="344"/>
    </row>
    <row r="267">
      <c r="A267" s="344"/>
      <c r="B267" s="548"/>
      <c r="C267" s="548"/>
      <c r="D267" s="344"/>
      <c r="E267" s="344"/>
      <c r="F267" s="549"/>
      <c r="G267" s="545"/>
      <c r="H267" s="545"/>
      <c r="I267" s="344"/>
      <c r="J267" s="344"/>
      <c r="K267" s="344"/>
      <c r="L267" s="344"/>
      <c r="M267" s="344"/>
      <c r="N267" s="344"/>
      <c r="O267" s="344"/>
      <c r="P267" s="344"/>
      <c r="Q267" s="344"/>
      <c r="R267" s="344"/>
      <c r="S267" s="344"/>
      <c r="T267" s="344"/>
      <c r="U267" s="344"/>
      <c r="V267" s="344"/>
      <c r="W267" s="344"/>
      <c r="X267" s="344"/>
      <c r="Y267" s="344"/>
      <c r="Z267" s="344"/>
      <c r="AA267" s="344"/>
      <c r="AB267" s="344"/>
      <c r="AC267" s="344"/>
      <c r="AD267" s="344"/>
    </row>
    <row r="268">
      <c r="A268" s="344"/>
      <c r="B268" s="548"/>
      <c r="C268" s="548"/>
      <c r="D268" s="344"/>
      <c r="E268" s="344"/>
      <c r="F268" s="549"/>
      <c r="G268" s="545"/>
      <c r="H268" s="545"/>
      <c r="I268" s="344"/>
      <c r="J268" s="344"/>
      <c r="K268" s="344"/>
      <c r="L268" s="344"/>
      <c r="M268" s="344"/>
      <c r="N268" s="344"/>
      <c r="O268" s="344"/>
      <c r="P268" s="344"/>
      <c r="Q268" s="344"/>
      <c r="R268" s="344"/>
      <c r="S268" s="344"/>
      <c r="T268" s="344"/>
      <c r="U268" s="344"/>
      <c r="V268" s="344"/>
      <c r="W268" s="344"/>
      <c r="X268" s="344"/>
      <c r="Y268" s="344"/>
      <c r="Z268" s="344"/>
      <c r="AA268" s="344"/>
      <c r="AB268" s="344"/>
      <c r="AC268" s="344"/>
      <c r="AD268" s="344"/>
    </row>
    <row r="269">
      <c r="A269" s="344"/>
      <c r="B269" s="548"/>
      <c r="C269" s="548"/>
      <c r="D269" s="344"/>
      <c r="E269" s="344"/>
      <c r="F269" s="549"/>
      <c r="G269" s="545"/>
      <c r="H269" s="545"/>
      <c r="I269" s="344"/>
      <c r="J269" s="344"/>
      <c r="K269" s="344"/>
      <c r="L269" s="344"/>
      <c r="M269" s="344"/>
      <c r="N269" s="344"/>
      <c r="O269" s="344"/>
      <c r="P269" s="344"/>
      <c r="Q269" s="344"/>
      <c r="R269" s="344"/>
      <c r="S269" s="344"/>
      <c r="T269" s="344"/>
      <c r="U269" s="344"/>
      <c r="V269" s="344"/>
      <c r="W269" s="344"/>
      <c r="X269" s="344"/>
      <c r="Y269" s="344"/>
      <c r="Z269" s="344"/>
      <c r="AA269" s="344"/>
      <c r="AB269" s="344"/>
      <c r="AC269" s="344"/>
      <c r="AD269" s="344"/>
    </row>
    <row r="270">
      <c r="A270" s="344"/>
      <c r="B270" s="548"/>
      <c r="C270" s="548"/>
      <c r="D270" s="344"/>
      <c r="E270" s="344"/>
      <c r="F270" s="549"/>
      <c r="G270" s="545"/>
      <c r="H270" s="545"/>
      <c r="I270" s="344"/>
      <c r="J270" s="344"/>
      <c r="K270" s="344"/>
      <c r="L270" s="344"/>
      <c r="M270" s="344"/>
      <c r="N270" s="344"/>
      <c r="O270" s="344"/>
      <c r="P270" s="344"/>
      <c r="Q270" s="344"/>
      <c r="R270" s="344"/>
      <c r="S270" s="344"/>
      <c r="T270" s="344"/>
      <c r="U270" s="344"/>
      <c r="V270" s="344"/>
      <c r="W270" s="344"/>
      <c r="X270" s="344"/>
      <c r="Y270" s="344"/>
      <c r="Z270" s="344"/>
      <c r="AA270" s="344"/>
      <c r="AB270" s="344"/>
      <c r="AC270" s="344"/>
      <c r="AD270" s="344"/>
    </row>
    <row r="271">
      <c r="A271" s="344"/>
      <c r="B271" s="548"/>
      <c r="C271" s="548"/>
      <c r="D271" s="344"/>
      <c r="E271" s="344"/>
      <c r="F271" s="549"/>
      <c r="G271" s="545"/>
      <c r="H271" s="545"/>
      <c r="I271" s="344"/>
      <c r="J271" s="344"/>
      <c r="K271" s="344"/>
      <c r="L271" s="344"/>
      <c r="M271" s="344"/>
      <c r="N271" s="344"/>
      <c r="O271" s="344"/>
      <c r="P271" s="344"/>
      <c r="Q271" s="344"/>
      <c r="R271" s="344"/>
      <c r="S271" s="344"/>
      <c r="T271" s="344"/>
      <c r="U271" s="344"/>
      <c r="V271" s="344"/>
      <c r="W271" s="344"/>
      <c r="X271" s="344"/>
      <c r="Y271" s="344"/>
      <c r="Z271" s="344"/>
      <c r="AA271" s="344"/>
      <c r="AB271" s="344"/>
      <c r="AC271" s="344"/>
      <c r="AD271" s="344"/>
    </row>
    <row r="272">
      <c r="A272" s="344"/>
      <c r="B272" s="548"/>
      <c r="C272" s="548"/>
      <c r="D272" s="344"/>
      <c r="E272" s="344"/>
      <c r="F272" s="549"/>
      <c r="G272" s="545"/>
      <c r="H272" s="545"/>
      <c r="I272" s="344"/>
      <c r="J272" s="344"/>
      <c r="K272" s="344"/>
      <c r="L272" s="344"/>
      <c r="M272" s="344"/>
      <c r="N272" s="344"/>
      <c r="O272" s="344"/>
      <c r="P272" s="344"/>
      <c r="Q272" s="344"/>
      <c r="R272" s="344"/>
      <c r="S272" s="344"/>
      <c r="T272" s="344"/>
      <c r="U272" s="344"/>
      <c r="V272" s="344"/>
      <c r="W272" s="344"/>
      <c r="X272" s="344"/>
      <c r="Y272" s="344"/>
      <c r="Z272" s="344"/>
      <c r="AA272" s="344"/>
      <c r="AB272" s="344"/>
      <c r="AC272" s="344"/>
      <c r="AD272" s="344"/>
    </row>
    <row r="273">
      <c r="A273" s="344"/>
      <c r="B273" s="548"/>
      <c r="C273" s="548"/>
      <c r="D273" s="344"/>
      <c r="E273" s="344"/>
      <c r="F273" s="549"/>
      <c r="G273" s="545"/>
      <c r="H273" s="545"/>
      <c r="I273" s="344"/>
      <c r="J273" s="344"/>
      <c r="K273" s="344"/>
      <c r="L273" s="344"/>
      <c r="M273" s="344"/>
      <c r="N273" s="344"/>
      <c r="O273" s="344"/>
      <c r="P273" s="344"/>
      <c r="Q273" s="344"/>
      <c r="R273" s="344"/>
      <c r="S273" s="344"/>
      <c r="T273" s="344"/>
      <c r="U273" s="344"/>
      <c r="V273" s="344"/>
      <c r="W273" s="344"/>
      <c r="X273" s="344"/>
      <c r="Y273" s="344"/>
      <c r="Z273" s="344"/>
      <c r="AA273" s="344"/>
      <c r="AB273" s="344"/>
      <c r="AC273" s="344"/>
      <c r="AD273" s="344"/>
    </row>
    <row r="274">
      <c r="A274" s="344"/>
      <c r="B274" s="548"/>
      <c r="C274" s="548"/>
      <c r="D274" s="344"/>
      <c r="E274" s="344"/>
      <c r="F274" s="549"/>
      <c r="G274" s="545"/>
      <c r="H274" s="545"/>
      <c r="I274" s="344"/>
      <c r="J274" s="344"/>
      <c r="K274" s="344"/>
      <c r="L274" s="344"/>
      <c r="M274" s="344"/>
      <c r="N274" s="344"/>
      <c r="O274" s="344"/>
      <c r="P274" s="344"/>
      <c r="Q274" s="344"/>
      <c r="R274" s="344"/>
      <c r="S274" s="344"/>
      <c r="T274" s="344"/>
      <c r="U274" s="344"/>
      <c r="V274" s="344"/>
      <c r="W274" s="344"/>
      <c r="X274" s="344"/>
      <c r="Y274" s="344"/>
      <c r="Z274" s="344"/>
      <c r="AA274" s="344"/>
      <c r="AB274" s="344"/>
      <c r="AC274" s="344"/>
      <c r="AD274" s="344"/>
    </row>
    <row r="275">
      <c r="A275" s="344"/>
      <c r="B275" s="548"/>
      <c r="C275" s="548"/>
      <c r="D275" s="344"/>
      <c r="E275" s="344"/>
      <c r="F275" s="549"/>
      <c r="G275" s="545"/>
      <c r="H275" s="545"/>
      <c r="I275" s="344"/>
      <c r="J275" s="344"/>
      <c r="K275" s="344"/>
      <c r="L275" s="344"/>
      <c r="M275" s="344"/>
      <c r="N275" s="344"/>
      <c r="O275" s="344"/>
      <c r="P275" s="344"/>
      <c r="Q275" s="344"/>
      <c r="R275" s="344"/>
      <c r="S275" s="344"/>
      <c r="T275" s="344"/>
      <c r="U275" s="344"/>
      <c r="V275" s="344"/>
      <c r="W275" s="344"/>
      <c r="X275" s="344"/>
      <c r="Y275" s="344"/>
      <c r="Z275" s="344"/>
      <c r="AA275" s="344"/>
      <c r="AB275" s="344"/>
      <c r="AC275" s="344"/>
      <c r="AD275" s="344"/>
    </row>
    <row r="276">
      <c r="A276" s="344"/>
      <c r="B276" s="548"/>
      <c r="C276" s="548"/>
      <c r="D276" s="344"/>
      <c r="E276" s="344"/>
      <c r="F276" s="549"/>
      <c r="G276" s="545"/>
      <c r="H276" s="545"/>
      <c r="I276" s="344"/>
      <c r="J276" s="344"/>
      <c r="K276" s="344"/>
      <c r="L276" s="344"/>
      <c r="M276" s="344"/>
      <c r="N276" s="344"/>
      <c r="O276" s="344"/>
      <c r="P276" s="344"/>
      <c r="Q276" s="344"/>
      <c r="R276" s="344"/>
      <c r="S276" s="344"/>
      <c r="T276" s="344"/>
      <c r="U276" s="344"/>
      <c r="V276" s="344"/>
      <c r="W276" s="344"/>
      <c r="X276" s="344"/>
      <c r="Y276" s="344"/>
      <c r="Z276" s="344"/>
      <c r="AA276" s="344"/>
      <c r="AB276" s="344"/>
      <c r="AC276" s="344"/>
      <c r="AD276" s="344"/>
    </row>
    <row r="277">
      <c r="A277" s="344"/>
      <c r="B277" s="548"/>
      <c r="C277" s="548"/>
      <c r="D277" s="344"/>
      <c r="E277" s="344"/>
      <c r="F277" s="549"/>
      <c r="G277" s="545"/>
      <c r="H277" s="545"/>
      <c r="I277" s="344"/>
      <c r="J277" s="344"/>
      <c r="K277" s="344"/>
      <c r="L277" s="344"/>
      <c r="M277" s="344"/>
      <c r="N277" s="344"/>
      <c r="O277" s="344"/>
      <c r="P277" s="344"/>
      <c r="Q277" s="344"/>
      <c r="R277" s="344"/>
      <c r="S277" s="344"/>
      <c r="T277" s="344"/>
      <c r="U277" s="344"/>
      <c r="V277" s="344"/>
      <c r="W277" s="344"/>
      <c r="X277" s="344"/>
      <c r="Y277" s="344"/>
      <c r="Z277" s="344"/>
      <c r="AA277" s="344"/>
      <c r="AB277" s="344"/>
      <c r="AC277" s="344"/>
      <c r="AD277" s="344"/>
    </row>
    <row r="278">
      <c r="A278" s="344"/>
      <c r="B278" s="548"/>
      <c r="C278" s="548"/>
      <c r="D278" s="344"/>
      <c r="E278" s="344"/>
      <c r="F278" s="549"/>
      <c r="G278" s="545"/>
      <c r="H278" s="545"/>
      <c r="I278" s="344"/>
      <c r="J278" s="344"/>
      <c r="K278" s="344"/>
      <c r="L278" s="344"/>
      <c r="M278" s="344"/>
      <c r="N278" s="344"/>
      <c r="O278" s="344"/>
      <c r="P278" s="344"/>
      <c r="Q278" s="344"/>
      <c r="R278" s="344"/>
      <c r="S278" s="344"/>
      <c r="T278" s="344"/>
      <c r="U278" s="344"/>
      <c r="V278" s="344"/>
      <c r="W278" s="344"/>
      <c r="X278" s="344"/>
      <c r="Y278" s="344"/>
      <c r="Z278" s="344"/>
      <c r="AA278" s="344"/>
      <c r="AB278" s="344"/>
      <c r="AC278" s="344"/>
      <c r="AD278" s="344"/>
    </row>
    <row r="279">
      <c r="A279" s="344"/>
      <c r="B279" s="548"/>
      <c r="C279" s="548"/>
      <c r="D279" s="344"/>
      <c r="E279" s="344"/>
      <c r="F279" s="549"/>
      <c r="G279" s="545"/>
      <c r="H279" s="545"/>
      <c r="I279" s="344"/>
      <c r="J279" s="344"/>
      <c r="K279" s="344"/>
      <c r="L279" s="344"/>
      <c r="M279" s="344"/>
      <c r="N279" s="344"/>
      <c r="O279" s="344"/>
      <c r="P279" s="344"/>
      <c r="Q279" s="344"/>
      <c r="R279" s="344"/>
      <c r="S279" s="344"/>
      <c r="T279" s="344"/>
      <c r="U279" s="344"/>
      <c r="V279" s="344"/>
      <c r="W279" s="344"/>
      <c r="X279" s="344"/>
      <c r="Y279" s="344"/>
      <c r="Z279" s="344"/>
      <c r="AA279" s="344"/>
      <c r="AB279" s="344"/>
      <c r="AC279" s="344"/>
      <c r="AD279" s="344"/>
    </row>
    <row r="280">
      <c r="A280" s="344"/>
      <c r="B280" s="548"/>
      <c r="C280" s="548"/>
      <c r="D280" s="344"/>
      <c r="E280" s="344"/>
      <c r="F280" s="549"/>
      <c r="G280" s="545"/>
      <c r="H280" s="545"/>
      <c r="I280" s="344"/>
      <c r="J280" s="344"/>
      <c r="K280" s="344"/>
      <c r="L280" s="344"/>
      <c r="M280" s="344"/>
      <c r="N280" s="344"/>
      <c r="O280" s="344"/>
      <c r="P280" s="344"/>
      <c r="Q280" s="344"/>
      <c r="R280" s="344"/>
      <c r="S280" s="344"/>
      <c r="T280" s="344"/>
      <c r="U280" s="344"/>
      <c r="V280" s="344"/>
      <c r="W280" s="344"/>
      <c r="X280" s="344"/>
      <c r="Y280" s="344"/>
      <c r="Z280" s="344"/>
      <c r="AA280" s="344"/>
      <c r="AB280" s="344"/>
      <c r="AC280" s="344"/>
      <c r="AD280" s="344"/>
    </row>
    <row r="281">
      <c r="A281" s="344"/>
      <c r="B281" s="548"/>
      <c r="C281" s="548"/>
      <c r="D281" s="344"/>
      <c r="E281" s="344"/>
      <c r="F281" s="549"/>
      <c r="G281" s="545"/>
      <c r="H281" s="545"/>
      <c r="I281" s="344"/>
      <c r="J281" s="344"/>
      <c r="K281" s="344"/>
      <c r="L281" s="344"/>
      <c r="M281" s="344"/>
      <c r="N281" s="344"/>
      <c r="O281" s="344"/>
      <c r="P281" s="344"/>
      <c r="Q281" s="344"/>
      <c r="R281" s="344"/>
      <c r="S281" s="344"/>
      <c r="T281" s="344"/>
      <c r="U281" s="344"/>
      <c r="V281" s="344"/>
      <c r="W281" s="344"/>
      <c r="X281" s="344"/>
      <c r="Y281" s="344"/>
      <c r="Z281" s="344"/>
      <c r="AA281" s="344"/>
      <c r="AB281" s="344"/>
      <c r="AC281" s="344"/>
      <c r="AD281" s="344"/>
    </row>
    <row r="282">
      <c r="A282" s="344"/>
      <c r="B282" s="548"/>
      <c r="C282" s="548"/>
      <c r="D282" s="344"/>
      <c r="E282" s="344"/>
      <c r="F282" s="549"/>
      <c r="G282" s="545"/>
      <c r="H282" s="545"/>
      <c r="I282" s="344"/>
      <c r="J282" s="344"/>
      <c r="K282" s="344"/>
      <c r="L282" s="344"/>
      <c r="M282" s="344"/>
      <c r="N282" s="344"/>
      <c r="O282" s="344"/>
      <c r="P282" s="344"/>
      <c r="Q282" s="344"/>
      <c r="R282" s="344"/>
      <c r="S282" s="344"/>
      <c r="T282" s="344"/>
      <c r="U282" s="344"/>
      <c r="V282" s="344"/>
      <c r="W282" s="344"/>
      <c r="X282" s="344"/>
      <c r="Y282" s="344"/>
      <c r="Z282" s="344"/>
      <c r="AA282" s="344"/>
      <c r="AB282" s="344"/>
      <c r="AC282" s="344"/>
      <c r="AD282" s="344"/>
    </row>
    <row r="283">
      <c r="A283" s="344"/>
      <c r="B283" s="548"/>
      <c r="C283" s="548"/>
      <c r="D283" s="344"/>
      <c r="E283" s="344"/>
      <c r="F283" s="549"/>
      <c r="G283" s="545"/>
      <c r="H283" s="545"/>
      <c r="I283" s="344"/>
      <c r="J283" s="344"/>
      <c r="K283" s="344"/>
      <c r="L283" s="344"/>
      <c r="M283" s="344"/>
      <c r="N283" s="344"/>
      <c r="O283" s="344"/>
      <c r="P283" s="344"/>
      <c r="Q283" s="344"/>
      <c r="R283" s="344"/>
      <c r="S283" s="344"/>
      <c r="T283" s="344"/>
      <c r="U283" s="344"/>
      <c r="V283" s="344"/>
      <c r="W283" s="344"/>
      <c r="X283" s="344"/>
      <c r="Y283" s="344"/>
      <c r="Z283" s="344"/>
      <c r="AA283" s="344"/>
      <c r="AB283" s="344"/>
      <c r="AC283" s="344"/>
      <c r="AD283" s="344"/>
    </row>
    <row r="284">
      <c r="A284" s="344"/>
      <c r="B284" s="548"/>
      <c r="C284" s="548"/>
      <c r="D284" s="344"/>
      <c r="E284" s="344"/>
      <c r="F284" s="549"/>
      <c r="G284" s="545"/>
      <c r="H284" s="545"/>
      <c r="I284" s="344"/>
      <c r="J284" s="344"/>
      <c r="K284" s="344"/>
      <c r="L284" s="344"/>
      <c r="M284" s="344"/>
      <c r="N284" s="344"/>
      <c r="O284" s="344"/>
      <c r="P284" s="344"/>
      <c r="Q284" s="344"/>
      <c r="R284" s="344"/>
      <c r="S284" s="344"/>
      <c r="T284" s="344"/>
      <c r="U284" s="344"/>
      <c r="V284" s="344"/>
      <c r="W284" s="344"/>
      <c r="X284" s="344"/>
      <c r="Y284" s="344"/>
      <c r="Z284" s="344"/>
      <c r="AA284" s="344"/>
      <c r="AB284" s="344"/>
      <c r="AC284" s="344"/>
      <c r="AD284" s="344"/>
    </row>
    <row r="285">
      <c r="A285" s="344"/>
      <c r="B285" s="548"/>
      <c r="C285" s="548"/>
      <c r="D285" s="344"/>
      <c r="E285" s="344"/>
      <c r="F285" s="549"/>
      <c r="G285" s="545"/>
      <c r="H285" s="545"/>
      <c r="I285" s="344"/>
      <c r="J285" s="344"/>
      <c r="K285" s="344"/>
      <c r="L285" s="344"/>
      <c r="M285" s="344"/>
      <c r="N285" s="344"/>
      <c r="O285" s="344"/>
      <c r="P285" s="344"/>
      <c r="Q285" s="344"/>
      <c r="R285" s="344"/>
      <c r="S285" s="344"/>
      <c r="T285" s="344"/>
      <c r="U285" s="344"/>
      <c r="V285" s="344"/>
      <c r="W285" s="344"/>
      <c r="X285" s="344"/>
      <c r="Y285" s="344"/>
      <c r="Z285" s="344"/>
      <c r="AA285" s="344"/>
      <c r="AB285" s="344"/>
      <c r="AC285" s="344"/>
      <c r="AD285" s="344"/>
    </row>
    <row r="286">
      <c r="A286" s="344"/>
      <c r="B286" s="548"/>
      <c r="C286" s="548"/>
      <c r="D286" s="344"/>
      <c r="E286" s="344"/>
      <c r="F286" s="549"/>
      <c r="G286" s="545"/>
      <c r="H286" s="545"/>
      <c r="I286" s="344"/>
      <c r="J286" s="344"/>
      <c r="K286" s="344"/>
      <c r="L286" s="344"/>
      <c r="M286" s="344"/>
      <c r="N286" s="344"/>
      <c r="O286" s="344"/>
      <c r="P286" s="344"/>
      <c r="Q286" s="344"/>
      <c r="R286" s="344"/>
      <c r="S286" s="344"/>
      <c r="T286" s="344"/>
      <c r="U286" s="344"/>
      <c r="V286" s="344"/>
      <c r="W286" s="344"/>
      <c r="X286" s="344"/>
      <c r="Y286" s="344"/>
      <c r="Z286" s="344"/>
      <c r="AA286" s="344"/>
      <c r="AB286" s="344"/>
      <c r="AC286" s="344"/>
      <c r="AD286" s="344"/>
    </row>
    <row r="287">
      <c r="A287" s="344"/>
      <c r="B287" s="548"/>
      <c r="C287" s="548"/>
      <c r="D287" s="344"/>
      <c r="E287" s="344"/>
      <c r="F287" s="549"/>
      <c r="G287" s="545"/>
      <c r="H287" s="545"/>
      <c r="I287" s="344"/>
      <c r="J287" s="344"/>
      <c r="K287" s="344"/>
      <c r="L287" s="344"/>
      <c r="M287" s="344"/>
      <c r="N287" s="344"/>
      <c r="O287" s="344"/>
      <c r="P287" s="344"/>
      <c r="Q287" s="344"/>
      <c r="R287" s="344"/>
      <c r="S287" s="344"/>
      <c r="T287" s="344"/>
      <c r="U287" s="344"/>
      <c r="V287" s="344"/>
      <c r="W287" s="344"/>
      <c r="X287" s="344"/>
      <c r="Y287" s="344"/>
      <c r="Z287" s="344"/>
      <c r="AA287" s="344"/>
      <c r="AB287" s="344"/>
      <c r="AC287" s="344"/>
      <c r="AD287" s="344"/>
    </row>
    <row r="288">
      <c r="A288" s="344"/>
      <c r="B288" s="548"/>
      <c r="C288" s="548"/>
      <c r="D288" s="344"/>
      <c r="E288" s="344"/>
      <c r="F288" s="549"/>
      <c r="G288" s="545"/>
      <c r="H288" s="545"/>
      <c r="I288" s="344"/>
      <c r="J288" s="344"/>
      <c r="K288" s="344"/>
      <c r="L288" s="344"/>
      <c r="M288" s="344"/>
      <c r="N288" s="344"/>
      <c r="O288" s="344"/>
      <c r="P288" s="344"/>
      <c r="Q288" s="344"/>
      <c r="R288" s="344"/>
      <c r="S288" s="344"/>
      <c r="T288" s="344"/>
      <c r="U288" s="344"/>
      <c r="V288" s="344"/>
      <c r="W288" s="344"/>
      <c r="X288" s="344"/>
      <c r="Y288" s="344"/>
      <c r="Z288" s="344"/>
      <c r="AA288" s="344"/>
      <c r="AB288" s="344"/>
      <c r="AC288" s="344"/>
      <c r="AD288" s="344"/>
    </row>
    <row r="289">
      <c r="A289" s="344"/>
      <c r="B289" s="548"/>
      <c r="C289" s="548"/>
      <c r="D289" s="344"/>
      <c r="E289" s="344"/>
      <c r="F289" s="549"/>
      <c r="G289" s="545"/>
      <c r="H289" s="545"/>
      <c r="I289" s="344"/>
      <c r="J289" s="344"/>
      <c r="K289" s="344"/>
      <c r="L289" s="344"/>
      <c r="M289" s="344"/>
      <c r="N289" s="344"/>
      <c r="O289" s="344"/>
      <c r="P289" s="344"/>
      <c r="Q289" s="344"/>
      <c r="R289" s="344"/>
      <c r="S289" s="344"/>
      <c r="T289" s="344"/>
      <c r="U289" s="344"/>
      <c r="V289" s="344"/>
      <c r="W289" s="344"/>
      <c r="X289" s="344"/>
      <c r="Y289" s="344"/>
      <c r="Z289" s="344"/>
      <c r="AA289" s="344"/>
      <c r="AB289" s="344"/>
      <c r="AC289" s="344"/>
      <c r="AD289" s="344"/>
    </row>
    <row r="290">
      <c r="A290" s="344"/>
      <c r="B290" s="548"/>
      <c r="C290" s="548"/>
      <c r="D290" s="344"/>
      <c r="E290" s="344"/>
      <c r="F290" s="549"/>
      <c r="G290" s="545"/>
      <c r="H290" s="545"/>
      <c r="I290" s="344"/>
      <c r="J290" s="344"/>
      <c r="K290" s="344"/>
      <c r="L290" s="344"/>
      <c r="M290" s="344"/>
      <c r="N290" s="344"/>
      <c r="O290" s="344"/>
      <c r="P290" s="344"/>
      <c r="Q290" s="344"/>
      <c r="R290" s="344"/>
      <c r="S290" s="344"/>
      <c r="T290" s="344"/>
      <c r="U290" s="344"/>
      <c r="V290" s="344"/>
      <c r="W290" s="344"/>
      <c r="X290" s="344"/>
      <c r="Y290" s="344"/>
      <c r="Z290" s="344"/>
      <c r="AA290" s="344"/>
      <c r="AB290" s="344"/>
      <c r="AC290" s="344"/>
      <c r="AD290" s="344"/>
    </row>
    <row r="291">
      <c r="A291" s="344"/>
      <c r="B291" s="548"/>
      <c r="C291" s="548"/>
      <c r="D291" s="344"/>
      <c r="E291" s="344"/>
      <c r="F291" s="549"/>
      <c r="G291" s="545"/>
      <c r="H291" s="545"/>
      <c r="I291" s="344"/>
      <c r="J291" s="344"/>
      <c r="K291" s="344"/>
      <c r="L291" s="344"/>
      <c r="M291" s="344"/>
      <c r="N291" s="344"/>
      <c r="O291" s="344"/>
      <c r="P291" s="344"/>
      <c r="Q291" s="344"/>
      <c r="R291" s="344"/>
      <c r="S291" s="344"/>
      <c r="T291" s="344"/>
      <c r="U291" s="344"/>
      <c r="V291" s="344"/>
      <c r="W291" s="344"/>
      <c r="X291" s="344"/>
      <c r="Y291" s="344"/>
      <c r="Z291" s="344"/>
      <c r="AA291" s="344"/>
      <c r="AB291" s="344"/>
      <c r="AC291" s="344"/>
      <c r="AD291" s="344"/>
    </row>
    <row r="292">
      <c r="A292" s="344"/>
      <c r="B292" s="548"/>
      <c r="C292" s="548"/>
      <c r="D292" s="344"/>
      <c r="E292" s="344"/>
      <c r="F292" s="549"/>
      <c r="G292" s="545"/>
      <c r="H292" s="545"/>
      <c r="I292" s="344"/>
      <c r="J292" s="344"/>
      <c r="K292" s="344"/>
      <c r="L292" s="344"/>
      <c r="M292" s="344"/>
      <c r="N292" s="344"/>
      <c r="O292" s="344"/>
      <c r="P292" s="344"/>
      <c r="Q292" s="344"/>
      <c r="R292" s="344"/>
      <c r="S292" s="344"/>
      <c r="T292" s="344"/>
      <c r="U292" s="344"/>
      <c r="V292" s="344"/>
      <c r="W292" s="344"/>
      <c r="X292" s="344"/>
      <c r="Y292" s="344"/>
      <c r="Z292" s="344"/>
      <c r="AA292" s="344"/>
      <c r="AB292" s="344"/>
      <c r="AC292" s="344"/>
      <c r="AD292" s="344"/>
    </row>
    <row r="293">
      <c r="A293" s="344"/>
      <c r="B293" s="548"/>
      <c r="C293" s="548"/>
      <c r="D293" s="344"/>
      <c r="E293" s="344"/>
      <c r="F293" s="549"/>
      <c r="G293" s="545"/>
      <c r="H293" s="545"/>
      <c r="I293" s="344"/>
      <c r="J293" s="344"/>
      <c r="K293" s="344"/>
      <c r="L293" s="344"/>
      <c r="M293" s="344"/>
      <c r="N293" s="344"/>
      <c r="O293" s="344"/>
      <c r="P293" s="344"/>
      <c r="Q293" s="344"/>
      <c r="R293" s="344"/>
      <c r="S293" s="344"/>
      <c r="T293" s="344"/>
      <c r="U293" s="344"/>
      <c r="V293" s="344"/>
      <c r="W293" s="344"/>
      <c r="X293" s="344"/>
      <c r="Y293" s="344"/>
      <c r="Z293" s="344"/>
      <c r="AA293" s="344"/>
      <c r="AB293" s="344"/>
      <c r="AC293" s="344"/>
      <c r="AD293" s="344"/>
    </row>
    <row r="294">
      <c r="A294" s="344"/>
      <c r="B294" s="548"/>
      <c r="C294" s="548"/>
      <c r="D294" s="344"/>
      <c r="E294" s="344"/>
      <c r="F294" s="549"/>
      <c r="G294" s="545"/>
      <c r="H294" s="545"/>
      <c r="I294" s="344"/>
      <c r="J294" s="344"/>
      <c r="K294" s="344"/>
      <c r="L294" s="344"/>
      <c r="M294" s="344"/>
      <c r="N294" s="344"/>
      <c r="O294" s="344"/>
      <c r="P294" s="344"/>
      <c r="Q294" s="344"/>
      <c r="R294" s="344"/>
      <c r="S294" s="344"/>
      <c r="T294" s="344"/>
      <c r="U294" s="344"/>
      <c r="V294" s="344"/>
      <c r="W294" s="344"/>
      <c r="X294" s="344"/>
      <c r="Y294" s="344"/>
      <c r="Z294" s="344"/>
      <c r="AA294" s="344"/>
      <c r="AB294" s="344"/>
      <c r="AC294" s="344"/>
      <c r="AD294" s="344"/>
    </row>
    <row r="295">
      <c r="A295" s="344"/>
      <c r="B295" s="548"/>
      <c r="C295" s="548"/>
      <c r="D295" s="344"/>
      <c r="E295" s="344"/>
      <c r="F295" s="549"/>
      <c r="G295" s="545"/>
      <c r="H295" s="545"/>
      <c r="I295" s="344"/>
      <c r="J295" s="344"/>
      <c r="K295" s="344"/>
      <c r="L295" s="344"/>
      <c r="M295" s="344"/>
      <c r="N295" s="344"/>
      <c r="O295" s="344"/>
      <c r="P295" s="344"/>
      <c r="Q295" s="344"/>
      <c r="R295" s="344"/>
      <c r="S295" s="344"/>
      <c r="T295" s="344"/>
      <c r="U295" s="344"/>
      <c r="V295" s="344"/>
      <c r="W295" s="344"/>
      <c r="X295" s="344"/>
      <c r="Y295" s="344"/>
      <c r="Z295" s="344"/>
      <c r="AA295" s="344"/>
      <c r="AB295" s="344"/>
      <c r="AC295" s="344"/>
      <c r="AD295" s="344"/>
    </row>
    <row r="296">
      <c r="A296" s="344"/>
      <c r="B296" s="548"/>
      <c r="C296" s="548"/>
      <c r="D296" s="344"/>
      <c r="E296" s="344"/>
      <c r="F296" s="549"/>
      <c r="G296" s="545"/>
      <c r="H296" s="545"/>
      <c r="I296" s="344"/>
      <c r="J296" s="344"/>
      <c r="K296" s="344"/>
      <c r="L296" s="344"/>
      <c r="M296" s="344"/>
      <c r="N296" s="344"/>
      <c r="O296" s="344"/>
      <c r="P296" s="344"/>
      <c r="Q296" s="344"/>
      <c r="R296" s="344"/>
      <c r="S296" s="344"/>
      <c r="T296" s="344"/>
      <c r="U296" s="344"/>
      <c r="V296" s="344"/>
      <c r="W296" s="344"/>
      <c r="X296" s="344"/>
      <c r="Y296" s="344"/>
      <c r="Z296" s="344"/>
      <c r="AA296" s="344"/>
      <c r="AB296" s="344"/>
      <c r="AC296" s="344"/>
      <c r="AD296" s="344"/>
    </row>
    <row r="297">
      <c r="A297" s="344"/>
      <c r="B297" s="548"/>
      <c r="C297" s="548"/>
      <c r="D297" s="344"/>
      <c r="E297" s="344"/>
      <c r="F297" s="549"/>
      <c r="G297" s="545"/>
      <c r="H297" s="545"/>
      <c r="I297" s="344"/>
      <c r="J297" s="344"/>
      <c r="K297" s="344"/>
      <c r="L297" s="344"/>
      <c r="M297" s="344"/>
      <c r="N297" s="344"/>
      <c r="O297" s="344"/>
      <c r="P297" s="344"/>
      <c r="Q297" s="344"/>
      <c r="R297" s="344"/>
      <c r="S297" s="344"/>
      <c r="T297" s="344"/>
      <c r="U297" s="344"/>
      <c r="V297" s="344"/>
      <c r="W297" s="344"/>
      <c r="X297" s="344"/>
      <c r="Y297" s="344"/>
      <c r="Z297" s="344"/>
      <c r="AA297" s="344"/>
      <c r="AB297" s="344"/>
      <c r="AC297" s="344"/>
      <c r="AD297" s="344"/>
    </row>
    <row r="298">
      <c r="A298" s="344"/>
      <c r="B298" s="548"/>
      <c r="C298" s="548"/>
      <c r="D298" s="344"/>
      <c r="E298" s="344"/>
      <c r="F298" s="549"/>
      <c r="G298" s="545"/>
      <c r="H298" s="545"/>
      <c r="I298" s="344"/>
      <c r="J298" s="344"/>
      <c r="K298" s="344"/>
      <c r="L298" s="344"/>
      <c r="M298" s="344"/>
      <c r="N298" s="344"/>
      <c r="O298" s="344"/>
      <c r="P298" s="344"/>
      <c r="Q298" s="344"/>
      <c r="R298" s="344"/>
      <c r="S298" s="344"/>
      <c r="T298" s="344"/>
      <c r="U298" s="344"/>
      <c r="V298" s="344"/>
      <c r="W298" s="344"/>
      <c r="X298" s="344"/>
      <c r="Y298" s="344"/>
      <c r="Z298" s="344"/>
      <c r="AA298" s="344"/>
      <c r="AB298" s="344"/>
      <c r="AC298" s="344"/>
      <c r="AD298" s="344"/>
    </row>
    <row r="299">
      <c r="A299" s="344"/>
      <c r="B299" s="548"/>
      <c r="C299" s="548"/>
      <c r="D299" s="344"/>
      <c r="E299" s="344"/>
      <c r="F299" s="549"/>
      <c r="G299" s="545"/>
      <c r="H299" s="545"/>
      <c r="I299" s="344"/>
      <c r="J299" s="344"/>
      <c r="K299" s="344"/>
      <c r="L299" s="344"/>
      <c r="M299" s="344"/>
      <c r="N299" s="344"/>
      <c r="O299" s="344"/>
      <c r="P299" s="344"/>
      <c r="Q299" s="344"/>
      <c r="R299" s="344"/>
      <c r="S299" s="344"/>
      <c r="T299" s="344"/>
      <c r="U299" s="344"/>
      <c r="V299" s="344"/>
      <c r="W299" s="344"/>
      <c r="X299" s="344"/>
      <c r="Y299" s="344"/>
      <c r="Z299" s="344"/>
      <c r="AA299" s="344"/>
      <c r="AB299" s="344"/>
      <c r="AC299" s="344"/>
      <c r="AD299" s="344"/>
    </row>
    <row r="300">
      <c r="A300" s="344"/>
      <c r="B300" s="548"/>
      <c r="C300" s="548"/>
      <c r="D300" s="344"/>
      <c r="E300" s="344"/>
      <c r="F300" s="549"/>
      <c r="G300" s="545"/>
      <c r="H300" s="545"/>
      <c r="I300" s="344"/>
      <c r="J300" s="344"/>
      <c r="K300" s="344"/>
      <c r="L300" s="344"/>
      <c r="M300" s="344"/>
      <c r="N300" s="344"/>
      <c r="O300" s="344"/>
      <c r="P300" s="344"/>
      <c r="Q300" s="344"/>
      <c r="R300" s="344"/>
      <c r="S300" s="344"/>
      <c r="T300" s="344"/>
      <c r="U300" s="344"/>
      <c r="V300" s="344"/>
      <c r="W300" s="344"/>
      <c r="X300" s="344"/>
      <c r="Y300" s="344"/>
      <c r="Z300" s="344"/>
      <c r="AA300" s="344"/>
      <c r="AB300" s="344"/>
      <c r="AC300" s="344"/>
      <c r="AD300" s="344"/>
    </row>
    <row r="301">
      <c r="A301" s="344"/>
      <c r="B301" s="548"/>
      <c r="C301" s="548"/>
      <c r="D301" s="344"/>
      <c r="E301" s="344"/>
      <c r="F301" s="549"/>
      <c r="G301" s="545"/>
      <c r="H301" s="545"/>
      <c r="I301" s="344"/>
      <c r="J301" s="344"/>
      <c r="K301" s="344"/>
      <c r="L301" s="344"/>
      <c r="M301" s="344"/>
      <c r="N301" s="344"/>
      <c r="O301" s="344"/>
      <c r="P301" s="344"/>
      <c r="Q301" s="344"/>
      <c r="R301" s="344"/>
      <c r="S301" s="344"/>
      <c r="T301" s="344"/>
      <c r="U301" s="344"/>
      <c r="V301" s="344"/>
      <c r="W301" s="344"/>
      <c r="X301" s="344"/>
      <c r="Y301" s="344"/>
      <c r="Z301" s="344"/>
      <c r="AA301" s="344"/>
      <c r="AB301" s="344"/>
      <c r="AC301" s="344"/>
      <c r="AD301" s="344"/>
    </row>
    <row r="302">
      <c r="A302" s="344"/>
      <c r="B302" s="548"/>
      <c r="C302" s="548"/>
      <c r="D302" s="344"/>
      <c r="E302" s="344"/>
      <c r="F302" s="549"/>
      <c r="G302" s="545"/>
      <c r="H302" s="545"/>
      <c r="I302" s="344"/>
      <c r="J302" s="344"/>
      <c r="K302" s="344"/>
      <c r="L302" s="344"/>
      <c r="M302" s="344"/>
      <c r="N302" s="344"/>
      <c r="O302" s="344"/>
      <c r="P302" s="344"/>
      <c r="Q302" s="344"/>
      <c r="R302" s="344"/>
      <c r="S302" s="344"/>
      <c r="T302" s="344"/>
      <c r="U302" s="344"/>
      <c r="V302" s="344"/>
      <c r="W302" s="344"/>
      <c r="X302" s="344"/>
      <c r="Y302" s="344"/>
      <c r="Z302" s="344"/>
      <c r="AA302" s="344"/>
      <c r="AB302" s="344"/>
      <c r="AC302" s="344"/>
      <c r="AD302" s="344"/>
    </row>
    <row r="303">
      <c r="A303" s="344"/>
      <c r="B303" s="548"/>
      <c r="C303" s="548"/>
      <c r="D303" s="344"/>
      <c r="E303" s="344"/>
      <c r="F303" s="549"/>
      <c r="G303" s="545"/>
      <c r="H303" s="545"/>
      <c r="I303" s="344"/>
      <c r="J303" s="344"/>
      <c r="K303" s="344"/>
      <c r="L303" s="344"/>
      <c r="M303" s="344"/>
      <c r="N303" s="344"/>
      <c r="O303" s="344"/>
      <c r="P303" s="344"/>
      <c r="Q303" s="344"/>
      <c r="R303" s="344"/>
      <c r="S303" s="344"/>
      <c r="T303" s="344"/>
      <c r="U303" s="344"/>
      <c r="V303" s="344"/>
      <c r="W303" s="344"/>
      <c r="X303" s="344"/>
      <c r="Y303" s="344"/>
      <c r="Z303" s="344"/>
      <c r="AA303" s="344"/>
      <c r="AB303" s="344"/>
      <c r="AC303" s="344"/>
      <c r="AD303" s="344"/>
    </row>
    <row r="304">
      <c r="A304" s="344"/>
      <c r="B304" s="548"/>
      <c r="C304" s="548"/>
      <c r="D304" s="344"/>
      <c r="E304" s="344"/>
      <c r="F304" s="549"/>
      <c r="G304" s="545"/>
      <c r="H304" s="545"/>
      <c r="I304" s="344"/>
      <c r="J304" s="344"/>
      <c r="K304" s="344"/>
      <c r="L304" s="344"/>
      <c r="M304" s="344"/>
      <c r="N304" s="344"/>
      <c r="O304" s="344"/>
      <c r="P304" s="344"/>
      <c r="Q304" s="344"/>
      <c r="R304" s="344"/>
      <c r="S304" s="344"/>
      <c r="T304" s="344"/>
      <c r="U304" s="344"/>
      <c r="V304" s="344"/>
      <c r="W304" s="344"/>
      <c r="X304" s="344"/>
      <c r="Y304" s="344"/>
      <c r="Z304" s="344"/>
      <c r="AA304" s="344"/>
      <c r="AB304" s="344"/>
      <c r="AC304" s="344"/>
      <c r="AD304" s="344"/>
    </row>
    <row r="305">
      <c r="A305" s="344"/>
      <c r="B305" s="548"/>
      <c r="C305" s="548"/>
      <c r="D305" s="344"/>
      <c r="E305" s="344"/>
      <c r="F305" s="549"/>
      <c r="G305" s="545"/>
      <c r="H305" s="545"/>
      <c r="I305" s="344"/>
      <c r="J305" s="344"/>
      <c r="K305" s="344"/>
      <c r="L305" s="344"/>
      <c r="M305" s="344"/>
      <c r="N305" s="344"/>
      <c r="O305" s="344"/>
      <c r="P305" s="344"/>
      <c r="Q305" s="344"/>
      <c r="R305" s="344"/>
      <c r="S305" s="344"/>
      <c r="T305" s="344"/>
      <c r="U305" s="344"/>
      <c r="V305" s="344"/>
      <c r="W305" s="344"/>
      <c r="X305" s="344"/>
      <c r="Y305" s="344"/>
      <c r="Z305" s="344"/>
      <c r="AA305" s="344"/>
      <c r="AB305" s="344"/>
      <c r="AC305" s="344"/>
      <c r="AD305" s="344"/>
    </row>
    <row r="306">
      <c r="A306" s="344"/>
      <c r="B306" s="548"/>
      <c r="C306" s="548"/>
      <c r="D306" s="344"/>
      <c r="E306" s="344"/>
      <c r="F306" s="549"/>
      <c r="G306" s="545"/>
      <c r="H306" s="545"/>
      <c r="I306" s="344"/>
      <c r="J306" s="344"/>
      <c r="K306" s="344"/>
      <c r="L306" s="344"/>
      <c r="M306" s="344"/>
      <c r="N306" s="344"/>
      <c r="O306" s="344"/>
      <c r="P306" s="344"/>
      <c r="Q306" s="344"/>
      <c r="R306" s="344"/>
      <c r="S306" s="344"/>
      <c r="T306" s="344"/>
      <c r="U306" s="344"/>
      <c r="V306" s="344"/>
      <c r="W306" s="344"/>
      <c r="X306" s="344"/>
      <c r="Y306" s="344"/>
      <c r="Z306" s="344"/>
      <c r="AA306" s="344"/>
      <c r="AB306" s="344"/>
      <c r="AC306" s="344"/>
      <c r="AD306" s="344"/>
    </row>
    <row r="307">
      <c r="A307" s="344"/>
      <c r="B307" s="548"/>
      <c r="C307" s="548"/>
      <c r="D307" s="344"/>
      <c r="E307" s="344"/>
      <c r="F307" s="549"/>
      <c r="G307" s="545"/>
      <c r="H307" s="545"/>
      <c r="I307" s="344"/>
      <c r="J307" s="344"/>
      <c r="K307" s="344"/>
      <c r="L307" s="344"/>
      <c r="M307" s="344"/>
      <c r="N307" s="344"/>
      <c r="O307" s="344"/>
      <c r="P307" s="344"/>
      <c r="Q307" s="344"/>
      <c r="R307" s="344"/>
      <c r="S307" s="344"/>
      <c r="T307" s="344"/>
      <c r="U307" s="344"/>
      <c r="V307" s="344"/>
      <c r="W307" s="344"/>
      <c r="X307" s="344"/>
      <c r="Y307" s="344"/>
      <c r="Z307" s="344"/>
      <c r="AA307" s="344"/>
      <c r="AB307" s="344"/>
      <c r="AC307" s="344"/>
      <c r="AD307" s="344"/>
    </row>
    <row r="308">
      <c r="A308" s="344"/>
      <c r="B308" s="548"/>
      <c r="C308" s="548"/>
      <c r="D308" s="344"/>
      <c r="E308" s="344"/>
      <c r="F308" s="549"/>
      <c r="G308" s="545"/>
      <c r="H308" s="545"/>
      <c r="I308" s="344"/>
      <c r="J308" s="344"/>
      <c r="K308" s="344"/>
      <c r="L308" s="344"/>
      <c r="M308" s="344"/>
      <c r="N308" s="344"/>
      <c r="O308" s="344"/>
      <c r="P308" s="344"/>
      <c r="Q308" s="344"/>
      <c r="R308" s="344"/>
      <c r="S308" s="344"/>
      <c r="T308" s="344"/>
      <c r="U308" s="344"/>
      <c r="V308" s="344"/>
      <c r="W308" s="344"/>
      <c r="X308" s="344"/>
      <c r="Y308" s="344"/>
      <c r="Z308" s="344"/>
      <c r="AA308" s="344"/>
      <c r="AB308" s="344"/>
      <c r="AC308" s="344"/>
      <c r="AD308" s="344"/>
    </row>
    <row r="309">
      <c r="A309" s="344"/>
      <c r="B309" s="548"/>
      <c r="C309" s="548"/>
      <c r="D309" s="344"/>
      <c r="E309" s="344"/>
      <c r="F309" s="549"/>
      <c r="G309" s="545"/>
      <c r="H309" s="545"/>
      <c r="I309" s="344"/>
      <c r="J309" s="344"/>
      <c r="K309" s="344"/>
      <c r="L309" s="344"/>
      <c r="M309" s="344"/>
      <c r="N309" s="344"/>
      <c r="O309" s="344"/>
      <c r="P309" s="344"/>
      <c r="Q309" s="344"/>
      <c r="R309" s="344"/>
      <c r="S309" s="344"/>
      <c r="T309" s="344"/>
      <c r="U309" s="344"/>
      <c r="V309" s="344"/>
      <c r="W309" s="344"/>
      <c r="X309" s="344"/>
      <c r="Y309" s="344"/>
      <c r="Z309" s="344"/>
      <c r="AA309" s="344"/>
      <c r="AB309" s="344"/>
      <c r="AC309" s="344"/>
      <c r="AD309" s="344"/>
    </row>
    <row r="310">
      <c r="A310" s="344"/>
      <c r="B310" s="548"/>
      <c r="C310" s="548"/>
      <c r="D310" s="344"/>
      <c r="E310" s="344"/>
      <c r="F310" s="549"/>
      <c r="G310" s="545"/>
      <c r="H310" s="545"/>
      <c r="I310" s="344"/>
      <c r="J310" s="344"/>
      <c r="K310" s="344"/>
      <c r="L310" s="344"/>
      <c r="M310" s="344"/>
      <c r="N310" s="344"/>
      <c r="O310" s="344"/>
      <c r="P310" s="344"/>
      <c r="Q310" s="344"/>
      <c r="R310" s="344"/>
      <c r="S310" s="344"/>
      <c r="T310" s="344"/>
      <c r="U310" s="344"/>
      <c r="V310" s="344"/>
      <c r="W310" s="344"/>
      <c r="X310" s="344"/>
      <c r="Y310" s="344"/>
      <c r="Z310" s="344"/>
      <c r="AA310" s="344"/>
      <c r="AB310" s="344"/>
      <c r="AC310" s="344"/>
      <c r="AD310" s="344"/>
    </row>
    <row r="311">
      <c r="A311" s="344"/>
      <c r="B311" s="548"/>
      <c r="C311" s="548"/>
      <c r="D311" s="344"/>
      <c r="E311" s="344"/>
      <c r="F311" s="549"/>
      <c r="G311" s="545"/>
      <c r="H311" s="545"/>
      <c r="I311" s="344"/>
      <c r="J311" s="344"/>
      <c r="K311" s="344"/>
      <c r="L311" s="344"/>
      <c r="M311" s="344"/>
      <c r="N311" s="344"/>
      <c r="O311" s="344"/>
      <c r="P311" s="344"/>
      <c r="Q311" s="344"/>
      <c r="R311" s="344"/>
      <c r="S311" s="344"/>
      <c r="T311" s="344"/>
      <c r="U311" s="344"/>
      <c r="V311" s="344"/>
      <c r="W311" s="344"/>
      <c r="X311" s="344"/>
      <c r="Y311" s="344"/>
      <c r="Z311" s="344"/>
      <c r="AA311" s="344"/>
      <c r="AB311" s="344"/>
      <c r="AC311" s="344"/>
      <c r="AD311" s="344"/>
    </row>
    <row r="312">
      <c r="A312" s="344"/>
      <c r="B312" s="548"/>
      <c r="C312" s="548"/>
      <c r="D312" s="344"/>
      <c r="E312" s="344"/>
      <c r="F312" s="549"/>
      <c r="G312" s="545"/>
      <c r="H312" s="545"/>
      <c r="I312" s="344"/>
      <c r="J312" s="344"/>
      <c r="K312" s="344"/>
      <c r="L312" s="344"/>
      <c r="M312" s="344"/>
      <c r="N312" s="344"/>
      <c r="O312" s="344"/>
      <c r="P312" s="344"/>
      <c r="Q312" s="344"/>
      <c r="R312" s="344"/>
      <c r="S312" s="344"/>
      <c r="T312" s="344"/>
      <c r="U312" s="344"/>
      <c r="V312" s="344"/>
      <c r="W312" s="344"/>
      <c r="X312" s="344"/>
      <c r="Y312" s="344"/>
      <c r="Z312" s="344"/>
      <c r="AA312" s="344"/>
      <c r="AB312" s="344"/>
      <c r="AC312" s="344"/>
      <c r="AD312" s="344"/>
    </row>
    <row r="313">
      <c r="A313" s="344"/>
      <c r="B313" s="548"/>
      <c r="C313" s="548"/>
      <c r="D313" s="344"/>
      <c r="E313" s="344"/>
      <c r="F313" s="549"/>
      <c r="G313" s="545"/>
      <c r="H313" s="545"/>
      <c r="I313" s="344"/>
      <c r="J313" s="344"/>
      <c r="K313" s="344"/>
      <c r="L313" s="344"/>
      <c r="M313" s="344"/>
      <c r="N313" s="344"/>
      <c r="O313" s="344"/>
      <c r="P313" s="344"/>
      <c r="Q313" s="344"/>
      <c r="R313" s="344"/>
      <c r="S313" s="344"/>
      <c r="T313" s="344"/>
      <c r="U313" s="344"/>
      <c r="V313" s="344"/>
      <c r="W313" s="344"/>
      <c r="X313" s="344"/>
      <c r="Y313" s="344"/>
      <c r="Z313" s="344"/>
      <c r="AA313" s="344"/>
      <c r="AB313" s="344"/>
      <c r="AC313" s="344"/>
      <c r="AD313" s="344"/>
    </row>
    <row r="314">
      <c r="A314" s="344"/>
      <c r="B314" s="548"/>
      <c r="C314" s="548"/>
      <c r="D314" s="344"/>
      <c r="E314" s="344"/>
      <c r="F314" s="549"/>
      <c r="G314" s="545"/>
      <c r="H314" s="545"/>
      <c r="I314" s="344"/>
      <c r="J314" s="344"/>
      <c r="K314" s="344"/>
      <c r="L314" s="344"/>
      <c r="M314" s="344"/>
      <c r="N314" s="344"/>
      <c r="O314" s="344"/>
      <c r="P314" s="344"/>
      <c r="Q314" s="344"/>
      <c r="R314" s="344"/>
      <c r="S314" s="344"/>
      <c r="T314" s="344"/>
      <c r="U314" s="344"/>
      <c r="V314" s="344"/>
      <c r="W314" s="344"/>
      <c r="X314" s="344"/>
      <c r="Y314" s="344"/>
      <c r="Z314" s="344"/>
      <c r="AA314" s="344"/>
      <c r="AB314" s="344"/>
      <c r="AC314" s="344"/>
      <c r="AD314" s="344"/>
    </row>
    <row r="315">
      <c r="A315" s="344"/>
      <c r="B315" s="548"/>
      <c r="C315" s="548"/>
      <c r="D315" s="344"/>
      <c r="E315" s="344"/>
      <c r="F315" s="549"/>
      <c r="G315" s="545"/>
      <c r="H315" s="545"/>
      <c r="I315" s="344"/>
      <c r="J315" s="344"/>
      <c r="K315" s="344"/>
      <c r="L315" s="344"/>
      <c r="M315" s="344"/>
      <c r="N315" s="344"/>
      <c r="O315" s="344"/>
      <c r="P315" s="344"/>
      <c r="Q315" s="344"/>
      <c r="R315" s="344"/>
      <c r="S315" s="344"/>
      <c r="T315" s="344"/>
      <c r="U315" s="344"/>
      <c r="V315" s="344"/>
      <c r="W315" s="344"/>
      <c r="X315" s="344"/>
      <c r="Y315" s="344"/>
      <c r="Z315" s="344"/>
      <c r="AA315" s="344"/>
      <c r="AB315" s="344"/>
      <c r="AC315" s="344"/>
      <c r="AD315" s="344"/>
    </row>
    <row r="316">
      <c r="A316" s="344"/>
      <c r="B316" s="548"/>
      <c r="C316" s="548"/>
      <c r="D316" s="344"/>
      <c r="E316" s="344"/>
      <c r="F316" s="549"/>
      <c r="G316" s="545"/>
      <c r="H316" s="545"/>
      <c r="I316" s="344"/>
      <c r="J316" s="344"/>
      <c r="K316" s="344"/>
      <c r="L316" s="344"/>
      <c r="M316" s="344"/>
      <c r="N316" s="344"/>
      <c r="O316" s="344"/>
      <c r="P316" s="344"/>
      <c r="Q316" s="344"/>
      <c r="R316" s="344"/>
      <c r="S316" s="344"/>
      <c r="T316" s="344"/>
      <c r="U316" s="344"/>
      <c r="V316" s="344"/>
      <c r="W316" s="344"/>
      <c r="X316" s="344"/>
      <c r="Y316" s="344"/>
      <c r="Z316" s="344"/>
      <c r="AA316" s="344"/>
      <c r="AB316" s="344"/>
      <c r="AC316" s="344"/>
      <c r="AD316" s="344"/>
    </row>
    <row r="317">
      <c r="A317" s="344"/>
      <c r="B317" s="548"/>
      <c r="C317" s="548"/>
      <c r="D317" s="344"/>
      <c r="E317" s="344"/>
      <c r="F317" s="549"/>
      <c r="G317" s="545"/>
      <c r="H317" s="545"/>
      <c r="I317" s="344"/>
      <c r="J317" s="344"/>
      <c r="K317" s="344"/>
      <c r="L317" s="344"/>
      <c r="M317" s="344"/>
      <c r="N317" s="344"/>
      <c r="O317" s="344"/>
      <c r="P317" s="344"/>
      <c r="Q317" s="344"/>
      <c r="R317" s="344"/>
      <c r="S317" s="344"/>
      <c r="T317" s="344"/>
      <c r="U317" s="344"/>
      <c r="V317" s="344"/>
      <c r="W317" s="344"/>
      <c r="X317" s="344"/>
      <c r="Y317" s="344"/>
      <c r="Z317" s="344"/>
      <c r="AA317" s="344"/>
      <c r="AB317" s="344"/>
      <c r="AC317" s="344"/>
      <c r="AD317" s="344"/>
    </row>
    <row r="318">
      <c r="A318" s="344"/>
      <c r="B318" s="548"/>
      <c r="C318" s="548"/>
      <c r="D318" s="344"/>
      <c r="E318" s="344"/>
      <c r="F318" s="549"/>
      <c r="G318" s="545"/>
      <c r="H318" s="545"/>
      <c r="I318" s="344"/>
      <c r="J318" s="344"/>
      <c r="K318" s="344"/>
      <c r="L318" s="344"/>
      <c r="M318" s="344"/>
      <c r="N318" s="344"/>
      <c r="O318" s="344"/>
      <c r="P318" s="344"/>
      <c r="Q318" s="344"/>
      <c r="R318" s="344"/>
      <c r="S318" s="344"/>
      <c r="T318" s="344"/>
      <c r="U318" s="344"/>
      <c r="V318" s="344"/>
      <c r="W318" s="344"/>
      <c r="X318" s="344"/>
      <c r="Y318" s="344"/>
      <c r="Z318" s="344"/>
      <c r="AA318" s="344"/>
      <c r="AB318" s="344"/>
      <c r="AC318" s="344"/>
      <c r="AD318" s="344"/>
    </row>
    <row r="319">
      <c r="A319" s="344"/>
      <c r="B319" s="548"/>
      <c r="C319" s="548"/>
      <c r="D319" s="344"/>
      <c r="E319" s="344"/>
      <c r="F319" s="549"/>
      <c r="G319" s="545"/>
      <c r="H319" s="545"/>
      <c r="I319" s="344"/>
      <c r="J319" s="344"/>
      <c r="K319" s="344"/>
      <c r="L319" s="344"/>
      <c r="M319" s="344"/>
      <c r="N319" s="344"/>
      <c r="O319" s="344"/>
      <c r="P319" s="344"/>
      <c r="Q319" s="344"/>
      <c r="R319" s="344"/>
      <c r="S319" s="344"/>
      <c r="T319" s="344"/>
      <c r="U319" s="344"/>
      <c r="V319" s="344"/>
      <c r="W319" s="344"/>
      <c r="X319" s="344"/>
      <c r="Y319" s="344"/>
      <c r="Z319" s="344"/>
      <c r="AA319" s="344"/>
      <c r="AB319" s="344"/>
      <c r="AC319" s="344"/>
      <c r="AD319" s="344"/>
    </row>
    <row r="320">
      <c r="A320" s="344"/>
      <c r="B320" s="548"/>
      <c r="C320" s="548"/>
      <c r="D320" s="344"/>
      <c r="E320" s="344"/>
      <c r="F320" s="549"/>
      <c r="G320" s="545"/>
      <c r="H320" s="545"/>
      <c r="I320" s="344"/>
      <c r="J320" s="344"/>
      <c r="K320" s="344"/>
      <c r="L320" s="344"/>
      <c r="M320" s="344"/>
      <c r="N320" s="344"/>
      <c r="O320" s="344"/>
      <c r="P320" s="344"/>
      <c r="Q320" s="344"/>
      <c r="R320" s="344"/>
      <c r="S320" s="344"/>
      <c r="T320" s="344"/>
      <c r="U320" s="344"/>
      <c r="V320" s="344"/>
      <c r="W320" s="344"/>
      <c r="X320" s="344"/>
      <c r="Y320" s="344"/>
      <c r="Z320" s="344"/>
      <c r="AA320" s="344"/>
      <c r="AB320" s="344"/>
      <c r="AC320" s="344"/>
      <c r="AD320" s="344"/>
    </row>
    <row r="321">
      <c r="A321" s="344"/>
      <c r="B321" s="548"/>
      <c r="C321" s="548"/>
      <c r="D321" s="344"/>
      <c r="E321" s="344"/>
      <c r="F321" s="549"/>
      <c r="G321" s="545"/>
      <c r="H321" s="545"/>
      <c r="I321" s="344"/>
      <c r="J321" s="344"/>
      <c r="K321" s="344"/>
      <c r="L321" s="344"/>
      <c r="M321" s="344"/>
      <c r="N321" s="344"/>
      <c r="O321" s="344"/>
      <c r="P321" s="344"/>
      <c r="Q321" s="344"/>
      <c r="R321" s="344"/>
      <c r="S321" s="344"/>
      <c r="T321" s="344"/>
      <c r="U321" s="344"/>
      <c r="V321" s="344"/>
      <c r="W321" s="344"/>
      <c r="X321" s="344"/>
      <c r="Y321" s="344"/>
      <c r="Z321" s="344"/>
      <c r="AA321" s="344"/>
      <c r="AB321" s="344"/>
      <c r="AC321" s="344"/>
      <c r="AD321" s="344"/>
    </row>
    <row r="322">
      <c r="A322" s="344"/>
      <c r="B322" s="548"/>
      <c r="C322" s="548"/>
      <c r="D322" s="344"/>
      <c r="E322" s="344"/>
      <c r="F322" s="549"/>
      <c r="G322" s="545"/>
      <c r="H322" s="545"/>
      <c r="I322" s="344"/>
      <c r="J322" s="344"/>
      <c r="K322" s="344"/>
      <c r="L322" s="344"/>
      <c r="M322" s="344"/>
      <c r="N322" s="344"/>
      <c r="O322" s="344"/>
      <c r="P322" s="344"/>
      <c r="Q322" s="344"/>
      <c r="R322" s="344"/>
      <c r="S322" s="344"/>
      <c r="T322" s="344"/>
      <c r="U322" s="344"/>
      <c r="V322" s="344"/>
      <c r="W322" s="344"/>
      <c r="X322" s="344"/>
      <c r="Y322" s="344"/>
      <c r="Z322" s="344"/>
      <c r="AA322" s="344"/>
      <c r="AB322" s="344"/>
      <c r="AC322" s="344"/>
      <c r="AD322" s="344"/>
    </row>
    <row r="323">
      <c r="A323" s="344"/>
      <c r="B323" s="548"/>
      <c r="C323" s="548"/>
      <c r="D323" s="344"/>
      <c r="E323" s="344"/>
      <c r="F323" s="549"/>
      <c r="G323" s="545"/>
      <c r="H323" s="545"/>
      <c r="I323" s="344"/>
      <c r="J323" s="344"/>
      <c r="K323" s="344"/>
      <c r="L323" s="344"/>
      <c r="M323" s="344"/>
      <c r="N323" s="344"/>
      <c r="O323" s="344"/>
      <c r="P323" s="344"/>
      <c r="Q323" s="344"/>
      <c r="R323" s="344"/>
      <c r="S323" s="344"/>
      <c r="T323" s="344"/>
      <c r="U323" s="344"/>
      <c r="V323" s="344"/>
      <c r="W323" s="344"/>
      <c r="X323" s="344"/>
      <c r="Y323" s="344"/>
      <c r="Z323" s="344"/>
      <c r="AA323" s="344"/>
      <c r="AB323" s="344"/>
      <c r="AC323" s="344"/>
      <c r="AD323" s="344"/>
    </row>
    <row r="324">
      <c r="A324" s="344"/>
      <c r="B324" s="548"/>
      <c r="C324" s="548"/>
      <c r="D324" s="344"/>
      <c r="E324" s="344"/>
      <c r="F324" s="549"/>
      <c r="G324" s="545"/>
      <c r="H324" s="545"/>
      <c r="I324" s="344"/>
      <c r="J324" s="344"/>
      <c r="K324" s="344"/>
      <c r="L324" s="344"/>
      <c r="M324" s="344"/>
      <c r="N324" s="344"/>
      <c r="O324" s="344"/>
      <c r="P324" s="344"/>
      <c r="Q324" s="344"/>
      <c r="R324" s="344"/>
      <c r="S324" s="344"/>
      <c r="T324" s="344"/>
      <c r="U324" s="344"/>
      <c r="V324" s="344"/>
      <c r="W324" s="344"/>
      <c r="X324" s="344"/>
      <c r="Y324" s="344"/>
      <c r="Z324" s="344"/>
      <c r="AA324" s="344"/>
      <c r="AB324" s="344"/>
      <c r="AC324" s="344"/>
      <c r="AD324" s="344"/>
    </row>
    <row r="325">
      <c r="A325" s="344"/>
      <c r="B325" s="548"/>
      <c r="C325" s="548"/>
      <c r="D325" s="344"/>
      <c r="E325" s="344"/>
      <c r="F325" s="549"/>
      <c r="G325" s="545"/>
      <c r="H325" s="545"/>
      <c r="I325" s="344"/>
      <c r="J325" s="344"/>
      <c r="K325" s="344"/>
      <c r="L325" s="344"/>
      <c r="M325" s="344"/>
      <c r="N325" s="344"/>
      <c r="O325" s="344"/>
      <c r="P325" s="344"/>
      <c r="Q325" s="344"/>
      <c r="R325" s="344"/>
      <c r="S325" s="344"/>
      <c r="T325" s="344"/>
      <c r="U325" s="344"/>
      <c r="V325" s="344"/>
      <c r="W325" s="344"/>
      <c r="X325" s="344"/>
      <c r="Y325" s="344"/>
      <c r="Z325" s="344"/>
      <c r="AA325" s="344"/>
      <c r="AB325" s="344"/>
      <c r="AC325" s="344"/>
      <c r="AD325" s="344"/>
    </row>
    <row r="326">
      <c r="A326" s="344"/>
      <c r="B326" s="548"/>
      <c r="C326" s="548"/>
      <c r="D326" s="344"/>
      <c r="E326" s="344"/>
      <c r="F326" s="549"/>
      <c r="G326" s="545"/>
      <c r="H326" s="545"/>
      <c r="I326" s="344"/>
      <c r="J326" s="344"/>
      <c r="K326" s="344"/>
      <c r="L326" s="344"/>
      <c r="M326" s="344"/>
      <c r="N326" s="344"/>
      <c r="O326" s="344"/>
      <c r="P326" s="344"/>
      <c r="Q326" s="344"/>
      <c r="R326" s="344"/>
      <c r="S326" s="344"/>
      <c r="T326" s="344"/>
      <c r="U326" s="344"/>
      <c r="V326" s="344"/>
      <c r="W326" s="344"/>
      <c r="X326" s="344"/>
      <c r="Y326" s="344"/>
      <c r="Z326" s="344"/>
      <c r="AA326" s="344"/>
      <c r="AB326" s="344"/>
      <c r="AC326" s="344"/>
      <c r="AD326" s="344"/>
    </row>
    <row r="327">
      <c r="A327" s="344"/>
      <c r="B327" s="548"/>
      <c r="C327" s="548"/>
      <c r="D327" s="344"/>
      <c r="E327" s="344"/>
      <c r="F327" s="549"/>
      <c r="G327" s="545"/>
      <c r="H327" s="545"/>
      <c r="I327" s="344"/>
      <c r="J327" s="344"/>
      <c r="K327" s="344"/>
      <c r="L327" s="344"/>
      <c r="M327" s="344"/>
      <c r="N327" s="344"/>
      <c r="O327" s="344"/>
      <c r="P327" s="344"/>
      <c r="Q327" s="344"/>
      <c r="R327" s="344"/>
      <c r="S327" s="344"/>
      <c r="T327" s="344"/>
      <c r="U327" s="344"/>
      <c r="V327" s="344"/>
      <c r="W327" s="344"/>
      <c r="X327" s="344"/>
      <c r="Y327" s="344"/>
      <c r="Z327" s="344"/>
      <c r="AA327" s="344"/>
      <c r="AB327" s="344"/>
      <c r="AC327" s="344"/>
      <c r="AD327" s="344"/>
    </row>
    <row r="328">
      <c r="A328" s="344"/>
      <c r="B328" s="548"/>
      <c r="C328" s="548"/>
      <c r="D328" s="344"/>
      <c r="E328" s="344"/>
      <c r="F328" s="549"/>
      <c r="G328" s="545"/>
      <c r="H328" s="545"/>
      <c r="I328" s="344"/>
      <c r="J328" s="344"/>
      <c r="K328" s="344"/>
      <c r="L328" s="344"/>
      <c r="M328" s="344"/>
      <c r="N328" s="344"/>
      <c r="O328" s="344"/>
      <c r="P328" s="344"/>
      <c r="Q328" s="344"/>
      <c r="R328" s="344"/>
      <c r="S328" s="344"/>
      <c r="T328" s="344"/>
      <c r="U328" s="344"/>
      <c r="V328" s="344"/>
      <c r="W328" s="344"/>
      <c r="X328" s="344"/>
      <c r="Y328" s="344"/>
      <c r="Z328" s="344"/>
      <c r="AA328" s="344"/>
      <c r="AB328" s="344"/>
      <c r="AC328" s="344"/>
      <c r="AD328" s="344"/>
    </row>
    <row r="329">
      <c r="A329" s="344"/>
      <c r="B329" s="548"/>
      <c r="C329" s="548"/>
      <c r="D329" s="344"/>
      <c r="E329" s="344"/>
      <c r="F329" s="549"/>
      <c r="G329" s="545"/>
      <c r="H329" s="545"/>
      <c r="I329" s="344"/>
      <c r="J329" s="344"/>
      <c r="K329" s="344"/>
      <c r="L329" s="344"/>
      <c r="M329" s="344"/>
      <c r="N329" s="344"/>
      <c r="O329" s="344"/>
      <c r="P329" s="344"/>
      <c r="Q329" s="344"/>
      <c r="R329" s="344"/>
      <c r="S329" s="344"/>
      <c r="T329" s="344"/>
      <c r="U329" s="344"/>
      <c r="V329" s="344"/>
      <c r="W329" s="344"/>
      <c r="X329" s="344"/>
      <c r="Y329" s="344"/>
      <c r="Z329" s="344"/>
      <c r="AA329" s="344"/>
      <c r="AB329" s="344"/>
      <c r="AC329" s="344"/>
      <c r="AD329" s="344"/>
    </row>
    <row r="330">
      <c r="A330" s="344"/>
      <c r="B330" s="548"/>
      <c r="C330" s="548"/>
      <c r="D330" s="344"/>
      <c r="E330" s="344"/>
      <c r="F330" s="549"/>
      <c r="G330" s="545"/>
      <c r="H330" s="545"/>
      <c r="I330" s="344"/>
      <c r="J330" s="344"/>
      <c r="K330" s="344"/>
      <c r="L330" s="344"/>
      <c r="M330" s="344"/>
      <c r="N330" s="344"/>
      <c r="O330" s="344"/>
      <c r="P330" s="344"/>
      <c r="Q330" s="344"/>
      <c r="R330" s="344"/>
      <c r="S330" s="344"/>
      <c r="T330" s="344"/>
      <c r="U330" s="344"/>
      <c r="V330" s="344"/>
      <c r="W330" s="344"/>
      <c r="X330" s="344"/>
      <c r="Y330" s="344"/>
      <c r="Z330" s="344"/>
      <c r="AA330" s="344"/>
      <c r="AB330" s="344"/>
      <c r="AC330" s="344"/>
      <c r="AD330" s="344"/>
    </row>
    <row r="331">
      <c r="A331" s="344"/>
      <c r="B331" s="548"/>
      <c r="C331" s="548"/>
      <c r="D331" s="344"/>
      <c r="E331" s="344"/>
      <c r="F331" s="549"/>
      <c r="G331" s="545"/>
      <c r="H331" s="545"/>
      <c r="I331" s="344"/>
      <c r="J331" s="344"/>
      <c r="K331" s="344"/>
      <c r="L331" s="344"/>
      <c r="M331" s="344"/>
      <c r="N331" s="344"/>
      <c r="O331" s="344"/>
      <c r="P331" s="344"/>
      <c r="Q331" s="344"/>
      <c r="R331" s="344"/>
      <c r="S331" s="344"/>
      <c r="T331" s="344"/>
      <c r="U331" s="344"/>
      <c r="V331" s="344"/>
      <c r="W331" s="344"/>
      <c r="X331" s="344"/>
      <c r="Y331" s="344"/>
      <c r="Z331" s="344"/>
      <c r="AA331" s="344"/>
      <c r="AB331" s="344"/>
      <c r="AC331" s="344"/>
      <c r="AD331" s="344"/>
    </row>
    <row r="332">
      <c r="A332" s="344"/>
      <c r="B332" s="548"/>
      <c r="C332" s="548"/>
      <c r="D332" s="344"/>
      <c r="E332" s="344"/>
      <c r="F332" s="549"/>
      <c r="G332" s="545"/>
      <c r="H332" s="545"/>
      <c r="I332" s="344"/>
      <c r="J332" s="344"/>
      <c r="K332" s="344"/>
      <c r="L332" s="344"/>
      <c r="M332" s="344"/>
      <c r="N332" s="344"/>
      <c r="O332" s="344"/>
      <c r="P332" s="344"/>
      <c r="Q332" s="344"/>
      <c r="R332" s="344"/>
      <c r="S332" s="344"/>
      <c r="T332" s="344"/>
      <c r="U332" s="344"/>
      <c r="V332" s="344"/>
      <c r="W332" s="344"/>
      <c r="X332" s="344"/>
      <c r="Y332" s="344"/>
      <c r="Z332" s="344"/>
      <c r="AA332" s="344"/>
      <c r="AB332" s="344"/>
      <c r="AC332" s="344"/>
      <c r="AD332" s="344"/>
    </row>
    <row r="333">
      <c r="A333" s="344"/>
      <c r="B333" s="548"/>
      <c r="C333" s="548"/>
      <c r="D333" s="344"/>
      <c r="E333" s="344"/>
      <c r="F333" s="549"/>
      <c r="G333" s="545"/>
      <c r="H333" s="545"/>
      <c r="I333" s="344"/>
      <c r="J333" s="344"/>
      <c r="K333" s="344"/>
      <c r="L333" s="344"/>
      <c r="M333" s="344"/>
      <c r="N333" s="344"/>
      <c r="O333" s="344"/>
      <c r="P333" s="344"/>
      <c r="Q333" s="344"/>
      <c r="R333" s="344"/>
      <c r="S333" s="344"/>
      <c r="T333" s="344"/>
      <c r="U333" s="344"/>
      <c r="V333" s="344"/>
      <c r="W333" s="344"/>
      <c r="X333" s="344"/>
      <c r="Y333" s="344"/>
      <c r="Z333" s="344"/>
      <c r="AA333" s="344"/>
      <c r="AB333" s="344"/>
      <c r="AC333" s="344"/>
      <c r="AD333" s="344"/>
    </row>
    <row r="334">
      <c r="A334" s="344"/>
      <c r="B334" s="548"/>
      <c r="C334" s="548"/>
      <c r="D334" s="344"/>
      <c r="E334" s="344"/>
      <c r="F334" s="549"/>
      <c r="G334" s="545"/>
      <c r="H334" s="545"/>
      <c r="I334" s="344"/>
      <c r="J334" s="344"/>
      <c r="K334" s="344"/>
      <c r="L334" s="344"/>
      <c r="M334" s="344"/>
      <c r="N334" s="344"/>
      <c r="O334" s="344"/>
      <c r="P334" s="344"/>
      <c r="Q334" s="344"/>
      <c r="R334" s="344"/>
      <c r="S334" s="344"/>
      <c r="T334" s="344"/>
      <c r="U334" s="344"/>
      <c r="V334" s="344"/>
      <c r="W334" s="344"/>
      <c r="X334" s="344"/>
      <c r="Y334" s="344"/>
      <c r="Z334" s="344"/>
      <c r="AA334" s="344"/>
      <c r="AB334" s="344"/>
      <c r="AC334" s="344"/>
      <c r="AD334" s="344"/>
    </row>
    <row r="335">
      <c r="A335" s="344"/>
      <c r="B335" s="548"/>
      <c r="C335" s="548"/>
      <c r="D335" s="344"/>
      <c r="E335" s="344"/>
      <c r="F335" s="549"/>
      <c r="G335" s="545"/>
      <c r="H335" s="545"/>
      <c r="I335" s="344"/>
      <c r="J335" s="344"/>
      <c r="K335" s="344"/>
      <c r="L335" s="344"/>
      <c r="M335" s="344"/>
      <c r="N335" s="344"/>
      <c r="O335" s="344"/>
      <c r="P335" s="344"/>
      <c r="Q335" s="344"/>
      <c r="R335" s="344"/>
      <c r="S335" s="344"/>
      <c r="T335" s="344"/>
      <c r="U335" s="344"/>
      <c r="V335" s="344"/>
      <c r="W335" s="344"/>
      <c r="X335" s="344"/>
      <c r="Y335" s="344"/>
      <c r="Z335" s="344"/>
      <c r="AA335" s="344"/>
      <c r="AB335" s="344"/>
      <c r="AC335" s="344"/>
      <c r="AD335" s="344"/>
    </row>
    <row r="336">
      <c r="A336" s="344"/>
      <c r="B336" s="548"/>
      <c r="C336" s="548"/>
      <c r="D336" s="344"/>
      <c r="E336" s="344"/>
      <c r="F336" s="549"/>
      <c r="G336" s="545"/>
      <c r="H336" s="545"/>
      <c r="I336" s="344"/>
      <c r="J336" s="344"/>
      <c r="K336" s="344"/>
      <c r="L336" s="344"/>
      <c r="M336" s="344"/>
      <c r="N336" s="344"/>
      <c r="O336" s="344"/>
      <c r="P336" s="344"/>
      <c r="Q336" s="344"/>
      <c r="R336" s="344"/>
      <c r="S336" s="344"/>
      <c r="T336" s="344"/>
      <c r="U336" s="344"/>
      <c r="V336" s="344"/>
      <c r="W336" s="344"/>
      <c r="X336" s="344"/>
      <c r="Y336" s="344"/>
      <c r="Z336" s="344"/>
      <c r="AA336" s="344"/>
      <c r="AB336" s="344"/>
      <c r="AC336" s="344"/>
      <c r="AD336" s="344"/>
    </row>
    <row r="337">
      <c r="A337" s="344"/>
      <c r="B337" s="548"/>
      <c r="C337" s="548"/>
      <c r="D337" s="344"/>
      <c r="E337" s="344"/>
      <c r="F337" s="549"/>
      <c r="G337" s="545"/>
      <c r="H337" s="545"/>
      <c r="I337" s="344"/>
      <c r="J337" s="344"/>
      <c r="K337" s="344"/>
      <c r="L337" s="344"/>
      <c r="M337" s="344"/>
      <c r="N337" s="344"/>
      <c r="O337" s="344"/>
      <c r="P337" s="344"/>
      <c r="Q337" s="344"/>
      <c r="R337" s="344"/>
      <c r="S337" s="344"/>
      <c r="T337" s="344"/>
      <c r="U337" s="344"/>
      <c r="V337" s="344"/>
      <c r="W337" s="344"/>
      <c r="X337" s="344"/>
      <c r="Y337" s="344"/>
      <c r="Z337" s="344"/>
      <c r="AA337" s="344"/>
      <c r="AB337" s="344"/>
      <c r="AC337" s="344"/>
      <c r="AD337" s="344"/>
    </row>
    <row r="338">
      <c r="A338" s="344"/>
      <c r="B338" s="548"/>
      <c r="C338" s="548"/>
      <c r="D338" s="344"/>
      <c r="E338" s="344"/>
      <c r="F338" s="549"/>
      <c r="G338" s="545"/>
      <c r="H338" s="545"/>
      <c r="I338" s="344"/>
      <c r="J338" s="344"/>
      <c r="K338" s="344"/>
      <c r="L338" s="344"/>
      <c r="M338" s="344"/>
      <c r="N338" s="344"/>
      <c r="O338" s="344"/>
      <c r="P338" s="344"/>
      <c r="Q338" s="344"/>
      <c r="R338" s="344"/>
      <c r="S338" s="344"/>
      <c r="T338" s="344"/>
      <c r="U338" s="344"/>
      <c r="V338" s="344"/>
      <c r="W338" s="344"/>
      <c r="X338" s="344"/>
      <c r="Y338" s="344"/>
      <c r="Z338" s="344"/>
      <c r="AA338" s="344"/>
      <c r="AB338" s="344"/>
      <c r="AC338" s="344"/>
      <c r="AD338" s="344"/>
    </row>
    <row r="339">
      <c r="A339" s="344"/>
      <c r="B339" s="548"/>
      <c r="C339" s="548"/>
      <c r="D339" s="344"/>
      <c r="E339" s="344"/>
      <c r="F339" s="549"/>
      <c r="G339" s="545"/>
      <c r="H339" s="545"/>
      <c r="I339" s="344"/>
      <c r="J339" s="344"/>
      <c r="K339" s="344"/>
      <c r="L339" s="344"/>
      <c r="M339" s="344"/>
      <c r="N339" s="344"/>
      <c r="O339" s="344"/>
      <c r="P339" s="344"/>
      <c r="Q339" s="344"/>
      <c r="R339" s="344"/>
      <c r="S339" s="344"/>
      <c r="T339" s="344"/>
      <c r="U339" s="344"/>
      <c r="V339" s="344"/>
      <c r="W339" s="344"/>
      <c r="X339" s="344"/>
      <c r="Y339" s="344"/>
      <c r="Z339" s="344"/>
      <c r="AA339" s="344"/>
      <c r="AB339" s="344"/>
      <c r="AC339" s="344"/>
      <c r="AD339" s="344"/>
    </row>
    <row r="340">
      <c r="A340" s="344"/>
      <c r="B340" s="548"/>
      <c r="C340" s="548"/>
      <c r="D340" s="344"/>
      <c r="E340" s="344"/>
      <c r="F340" s="549"/>
      <c r="G340" s="545"/>
      <c r="H340" s="545"/>
      <c r="I340" s="344"/>
      <c r="J340" s="344"/>
      <c r="K340" s="344"/>
      <c r="L340" s="344"/>
      <c r="M340" s="344"/>
      <c r="N340" s="344"/>
      <c r="O340" s="344"/>
      <c r="P340" s="344"/>
      <c r="Q340" s="344"/>
      <c r="R340" s="344"/>
      <c r="S340" s="344"/>
      <c r="T340" s="344"/>
      <c r="U340" s="344"/>
      <c r="V340" s="344"/>
      <c r="W340" s="344"/>
      <c r="X340" s="344"/>
      <c r="Y340" s="344"/>
      <c r="Z340" s="344"/>
      <c r="AA340" s="344"/>
      <c r="AB340" s="344"/>
      <c r="AC340" s="344"/>
      <c r="AD340" s="344"/>
    </row>
    <row r="341">
      <c r="A341" s="344"/>
      <c r="B341" s="548"/>
      <c r="C341" s="548"/>
      <c r="D341" s="344"/>
      <c r="E341" s="344"/>
      <c r="F341" s="549"/>
      <c r="G341" s="545"/>
      <c r="H341" s="545"/>
      <c r="I341" s="344"/>
      <c r="J341" s="344"/>
      <c r="K341" s="344"/>
      <c r="L341" s="344"/>
      <c r="M341" s="344"/>
      <c r="N341" s="344"/>
      <c r="O341" s="344"/>
      <c r="P341" s="344"/>
      <c r="Q341" s="344"/>
      <c r="R341" s="344"/>
      <c r="S341" s="344"/>
      <c r="T341" s="344"/>
      <c r="U341" s="344"/>
      <c r="V341" s="344"/>
      <c r="W341" s="344"/>
      <c r="X341" s="344"/>
      <c r="Y341" s="344"/>
      <c r="Z341" s="344"/>
      <c r="AA341" s="344"/>
      <c r="AB341" s="344"/>
      <c r="AC341" s="344"/>
      <c r="AD341" s="344"/>
    </row>
    <row r="342">
      <c r="A342" s="344"/>
      <c r="B342" s="548"/>
      <c r="C342" s="548"/>
      <c r="D342" s="344"/>
      <c r="E342" s="344"/>
      <c r="F342" s="549"/>
      <c r="G342" s="545"/>
      <c r="H342" s="545"/>
      <c r="I342" s="344"/>
      <c r="J342" s="344"/>
      <c r="K342" s="344"/>
      <c r="L342" s="344"/>
      <c r="M342" s="344"/>
      <c r="N342" s="344"/>
      <c r="O342" s="344"/>
      <c r="P342" s="344"/>
      <c r="Q342" s="344"/>
      <c r="R342" s="344"/>
      <c r="S342" s="344"/>
      <c r="T342" s="344"/>
      <c r="U342" s="344"/>
      <c r="V342" s="344"/>
      <c r="W342" s="344"/>
      <c r="X342" s="344"/>
      <c r="Y342" s="344"/>
      <c r="Z342" s="344"/>
      <c r="AA342" s="344"/>
      <c r="AB342" s="344"/>
      <c r="AC342" s="344"/>
      <c r="AD342" s="344"/>
    </row>
    <row r="343">
      <c r="A343" s="344"/>
      <c r="B343" s="548"/>
      <c r="C343" s="548"/>
      <c r="D343" s="344"/>
      <c r="E343" s="344"/>
      <c r="F343" s="549"/>
      <c r="G343" s="545"/>
      <c r="H343" s="545"/>
      <c r="I343" s="344"/>
      <c r="J343" s="344"/>
      <c r="K343" s="344"/>
      <c r="L343" s="344"/>
      <c r="M343" s="344"/>
      <c r="N343" s="344"/>
      <c r="O343" s="344"/>
      <c r="P343" s="344"/>
      <c r="Q343" s="344"/>
      <c r="R343" s="344"/>
      <c r="S343" s="344"/>
      <c r="T343" s="344"/>
      <c r="U343" s="344"/>
      <c r="V343" s="344"/>
      <c r="W343" s="344"/>
      <c r="X343" s="344"/>
      <c r="Y343" s="344"/>
      <c r="Z343" s="344"/>
      <c r="AA343" s="344"/>
      <c r="AB343" s="344"/>
      <c r="AC343" s="344"/>
      <c r="AD343" s="344"/>
    </row>
    <row r="344">
      <c r="A344" s="344"/>
      <c r="B344" s="548"/>
      <c r="C344" s="548"/>
      <c r="D344" s="344"/>
      <c r="E344" s="344"/>
      <c r="F344" s="549"/>
      <c r="G344" s="545"/>
      <c r="H344" s="545"/>
      <c r="I344" s="344"/>
      <c r="J344" s="344"/>
      <c r="K344" s="344"/>
      <c r="L344" s="344"/>
      <c r="M344" s="344"/>
      <c r="N344" s="344"/>
      <c r="O344" s="344"/>
      <c r="P344" s="344"/>
      <c r="Q344" s="344"/>
      <c r="R344" s="344"/>
      <c r="S344" s="344"/>
      <c r="T344" s="344"/>
      <c r="U344" s="344"/>
      <c r="V344" s="344"/>
      <c r="W344" s="344"/>
      <c r="X344" s="344"/>
      <c r="Y344" s="344"/>
      <c r="Z344" s="344"/>
      <c r="AA344" s="344"/>
      <c r="AB344" s="344"/>
      <c r="AC344" s="344"/>
      <c r="AD344" s="344"/>
    </row>
    <row r="345">
      <c r="A345" s="344"/>
      <c r="B345" s="548"/>
      <c r="C345" s="548"/>
      <c r="D345" s="344"/>
      <c r="E345" s="344"/>
      <c r="F345" s="549"/>
      <c r="G345" s="545"/>
      <c r="H345" s="545"/>
      <c r="I345" s="344"/>
      <c r="J345" s="344"/>
      <c r="K345" s="344"/>
      <c r="L345" s="344"/>
      <c r="M345" s="344"/>
      <c r="N345" s="344"/>
      <c r="O345" s="344"/>
      <c r="P345" s="344"/>
      <c r="Q345" s="344"/>
      <c r="R345" s="344"/>
      <c r="S345" s="344"/>
      <c r="T345" s="344"/>
      <c r="U345" s="344"/>
      <c r="V345" s="344"/>
      <c r="W345" s="344"/>
      <c r="X345" s="344"/>
      <c r="Y345" s="344"/>
      <c r="Z345" s="344"/>
      <c r="AA345" s="344"/>
      <c r="AB345" s="344"/>
      <c r="AC345" s="344"/>
      <c r="AD345" s="344"/>
    </row>
    <row r="346">
      <c r="A346" s="344"/>
      <c r="B346" s="548"/>
      <c r="C346" s="548"/>
      <c r="D346" s="344"/>
      <c r="E346" s="344"/>
      <c r="F346" s="549"/>
      <c r="G346" s="545"/>
      <c r="H346" s="545"/>
      <c r="I346" s="344"/>
      <c r="J346" s="344"/>
      <c r="K346" s="344"/>
      <c r="L346" s="344"/>
      <c r="M346" s="344"/>
      <c r="N346" s="344"/>
      <c r="O346" s="344"/>
      <c r="P346" s="344"/>
      <c r="Q346" s="344"/>
      <c r="R346" s="344"/>
      <c r="S346" s="344"/>
      <c r="T346" s="344"/>
      <c r="U346" s="344"/>
      <c r="V346" s="344"/>
      <c r="W346" s="344"/>
      <c r="X346" s="344"/>
      <c r="Y346" s="344"/>
      <c r="Z346" s="344"/>
      <c r="AA346" s="344"/>
      <c r="AB346" s="344"/>
      <c r="AC346" s="344"/>
      <c r="AD346" s="344"/>
    </row>
    <row r="347">
      <c r="A347" s="344"/>
      <c r="B347" s="548"/>
      <c r="C347" s="548"/>
      <c r="D347" s="344"/>
      <c r="E347" s="344"/>
      <c r="F347" s="549"/>
      <c r="G347" s="545"/>
      <c r="H347" s="545"/>
      <c r="I347" s="344"/>
      <c r="J347" s="344"/>
      <c r="K347" s="344"/>
      <c r="L347" s="344"/>
      <c r="M347" s="344"/>
      <c r="N347" s="344"/>
      <c r="O347" s="344"/>
      <c r="P347" s="344"/>
      <c r="Q347" s="344"/>
      <c r="R347" s="344"/>
      <c r="S347" s="344"/>
      <c r="T347" s="344"/>
      <c r="U347" s="344"/>
      <c r="V347" s="344"/>
      <c r="W347" s="344"/>
      <c r="X347" s="344"/>
      <c r="Y347" s="344"/>
      <c r="Z347" s="344"/>
      <c r="AA347" s="344"/>
      <c r="AB347" s="344"/>
      <c r="AC347" s="344"/>
      <c r="AD347" s="344"/>
    </row>
    <row r="348">
      <c r="A348" s="344"/>
      <c r="B348" s="548"/>
      <c r="C348" s="548"/>
      <c r="D348" s="344"/>
      <c r="E348" s="344"/>
      <c r="F348" s="549"/>
      <c r="G348" s="545"/>
      <c r="H348" s="545"/>
      <c r="I348" s="344"/>
      <c r="J348" s="344"/>
      <c r="K348" s="344"/>
      <c r="L348" s="344"/>
      <c r="M348" s="344"/>
      <c r="N348" s="344"/>
      <c r="O348" s="344"/>
      <c r="P348" s="344"/>
      <c r="Q348" s="344"/>
      <c r="R348" s="344"/>
      <c r="S348" s="344"/>
      <c r="T348" s="344"/>
      <c r="U348" s="344"/>
      <c r="V348" s="344"/>
      <c r="W348" s="344"/>
      <c r="X348" s="344"/>
      <c r="Y348" s="344"/>
      <c r="Z348" s="344"/>
      <c r="AA348" s="344"/>
      <c r="AB348" s="344"/>
      <c r="AC348" s="344"/>
      <c r="AD348" s="344"/>
    </row>
    <row r="349">
      <c r="A349" s="344"/>
      <c r="B349" s="548"/>
      <c r="C349" s="548"/>
      <c r="D349" s="344"/>
      <c r="E349" s="344"/>
      <c r="F349" s="549"/>
      <c r="G349" s="545"/>
      <c r="H349" s="545"/>
      <c r="I349" s="344"/>
      <c r="J349" s="344"/>
      <c r="K349" s="344"/>
      <c r="L349" s="344"/>
      <c r="M349" s="344"/>
      <c r="N349" s="344"/>
      <c r="O349" s="344"/>
      <c r="P349" s="344"/>
      <c r="Q349" s="344"/>
      <c r="R349" s="344"/>
      <c r="S349" s="344"/>
      <c r="T349" s="344"/>
      <c r="U349" s="344"/>
      <c r="V349" s="344"/>
      <c r="W349" s="344"/>
      <c r="X349" s="344"/>
      <c r="Y349" s="344"/>
      <c r="Z349" s="344"/>
      <c r="AA349" s="344"/>
      <c r="AB349" s="344"/>
      <c r="AC349" s="344"/>
      <c r="AD349" s="344"/>
    </row>
    <row r="350">
      <c r="A350" s="344"/>
      <c r="B350" s="548"/>
      <c r="C350" s="548"/>
      <c r="D350" s="344"/>
      <c r="E350" s="344"/>
      <c r="F350" s="549"/>
      <c r="G350" s="545"/>
      <c r="H350" s="545"/>
      <c r="I350" s="344"/>
      <c r="J350" s="344"/>
      <c r="K350" s="344"/>
      <c r="L350" s="344"/>
      <c r="M350" s="344"/>
      <c r="N350" s="344"/>
      <c r="O350" s="344"/>
      <c r="P350" s="344"/>
      <c r="Q350" s="344"/>
      <c r="R350" s="344"/>
      <c r="S350" s="344"/>
      <c r="T350" s="344"/>
      <c r="U350" s="344"/>
      <c r="V350" s="344"/>
      <c r="W350" s="344"/>
      <c r="X350" s="344"/>
      <c r="Y350" s="344"/>
      <c r="Z350" s="344"/>
      <c r="AA350" s="344"/>
      <c r="AB350" s="344"/>
      <c r="AC350" s="344"/>
      <c r="AD350" s="344"/>
    </row>
    <row r="351">
      <c r="A351" s="344"/>
      <c r="B351" s="548"/>
      <c r="C351" s="548"/>
      <c r="D351" s="344"/>
      <c r="E351" s="344"/>
      <c r="F351" s="549"/>
      <c r="G351" s="545"/>
      <c r="H351" s="545"/>
      <c r="I351" s="344"/>
      <c r="J351" s="344"/>
      <c r="K351" s="344"/>
      <c r="L351" s="344"/>
      <c r="M351" s="344"/>
      <c r="N351" s="344"/>
      <c r="O351" s="344"/>
      <c r="P351" s="344"/>
      <c r="Q351" s="344"/>
      <c r="R351" s="344"/>
      <c r="S351" s="344"/>
      <c r="T351" s="344"/>
      <c r="U351" s="344"/>
      <c r="V351" s="344"/>
      <c r="W351" s="344"/>
      <c r="X351" s="344"/>
      <c r="Y351" s="344"/>
      <c r="Z351" s="344"/>
      <c r="AA351" s="344"/>
      <c r="AB351" s="344"/>
      <c r="AC351" s="344"/>
      <c r="AD351" s="344"/>
    </row>
    <row r="352">
      <c r="A352" s="344"/>
      <c r="B352" s="548"/>
      <c r="C352" s="548"/>
      <c r="D352" s="344"/>
      <c r="E352" s="344"/>
      <c r="F352" s="549"/>
      <c r="G352" s="545"/>
      <c r="H352" s="545"/>
      <c r="I352" s="344"/>
      <c r="J352" s="344"/>
      <c r="K352" s="344"/>
      <c r="L352" s="344"/>
      <c r="M352" s="344"/>
      <c r="N352" s="344"/>
      <c r="O352" s="344"/>
      <c r="P352" s="344"/>
      <c r="Q352" s="344"/>
      <c r="R352" s="344"/>
      <c r="S352" s="344"/>
      <c r="T352" s="344"/>
      <c r="U352" s="344"/>
      <c r="V352" s="344"/>
      <c r="W352" s="344"/>
      <c r="X352" s="344"/>
      <c r="Y352" s="344"/>
      <c r="Z352" s="344"/>
      <c r="AA352" s="344"/>
      <c r="AB352" s="344"/>
      <c r="AC352" s="344"/>
      <c r="AD352" s="344"/>
    </row>
    <row r="353">
      <c r="A353" s="344"/>
      <c r="B353" s="548"/>
      <c r="C353" s="548"/>
      <c r="D353" s="344"/>
      <c r="E353" s="344"/>
      <c r="F353" s="549"/>
      <c r="G353" s="545"/>
      <c r="H353" s="545"/>
      <c r="I353" s="344"/>
      <c r="J353" s="344"/>
      <c r="K353" s="344"/>
      <c r="L353" s="344"/>
      <c r="M353" s="344"/>
      <c r="N353" s="344"/>
      <c r="O353" s="344"/>
      <c r="P353" s="344"/>
      <c r="Q353" s="344"/>
      <c r="R353" s="344"/>
      <c r="S353" s="344"/>
      <c r="T353" s="344"/>
      <c r="U353" s="344"/>
      <c r="V353" s="344"/>
      <c r="W353" s="344"/>
      <c r="X353" s="344"/>
      <c r="Y353" s="344"/>
      <c r="Z353" s="344"/>
      <c r="AA353" s="344"/>
      <c r="AB353" s="344"/>
      <c r="AC353" s="344"/>
      <c r="AD353" s="344"/>
    </row>
    <row r="354">
      <c r="A354" s="344"/>
      <c r="B354" s="548"/>
      <c r="C354" s="548"/>
      <c r="D354" s="344"/>
      <c r="E354" s="344"/>
      <c r="F354" s="549"/>
      <c r="G354" s="545"/>
      <c r="H354" s="545"/>
      <c r="I354" s="344"/>
      <c r="J354" s="344"/>
      <c r="K354" s="344"/>
      <c r="L354" s="344"/>
      <c r="M354" s="344"/>
      <c r="N354" s="344"/>
      <c r="O354" s="344"/>
      <c r="P354" s="344"/>
      <c r="Q354" s="344"/>
      <c r="R354" s="344"/>
      <c r="S354" s="344"/>
      <c r="T354" s="344"/>
      <c r="U354" s="344"/>
      <c r="V354" s="344"/>
      <c r="W354" s="344"/>
      <c r="X354" s="344"/>
      <c r="Y354" s="344"/>
      <c r="Z354" s="344"/>
      <c r="AA354" s="344"/>
      <c r="AB354" s="344"/>
      <c r="AC354" s="344"/>
      <c r="AD354" s="344"/>
    </row>
    <row r="355">
      <c r="A355" s="344"/>
      <c r="B355" s="548"/>
      <c r="C355" s="548"/>
      <c r="D355" s="344"/>
      <c r="E355" s="344"/>
      <c r="F355" s="549"/>
      <c r="G355" s="545"/>
      <c r="H355" s="545"/>
      <c r="I355" s="344"/>
      <c r="J355" s="344"/>
      <c r="K355" s="344"/>
      <c r="L355" s="344"/>
      <c r="M355" s="344"/>
      <c r="N355" s="344"/>
      <c r="O355" s="344"/>
      <c r="P355" s="344"/>
      <c r="Q355" s="344"/>
      <c r="R355" s="344"/>
      <c r="S355" s="344"/>
      <c r="T355" s="344"/>
      <c r="U355" s="344"/>
      <c r="V355" s="344"/>
      <c r="W355" s="344"/>
      <c r="X355" s="344"/>
      <c r="Y355" s="344"/>
      <c r="Z355" s="344"/>
      <c r="AA355" s="344"/>
      <c r="AB355" s="344"/>
      <c r="AC355" s="344"/>
      <c r="AD355" s="344"/>
    </row>
    <row r="356">
      <c r="A356" s="344"/>
      <c r="B356" s="548"/>
      <c r="C356" s="548"/>
      <c r="D356" s="344"/>
      <c r="E356" s="344"/>
      <c r="F356" s="549"/>
      <c r="G356" s="545"/>
      <c r="H356" s="545"/>
      <c r="I356" s="344"/>
      <c r="J356" s="344"/>
      <c r="K356" s="344"/>
      <c r="L356" s="344"/>
      <c r="M356" s="344"/>
      <c r="N356" s="344"/>
      <c r="O356" s="344"/>
      <c r="P356" s="344"/>
      <c r="Q356" s="344"/>
      <c r="R356" s="344"/>
      <c r="S356" s="344"/>
      <c r="T356" s="344"/>
      <c r="U356" s="344"/>
      <c r="V356" s="344"/>
      <c r="W356" s="344"/>
      <c r="X356" s="344"/>
      <c r="Y356" s="344"/>
      <c r="Z356" s="344"/>
      <c r="AA356" s="344"/>
      <c r="AB356" s="344"/>
      <c r="AC356" s="344"/>
      <c r="AD356" s="344"/>
    </row>
    <row r="357">
      <c r="A357" s="344"/>
      <c r="B357" s="548"/>
      <c r="C357" s="548"/>
      <c r="D357" s="344"/>
      <c r="E357" s="344"/>
      <c r="F357" s="549"/>
      <c r="G357" s="545"/>
      <c r="H357" s="545"/>
      <c r="I357" s="344"/>
      <c r="J357" s="344"/>
      <c r="K357" s="344"/>
      <c r="L357" s="344"/>
      <c r="M357" s="344"/>
      <c r="N357" s="344"/>
      <c r="O357" s="344"/>
      <c r="P357" s="344"/>
      <c r="Q357" s="344"/>
      <c r="R357" s="344"/>
      <c r="S357" s="344"/>
      <c r="T357" s="344"/>
      <c r="U357" s="344"/>
      <c r="V357" s="344"/>
      <c r="W357" s="344"/>
      <c r="X357" s="344"/>
      <c r="Y357" s="344"/>
      <c r="Z357" s="344"/>
      <c r="AA357" s="344"/>
      <c r="AB357" s="344"/>
      <c r="AC357" s="344"/>
      <c r="AD357" s="344"/>
    </row>
    <row r="358">
      <c r="A358" s="344"/>
      <c r="B358" s="548"/>
      <c r="C358" s="548"/>
      <c r="D358" s="344"/>
      <c r="E358" s="344"/>
      <c r="F358" s="549"/>
      <c r="G358" s="545"/>
      <c r="H358" s="545"/>
      <c r="I358" s="344"/>
      <c r="J358" s="344"/>
      <c r="K358" s="344"/>
      <c r="L358" s="344"/>
      <c r="M358" s="344"/>
      <c r="N358" s="344"/>
      <c r="O358" s="344"/>
      <c r="P358" s="344"/>
      <c r="Q358" s="344"/>
      <c r="R358" s="344"/>
      <c r="S358" s="344"/>
      <c r="T358" s="344"/>
      <c r="U358" s="344"/>
      <c r="V358" s="344"/>
      <c r="W358" s="344"/>
      <c r="X358" s="344"/>
      <c r="Y358" s="344"/>
      <c r="Z358" s="344"/>
      <c r="AA358" s="344"/>
      <c r="AB358" s="344"/>
      <c r="AC358" s="344"/>
      <c r="AD358" s="344"/>
    </row>
    <row r="359">
      <c r="A359" s="344"/>
      <c r="B359" s="548"/>
      <c r="C359" s="548"/>
      <c r="D359" s="344"/>
      <c r="E359" s="344"/>
      <c r="F359" s="549"/>
      <c r="G359" s="545"/>
      <c r="H359" s="545"/>
      <c r="I359" s="344"/>
      <c r="J359" s="344"/>
      <c r="K359" s="344"/>
      <c r="L359" s="344"/>
      <c r="M359" s="344"/>
      <c r="N359" s="344"/>
      <c r="O359" s="344"/>
      <c r="P359" s="344"/>
      <c r="Q359" s="344"/>
      <c r="R359" s="344"/>
      <c r="S359" s="344"/>
      <c r="T359" s="344"/>
      <c r="U359" s="344"/>
      <c r="V359" s="344"/>
      <c r="W359" s="344"/>
      <c r="X359" s="344"/>
      <c r="Y359" s="344"/>
      <c r="Z359" s="344"/>
      <c r="AA359" s="344"/>
      <c r="AB359" s="344"/>
      <c r="AC359" s="344"/>
      <c r="AD359" s="344"/>
    </row>
    <row r="360">
      <c r="A360" s="344"/>
      <c r="B360" s="548"/>
      <c r="C360" s="548"/>
      <c r="D360" s="344"/>
      <c r="E360" s="344"/>
      <c r="F360" s="549"/>
      <c r="G360" s="545"/>
      <c r="H360" s="545"/>
      <c r="I360" s="344"/>
      <c r="J360" s="344"/>
      <c r="K360" s="344"/>
      <c r="L360" s="344"/>
      <c r="M360" s="344"/>
      <c r="N360" s="344"/>
      <c r="O360" s="344"/>
      <c r="P360" s="344"/>
      <c r="Q360" s="344"/>
      <c r="R360" s="344"/>
      <c r="S360" s="344"/>
      <c r="T360" s="344"/>
      <c r="U360" s="344"/>
      <c r="V360" s="344"/>
      <c r="W360" s="344"/>
      <c r="X360" s="344"/>
      <c r="Y360" s="344"/>
      <c r="Z360" s="344"/>
      <c r="AA360" s="344"/>
      <c r="AB360" s="344"/>
      <c r="AC360" s="344"/>
      <c r="AD360" s="344"/>
    </row>
    <row r="361">
      <c r="A361" s="344"/>
      <c r="B361" s="548"/>
      <c r="C361" s="548"/>
      <c r="D361" s="344"/>
      <c r="E361" s="344"/>
      <c r="F361" s="549"/>
      <c r="G361" s="545"/>
      <c r="H361" s="545"/>
      <c r="I361" s="344"/>
      <c r="J361" s="344"/>
      <c r="K361" s="344"/>
      <c r="L361" s="344"/>
      <c r="M361" s="344"/>
      <c r="N361" s="344"/>
      <c r="O361" s="344"/>
      <c r="P361" s="344"/>
      <c r="Q361" s="344"/>
      <c r="R361" s="344"/>
      <c r="S361" s="344"/>
      <c r="T361" s="344"/>
      <c r="U361" s="344"/>
      <c r="V361" s="344"/>
      <c r="W361" s="344"/>
      <c r="X361" s="344"/>
      <c r="Y361" s="344"/>
      <c r="Z361" s="344"/>
      <c r="AA361" s="344"/>
      <c r="AB361" s="344"/>
      <c r="AC361" s="344"/>
      <c r="AD361" s="344"/>
    </row>
    <row r="362">
      <c r="A362" s="344"/>
      <c r="B362" s="548"/>
      <c r="C362" s="548"/>
      <c r="D362" s="344"/>
      <c r="E362" s="344"/>
      <c r="F362" s="549"/>
      <c r="G362" s="545"/>
      <c r="H362" s="545"/>
      <c r="I362" s="344"/>
      <c r="J362" s="344"/>
      <c r="K362" s="344"/>
      <c r="L362" s="344"/>
      <c r="M362" s="344"/>
      <c r="N362" s="344"/>
      <c r="O362" s="344"/>
      <c r="P362" s="344"/>
      <c r="Q362" s="344"/>
      <c r="R362" s="344"/>
      <c r="S362" s="344"/>
      <c r="T362" s="344"/>
      <c r="U362" s="344"/>
      <c r="V362" s="344"/>
      <c r="W362" s="344"/>
      <c r="X362" s="344"/>
      <c r="Y362" s="344"/>
      <c r="Z362" s="344"/>
      <c r="AA362" s="344"/>
      <c r="AB362" s="344"/>
      <c r="AC362" s="344"/>
      <c r="AD362" s="344"/>
    </row>
    <row r="363">
      <c r="A363" s="344"/>
      <c r="B363" s="548"/>
      <c r="C363" s="548"/>
      <c r="D363" s="344"/>
      <c r="E363" s="344"/>
      <c r="F363" s="549"/>
      <c r="G363" s="545"/>
      <c r="H363" s="545"/>
      <c r="I363" s="344"/>
      <c r="J363" s="344"/>
      <c r="K363" s="344"/>
      <c r="L363" s="344"/>
      <c r="M363" s="344"/>
      <c r="N363" s="344"/>
      <c r="O363" s="344"/>
      <c r="P363" s="344"/>
      <c r="Q363" s="344"/>
      <c r="R363" s="344"/>
      <c r="S363" s="344"/>
      <c r="T363" s="344"/>
      <c r="U363" s="344"/>
      <c r="V363" s="344"/>
      <c r="W363" s="344"/>
      <c r="X363" s="344"/>
      <c r="Y363" s="344"/>
      <c r="Z363" s="344"/>
      <c r="AA363" s="344"/>
      <c r="AB363" s="344"/>
      <c r="AC363" s="344"/>
      <c r="AD363" s="344"/>
    </row>
    <row r="364">
      <c r="A364" s="344"/>
      <c r="B364" s="548"/>
      <c r="C364" s="548"/>
      <c r="D364" s="344"/>
      <c r="E364" s="344"/>
      <c r="F364" s="549"/>
      <c r="G364" s="545"/>
      <c r="H364" s="545"/>
      <c r="I364" s="344"/>
      <c r="J364" s="344"/>
      <c r="K364" s="344"/>
      <c r="L364" s="344"/>
      <c r="M364" s="344"/>
      <c r="N364" s="344"/>
      <c r="O364" s="344"/>
      <c r="P364" s="344"/>
      <c r="Q364" s="344"/>
      <c r="R364" s="344"/>
      <c r="S364" s="344"/>
      <c r="T364" s="344"/>
      <c r="U364" s="344"/>
      <c r="V364" s="344"/>
      <c r="W364" s="344"/>
      <c r="X364" s="344"/>
      <c r="Y364" s="344"/>
      <c r="Z364" s="344"/>
      <c r="AA364" s="344"/>
      <c r="AB364" s="344"/>
      <c r="AC364" s="344"/>
      <c r="AD364" s="344"/>
    </row>
    <row r="365">
      <c r="A365" s="344"/>
      <c r="B365" s="548"/>
      <c r="C365" s="548"/>
      <c r="D365" s="344"/>
      <c r="E365" s="344"/>
      <c r="F365" s="549"/>
      <c r="G365" s="545"/>
      <c r="H365" s="545"/>
      <c r="I365" s="344"/>
      <c r="J365" s="344"/>
      <c r="K365" s="344"/>
      <c r="L365" s="344"/>
      <c r="M365" s="344"/>
      <c r="N365" s="344"/>
      <c r="O365" s="344"/>
      <c r="P365" s="344"/>
      <c r="Q365" s="344"/>
      <c r="R365" s="344"/>
      <c r="S365" s="344"/>
      <c r="T365" s="344"/>
      <c r="U365" s="344"/>
      <c r="V365" s="344"/>
      <c r="W365" s="344"/>
      <c r="X365" s="344"/>
      <c r="Y365" s="344"/>
      <c r="Z365" s="344"/>
      <c r="AA365" s="344"/>
      <c r="AB365" s="344"/>
      <c r="AC365" s="344"/>
      <c r="AD365" s="344"/>
    </row>
    <row r="366">
      <c r="A366" s="344"/>
      <c r="B366" s="548"/>
      <c r="C366" s="548"/>
      <c r="D366" s="344"/>
      <c r="E366" s="344"/>
      <c r="F366" s="549"/>
      <c r="G366" s="545"/>
      <c r="H366" s="545"/>
      <c r="I366" s="344"/>
      <c r="J366" s="344"/>
      <c r="K366" s="344"/>
      <c r="L366" s="344"/>
      <c r="M366" s="344"/>
      <c r="N366" s="344"/>
      <c r="O366" s="344"/>
      <c r="P366" s="344"/>
      <c r="Q366" s="344"/>
      <c r="R366" s="344"/>
      <c r="S366" s="344"/>
      <c r="T366" s="344"/>
      <c r="U366" s="344"/>
      <c r="V366" s="344"/>
      <c r="W366" s="344"/>
      <c r="X366" s="344"/>
      <c r="Y366" s="344"/>
      <c r="Z366" s="344"/>
      <c r="AA366" s="344"/>
      <c r="AB366" s="344"/>
      <c r="AC366" s="344"/>
      <c r="AD366" s="344"/>
    </row>
    <row r="367">
      <c r="A367" s="344"/>
      <c r="B367" s="548"/>
      <c r="C367" s="548"/>
      <c r="D367" s="344"/>
      <c r="E367" s="344"/>
      <c r="F367" s="549"/>
      <c r="G367" s="545"/>
      <c r="H367" s="545"/>
      <c r="I367" s="344"/>
      <c r="J367" s="344"/>
      <c r="K367" s="344"/>
      <c r="L367" s="344"/>
      <c r="M367" s="344"/>
      <c r="N367" s="344"/>
      <c r="O367" s="344"/>
      <c r="P367" s="344"/>
      <c r="Q367" s="344"/>
      <c r="R367" s="344"/>
      <c r="S367" s="344"/>
      <c r="T367" s="344"/>
      <c r="U367" s="344"/>
      <c r="V367" s="344"/>
      <c r="W367" s="344"/>
      <c r="X367" s="344"/>
      <c r="Y367" s="344"/>
      <c r="Z367" s="344"/>
      <c r="AA367" s="344"/>
      <c r="AB367" s="344"/>
      <c r="AC367" s="344"/>
      <c r="AD367" s="344"/>
    </row>
    <row r="368">
      <c r="A368" s="344"/>
      <c r="B368" s="548"/>
      <c r="C368" s="548"/>
      <c r="D368" s="344"/>
      <c r="E368" s="344"/>
      <c r="F368" s="549"/>
      <c r="G368" s="545"/>
      <c r="H368" s="545"/>
      <c r="I368" s="344"/>
      <c r="J368" s="344"/>
      <c r="K368" s="344"/>
      <c r="L368" s="344"/>
      <c r="M368" s="344"/>
      <c r="N368" s="344"/>
      <c r="O368" s="344"/>
      <c r="P368" s="344"/>
      <c r="Q368" s="344"/>
      <c r="R368" s="344"/>
      <c r="S368" s="344"/>
      <c r="T368" s="344"/>
      <c r="U368" s="344"/>
      <c r="V368" s="344"/>
      <c r="W368" s="344"/>
      <c r="X368" s="344"/>
      <c r="Y368" s="344"/>
      <c r="Z368" s="344"/>
      <c r="AA368" s="344"/>
      <c r="AB368" s="344"/>
      <c r="AC368" s="344"/>
      <c r="AD368" s="344"/>
    </row>
    <row r="369">
      <c r="A369" s="344"/>
      <c r="B369" s="548"/>
      <c r="C369" s="548"/>
      <c r="D369" s="344"/>
      <c r="E369" s="344"/>
      <c r="F369" s="549"/>
      <c r="G369" s="545"/>
      <c r="H369" s="545"/>
      <c r="I369" s="344"/>
      <c r="J369" s="344"/>
      <c r="K369" s="344"/>
      <c r="L369" s="344"/>
      <c r="M369" s="344"/>
      <c r="N369" s="344"/>
      <c r="O369" s="344"/>
      <c r="P369" s="344"/>
      <c r="Q369" s="344"/>
      <c r="R369" s="344"/>
      <c r="S369" s="344"/>
      <c r="T369" s="344"/>
      <c r="U369" s="344"/>
      <c r="V369" s="344"/>
      <c r="W369" s="344"/>
      <c r="X369" s="344"/>
      <c r="Y369" s="344"/>
      <c r="Z369" s="344"/>
      <c r="AA369" s="344"/>
      <c r="AB369" s="344"/>
      <c r="AC369" s="344"/>
      <c r="AD369" s="344"/>
    </row>
    <row r="370">
      <c r="A370" s="344"/>
      <c r="B370" s="548"/>
      <c r="C370" s="548"/>
      <c r="D370" s="344"/>
      <c r="E370" s="344"/>
      <c r="F370" s="549"/>
      <c r="G370" s="545"/>
      <c r="H370" s="545"/>
      <c r="I370" s="344"/>
      <c r="J370" s="344"/>
      <c r="K370" s="344"/>
      <c r="L370" s="344"/>
      <c r="M370" s="344"/>
      <c r="N370" s="344"/>
      <c r="O370" s="344"/>
      <c r="P370" s="344"/>
      <c r="Q370" s="344"/>
      <c r="R370" s="344"/>
      <c r="S370" s="344"/>
      <c r="T370" s="344"/>
      <c r="U370" s="344"/>
      <c r="V370" s="344"/>
      <c r="W370" s="344"/>
      <c r="X370" s="344"/>
      <c r="Y370" s="344"/>
      <c r="Z370" s="344"/>
      <c r="AA370" s="344"/>
      <c r="AB370" s="344"/>
      <c r="AC370" s="344"/>
      <c r="AD370" s="344"/>
    </row>
    <row r="371">
      <c r="A371" s="344"/>
      <c r="B371" s="548"/>
      <c r="C371" s="548"/>
      <c r="D371" s="344"/>
      <c r="E371" s="344"/>
      <c r="F371" s="549"/>
      <c r="G371" s="545"/>
      <c r="H371" s="545"/>
      <c r="I371" s="344"/>
      <c r="J371" s="344"/>
      <c r="K371" s="344"/>
      <c r="L371" s="344"/>
      <c r="M371" s="344"/>
      <c r="N371" s="344"/>
      <c r="O371" s="344"/>
      <c r="P371" s="344"/>
      <c r="Q371" s="344"/>
      <c r="R371" s="344"/>
      <c r="S371" s="344"/>
      <c r="T371" s="344"/>
      <c r="U371" s="344"/>
      <c r="V371" s="344"/>
      <c r="W371" s="344"/>
      <c r="X371" s="344"/>
      <c r="Y371" s="344"/>
      <c r="Z371" s="344"/>
      <c r="AA371" s="344"/>
      <c r="AB371" s="344"/>
      <c r="AC371" s="344"/>
      <c r="AD371" s="344"/>
    </row>
    <row r="372">
      <c r="A372" s="344"/>
      <c r="B372" s="548"/>
      <c r="C372" s="548"/>
      <c r="D372" s="344"/>
      <c r="E372" s="344"/>
      <c r="F372" s="549"/>
      <c r="G372" s="545"/>
      <c r="H372" s="545"/>
      <c r="I372" s="344"/>
      <c r="J372" s="344"/>
      <c r="K372" s="344"/>
      <c r="L372" s="344"/>
      <c r="M372" s="344"/>
      <c r="N372" s="344"/>
      <c r="O372" s="344"/>
      <c r="P372" s="344"/>
      <c r="Q372" s="344"/>
      <c r="R372" s="344"/>
      <c r="S372" s="344"/>
      <c r="T372" s="344"/>
      <c r="U372" s="344"/>
      <c r="V372" s="344"/>
      <c r="W372" s="344"/>
      <c r="X372" s="344"/>
      <c r="Y372" s="344"/>
      <c r="Z372" s="344"/>
      <c r="AA372" s="344"/>
      <c r="AB372" s="344"/>
      <c r="AC372" s="344"/>
      <c r="AD372" s="344"/>
    </row>
    <row r="373">
      <c r="A373" s="344"/>
      <c r="B373" s="548"/>
      <c r="C373" s="548"/>
      <c r="D373" s="344"/>
      <c r="E373" s="344"/>
      <c r="F373" s="549"/>
      <c r="G373" s="545"/>
      <c r="H373" s="545"/>
      <c r="I373" s="344"/>
      <c r="J373" s="344"/>
      <c r="K373" s="344"/>
      <c r="L373" s="344"/>
      <c r="M373" s="344"/>
      <c r="N373" s="344"/>
      <c r="O373" s="344"/>
      <c r="P373" s="344"/>
      <c r="Q373" s="344"/>
      <c r="R373" s="344"/>
      <c r="S373" s="344"/>
      <c r="T373" s="344"/>
      <c r="U373" s="344"/>
      <c r="V373" s="344"/>
      <c r="W373" s="344"/>
      <c r="X373" s="344"/>
      <c r="Y373" s="344"/>
      <c r="Z373" s="344"/>
      <c r="AA373" s="344"/>
      <c r="AB373" s="344"/>
      <c r="AC373" s="344"/>
      <c r="AD373" s="344"/>
    </row>
    <row r="374">
      <c r="A374" s="344"/>
      <c r="B374" s="548"/>
      <c r="C374" s="548"/>
      <c r="D374" s="344"/>
      <c r="E374" s="344"/>
      <c r="F374" s="549"/>
      <c r="G374" s="545"/>
      <c r="H374" s="545"/>
      <c r="I374" s="344"/>
      <c r="J374" s="344"/>
      <c r="K374" s="344"/>
      <c r="L374" s="344"/>
      <c r="M374" s="344"/>
      <c r="N374" s="344"/>
      <c r="O374" s="344"/>
      <c r="P374" s="344"/>
      <c r="Q374" s="344"/>
      <c r="R374" s="344"/>
      <c r="S374" s="344"/>
      <c r="T374" s="344"/>
      <c r="U374" s="344"/>
      <c r="V374" s="344"/>
      <c r="W374" s="344"/>
      <c r="X374" s="344"/>
      <c r="Y374" s="344"/>
      <c r="Z374" s="344"/>
      <c r="AA374" s="344"/>
      <c r="AB374" s="344"/>
      <c r="AC374" s="344"/>
      <c r="AD374" s="344"/>
    </row>
    <row r="375">
      <c r="A375" s="344"/>
      <c r="B375" s="548"/>
      <c r="C375" s="548"/>
      <c r="D375" s="344"/>
      <c r="E375" s="344"/>
      <c r="F375" s="549"/>
      <c r="G375" s="545"/>
      <c r="H375" s="545"/>
      <c r="I375" s="344"/>
      <c r="J375" s="344"/>
      <c r="K375" s="344"/>
      <c r="L375" s="344"/>
      <c r="M375" s="344"/>
      <c r="N375" s="344"/>
      <c r="O375" s="344"/>
      <c r="P375" s="344"/>
      <c r="Q375" s="344"/>
      <c r="R375" s="344"/>
      <c r="S375" s="344"/>
      <c r="T375" s="344"/>
      <c r="U375" s="344"/>
      <c r="V375" s="344"/>
      <c r="W375" s="344"/>
      <c r="X375" s="344"/>
      <c r="Y375" s="344"/>
      <c r="Z375" s="344"/>
      <c r="AA375" s="344"/>
      <c r="AB375" s="344"/>
      <c r="AC375" s="344"/>
      <c r="AD375" s="344"/>
    </row>
    <row r="376">
      <c r="A376" s="344"/>
      <c r="B376" s="548"/>
      <c r="C376" s="548"/>
      <c r="D376" s="344"/>
      <c r="E376" s="344"/>
      <c r="F376" s="549"/>
      <c r="G376" s="545"/>
      <c r="H376" s="545"/>
      <c r="I376" s="344"/>
      <c r="J376" s="344"/>
      <c r="K376" s="344"/>
      <c r="L376" s="344"/>
      <c r="M376" s="344"/>
      <c r="N376" s="344"/>
      <c r="O376" s="344"/>
      <c r="P376" s="344"/>
      <c r="Q376" s="344"/>
      <c r="R376" s="344"/>
      <c r="S376" s="344"/>
      <c r="T376" s="344"/>
      <c r="U376" s="344"/>
      <c r="V376" s="344"/>
      <c r="W376" s="344"/>
      <c r="X376" s="344"/>
      <c r="Y376" s="344"/>
      <c r="Z376" s="344"/>
      <c r="AA376" s="344"/>
      <c r="AB376" s="344"/>
      <c r="AC376" s="344"/>
      <c r="AD376" s="344"/>
    </row>
    <row r="377">
      <c r="A377" s="344"/>
      <c r="B377" s="548"/>
      <c r="C377" s="548"/>
      <c r="D377" s="344"/>
      <c r="E377" s="344"/>
      <c r="F377" s="549"/>
      <c r="G377" s="545"/>
      <c r="H377" s="545"/>
      <c r="I377" s="344"/>
      <c r="J377" s="344"/>
      <c r="K377" s="344"/>
      <c r="L377" s="344"/>
      <c r="M377" s="344"/>
      <c r="N377" s="344"/>
      <c r="O377" s="344"/>
      <c r="P377" s="344"/>
      <c r="Q377" s="344"/>
      <c r="R377" s="344"/>
      <c r="S377" s="344"/>
      <c r="T377" s="344"/>
      <c r="U377" s="344"/>
      <c r="V377" s="344"/>
      <c r="W377" s="344"/>
      <c r="X377" s="344"/>
      <c r="Y377" s="344"/>
      <c r="Z377" s="344"/>
      <c r="AA377" s="344"/>
      <c r="AB377" s="344"/>
      <c r="AC377" s="344"/>
      <c r="AD377" s="344"/>
    </row>
    <row r="378">
      <c r="A378" s="344"/>
      <c r="B378" s="548"/>
      <c r="C378" s="548"/>
      <c r="D378" s="344"/>
      <c r="E378" s="344"/>
      <c r="F378" s="549"/>
      <c r="G378" s="545"/>
      <c r="H378" s="545"/>
      <c r="I378" s="344"/>
      <c r="J378" s="344"/>
      <c r="K378" s="344"/>
      <c r="L378" s="344"/>
      <c r="M378" s="344"/>
      <c r="N378" s="344"/>
      <c r="O378" s="344"/>
      <c r="P378" s="344"/>
      <c r="Q378" s="344"/>
      <c r="R378" s="344"/>
      <c r="S378" s="344"/>
      <c r="T378" s="344"/>
      <c r="U378" s="344"/>
      <c r="V378" s="344"/>
      <c r="W378" s="344"/>
      <c r="X378" s="344"/>
      <c r="Y378" s="344"/>
      <c r="Z378" s="344"/>
      <c r="AA378" s="344"/>
      <c r="AB378" s="344"/>
      <c r="AC378" s="344"/>
      <c r="AD378" s="344"/>
    </row>
    <row r="379">
      <c r="A379" s="344"/>
      <c r="B379" s="548"/>
      <c r="C379" s="548"/>
      <c r="D379" s="344"/>
      <c r="E379" s="344"/>
      <c r="F379" s="549"/>
      <c r="G379" s="545"/>
      <c r="H379" s="545"/>
      <c r="I379" s="344"/>
      <c r="J379" s="344"/>
      <c r="K379" s="344"/>
      <c r="L379" s="344"/>
      <c r="M379" s="344"/>
      <c r="N379" s="344"/>
      <c r="O379" s="344"/>
      <c r="P379" s="344"/>
      <c r="Q379" s="344"/>
      <c r="R379" s="344"/>
      <c r="S379" s="344"/>
      <c r="T379" s="344"/>
      <c r="U379" s="344"/>
      <c r="V379" s="344"/>
      <c r="W379" s="344"/>
      <c r="X379" s="344"/>
      <c r="Y379" s="344"/>
      <c r="Z379" s="344"/>
      <c r="AA379" s="344"/>
      <c r="AB379" s="344"/>
      <c r="AC379" s="344"/>
      <c r="AD379" s="344"/>
    </row>
    <row r="380">
      <c r="A380" s="344"/>
      <c r="B380" s="548"/>
      <c r="C380" s="548"/>
      <c r="D380" s="344"/>
      <c r="E380" s="344"/>
      <c r="F380" s="549"/>
      <c r="G380" s="545"/>
      <c r="H380" s="545"/>
      <c r="I380" s="344"/>
      <c r="J380" s="344"/>
      <c r="K380" s="344"/>
      <c r="L380" s="344"/>
      <c r="M380" s="344"/>
      <c r="N380" s="344"/>
      <c r="O380" s="344"/>
      <c r="P380" s="344"/>
      <c r="Q380" s="344"/>
      <c r="R380" s="344"/>
      <c r="S380" s="344"/>
      <c r="T380" s="344"/>
      <c r="U380" s="344"/>
      <c r="V380" s="344"/>
      <c r="W380" s="344"/>
      <c r="X380" s="344"/>
      <c r="Y380" s="344"/>
      <c r="Z380" s="344"/>
      <c r="AA380" s="344"/>
      <c r="AB380" s="344"/>
      <c r="AC380" s="344"/>
      <c r="AD380" s="344"/>
    </row>
    <row r="381">
      <c r="A381" s="344"/>
      <c r="B381" s="548"/>
      <c r="C381" s="548"/>
      <c r="D381" s="344"/>
      <c r="E381" s="344"/>
      <c r="F381" s="549"/>
      <c r="G381" s="545"/>
      <c r="H381" s="545"/>
      <c r="I381" s="344"/>
      <c r="J381" s="344"/>
      <c r="K381" s="344"/>
      <c r="L381" s="344"/>
      <c r="M381" s="344"/>
      <c r="N381" s="344"/>
      <c r="O381" s="344"/>
      <c r="P381" s="344"/>
      <c r="Q381" s="344"/>
      <c r="R381" s="344"/>
      <c r="S381" s="344"/>
      <c r="T381" s="344"/>
      <c r="U381" s="344"/>
      <c r="V381" s="344"/>
      <c r="W381" s="344"/>
      <c r="X381" s="344"/>
      <c r="Y381" s="344"/>
      <c r="Z381" s="344"/>
      <c r="AA381" s="344"/>
      <c r="AB381" s="344"/>
      <c r="AC381" s="344"/>
      <c r="AD381" s="344"/>
    </row>
    <row r="382">
      <c r="A382" s="344"/>
      <c r="B382" s="548"/>
      <c r="C382" s="548"/>
      <c r="D382" s="344"/>
      <c r="E382" s="344"/>
      <c r="F382" s="549"/>
      <c r="G382" s="545"/>
      <c r="H382" s="545"/>
      <c r="I382" s="344"/>
      <c r="J382" s="344"/>
      <c r="K382" s="344"/>
      <c r="L382" s="344"/>
      <c r="M382" s="344"/>
      <c r="N382" s="344"/>
      <c r="O382" s="344"/>
      <c r="P382" s="344"/>
      <c r="Q382" s="344"/>
      <c r="R382" s="344"/>
      <c r="S382" s="344"/>
      <c r="T382" s="344"/>
      <c r="U382" s="344"/>
      <c r="V382" s="344"/>
      <c r="W382" s="344"/>
      <c r="X382" s="344"/>
      <c r="Y382" s="344"/>
      <c r="Z382" s="344"/>
      <c r="AA382" s="344"/>
      <c r="AB382" s="344"/>
      <c r="AC382" s="344"/>
      <c r="AD382" s="344"/>
    </row>
    <row r="383">
      <c r="A383" s="344"/>
      <c r="B383" s="548"/>
      <c r="C383" s="548"/>
      <c r="D383" s="344"/>
      <c r="E383" s="344"/>
      <c r="F383" s="549"/>
      <c r="G383" s="545"/>
      <c r="H383" s="545"/>
      <c r="I383" s="344"/>
      <c r="J383" s="344"/>
      <c r="K383" s="344"/>
      <c r="L383" s="344"/>
      <c r="M383" s="344"/>
      <c r="N383" s="344"/>
      <c r="O383" s="344"/>
      <c r="P383" s="344"/>
      <c r="Q383" s="344"/>
      <c r="R383" s="344"/>
      <c r="S383" s="344"/>
      <c r="T383" s="344"/>
      <c r="U383" s="344"/>
      <c r="V383" s="344"/>
      <c r="W383" s="344"/>
      <c r="X383" s="344"/>
      <c r="Y383" s="344"/>
      <c r="Z383" s="344"/>
      <c r="AA383" s="344"/>
      <c r="AB383" s="344"/>
      <c r="AC383" s="344"/>
      <c r="AD383" s="344"/>
    </row>
    <row r="384">
      <c r="A384" s="344"/>
      <c r="B384" s="548"/>
      <c r="C384" s="548"/>
      <c r="D384" s="344"/>
      <c r="E384" s="344"/>
      <c r="F384" s="549"/>
      <c r="G384" s="545"/>
      <c r="H384" s="545"/>
      <c r="I384" s="344"/>
      <c r="J384" s="344"/>
      <c r="K384" s="344"/>
      <c r="L384" s="344"/>
      <c r="M384" s="344"/>
      <c r="N384" s="344"/>
      <c r="O384" s="344"/>
      <c r="P384" s="344"/>
      <c r="Q384" s="344"/>
      <c r="R384" s="344"/>
      <c r="S384" s="344"/>
      <c r="T384" s="344"/>
      <c r="U384" s="344"/>
      <c r="V384" s="344"/>
      <c r="W384" s="344"/>
      <c r="X384" s="344"/>
      <c r="Y384" s="344"/>
      <c r="Z384" s="344"/>
      <c r="AA384" s="344"/>
      <c r="AB384" s="344"/>
      <c r="AC384" s="344"/>
      <c r="AD384" s="344"/>
    </row>
    <row r="385">
      <c r="A385" s="344"/>
      <c r="B385" s="548"/>
      <c r="C385" s="548"/>
      <c r="D385" s="344"/>
      <c r="E385" s="344"/>
      <c r="F385" s="549"/>
      <c r="G385" s="545"/>
      <c r="H385" s="545"/>
      <c r="I385" s="344"/>
      <c r="J385" s="344"/>
      <c r="K385" s="344"/>
      <c r="L385" s="344"/>
      <c r="M385" s="344"/>
      <c r="N385" s="344"/>
      <c r="O385" s="344"/>
      <c r="P385" s="344"/>
      <c r="Q385" s="344"/>
      <c r="R385" s="344"/>
      <c r="S385" s="344"/>
      <c r="T385" s="344"/>
      <c r="U385" s="344"/>
      <c r="V385" s="344"/>
      <c r="W385" s="344"/>
      <c r="X385" s="344"/>
      <c r="Y385" s="344"/>
      <c r="Z385" s="344"/>
      <c r="AA385" s="344"/>
      <c r="AB385" s="344"/>
      <c r="AC385" s="344"/>
      <c r="AD385" s="344"/>
    </row>
    <row r="386">
      <c r="A386" s="344"/>
      <c r="B386" s="548"/>
      <c r="C386" s="548"/>
      <c r="D386" s="344"/>
      <c r="E386" s="344"/>
      <c r="F386" s="549"/>
      <c r="G386" s="545"/>
      <c r="H386" s="545"/>
      <c r="I386" s="344"/>
      <c r="J386" s="344"/>
      <c r="K386" s="344"/>
      <c r="L386" s="344"/>
      <c r="M386" s="344"/>
      <c r="N386" s="344"/>
      <c r="O386" s="344"/>
      <c r="P386" s="344"/>
      <c r="Q386" s="344"/>
      <c r="R386" s="344"/>
      <c r="S386" s="344"/>
      <c r="T386" s="344"/>
      <c r="U386" s="344"/>
      <c r="V386" s="344"/>
      <c r="W386" s="344"/>
      <c r="X386" s="344"/>
      <c r="Y386" s="344"/>
      <c r="Z386" s="344"/>
      <c r="AA386" s="344"/>
      <c r="AB386" s="344"/>
      <c r="AC386" s="344"/>
      <c r="AD386" s="344"/>
    </row>
    <row r="387">
      <c r="A387" s="344"/>
      <c r="B387" s="548"/>
      <c r="C387" s="548"/>
      <c r="D387" s="344"/>
      <c r="E387" s="344"/>
      <c r="F387" s="549"/>
      <c r="G387" s="545"/>
      <c r="H387" s="545"/>
      <c r="I387" s="344"/>
      <c r="J387" s="344"/>
      <c r="K387" s="344"/>
      <c r="L387" s="344"/>
      <c r="M387" s="344"/>
      <c r="N387" s="344"/>
      <c r="O387" s="344"/>
      <c r="P387" s="344"/>
      <c r="Q387" s="344"/>
      <c r="R387" s="344"/>
      <c r="S387" s="344"/>
      <c r="T387" s="344"/>
      <c r="U387" s="344"/>
      <c r="V387" s="344"/>
      <c r="W387" s="344"/>
      <c r="X387" s="344"/>
      <c r="Y387" s="344"/>
      <c r="Z387" s="344"/>
      <c r="AA387" s="344"/>
      <c r="AB387" s="344"/>
      <c r="AC387" s="344"/>
      <c r="AD387" s="344"/>
    </row>
    <row r="388">
      <c r="A388" s="344"/>
      <c r="B388" s="548"/>
      <c r="C388" s="548"/>
      <c r="D388" s="344"/>
      <c r="E388" s="344"/>
      <c r="F388" s="549"/>
      <c r="G388" s="545"/>
      <c r="H388" s="545"/>
      <c r="I388" s="344"/>
      <c r="J388" s="344"/>
      <c r="K388" s="344"/>
      <c r="L388" s="344"/>
      <c r="M388" s="344"/>
      <c r="N388" s="344"/>
      <c r="O388" s="344"/>
      <c r="P388" s="344"/>
      <c r="Q388" s="344"/>
      <c r="R388" s="344"/>
      <c r="S388" s="344"/>
      <c r="T388" s="344"/>
      <c r="U388" s="344"/>
      <c r="V388" s="344"/>
      <c r="W388" s="344"/>
      <c r="X388" s="344"/>
      <c r="Y388" s="344"/>
      <c r="Z388" s="344"/>
      <c r="AA388" s="344"/>
      <c r="AB388" s="344"/>
      <c r="AC388" s="344"/>
      <c r="AD388" s="344"/>
    </row>
    <row r="389">
      <c r="A389" s="344"/>
      <c r="B389" s="548"/>
      <c r="C389" s="548"/>
      <c r="D389" s="344"/>
      <c r="E389" s="344"/>
      <c r="F389" s="549"/>
      <c r="G389" s="545"/>
      <c r="H389" s="545"/>
      <c r="I389" s="344"/>
      <c r="J389" s="344"/>
      <c r="K389" s="344"/>
      <c r="L389" s="344"/>
      <c r="M389" s="344"/>
      <c r="N389" s="344"/>
      <c r="O389" s="344"/>
      <c r="P389" s="344"/>
      <c r="Q389" s="344"/>
      <c r="R389" s="344"/>
      <c r="S389" s="344"/>
      <c r="T389" s="344"/>
      <c r="U389" s="344"/>
      <c r="V389" s="344"/>
      <c r="W389" s="344"/>
      <c r="X389" s="344"/>
      <c r="Y389" s="344"/>
      <c r="Z389" s="344"/>
      <c r="AA389" s="344"/>
      <c r="AB389" s="344"/>
      <c r="AC389" s="344"/>
      <c r="AD389" s="344"/>
    </row>
    <row r="390">
      <c r="A390" s="344"/>
      <c r="B390" s="548"/>
      <c r="C390" s="548"/>
      <c r="D390" s="344"/>
      <c r="E390" s="344"/>
      <c r="F390" s="549"/>
      <c r="G390" s="545"/>
      <c r="H390" s="545"/>
      <c r="I390" s="344"/>
      <c r="J390" s="344"/>
      <c r="K390" s="344"/>
      <c r="L390" s="344"/>
      <c r="M390" s="344"/>
      <c r="N390" s="344"/>
      <c r="O390" s="344"/>
      <c r="P390" s="344"/>
      <c r="Q390" s="344"/>
      <c r="R390" s="344"/>
      <c r="S390" s="344"/>
      <c r="T390" s="344"/>
      <c r="U390" s="344"/>
      <c r="V390" s="344"/>
      <c r="W390" s="344"/>
      <c r="X390" s="344"/>
      <c r="Y390" s="344"/>
      <c r="Z390" s="344"/>
      <c r="AA390" s="344"/>
      <c r="AB390" s="344"/>
      <c r="AC390" s="344"/>
      <c r="AD390" s="344"/>
    </row>
    <row r="391">
      <c r="A391" s="344"/>
      <c r="B391" s="548"/>
      <c r="C391" s="548"/>
      <c r="D391" s="344"/>
      <c r="E391" s="344"/>
      <c r="F391" s="549"/>
      <c r="G391" s="545"/>
      <c r="H391" s="545"/>
      <c r="I391" s="344"/>
      <c r="J391" s="344"/>
      <c r="K391" s="344"/>
      <c r="L391" s="344"/>
      <c r="M391" s="344"/>
      <c r="N391" s="344"/>
      <c r="O391" s="344"/>
      <c r="P391" s="344"/>
      <c r="Q391" s="344"/>
      <c r="R391" s="344"/>
      <c r="S391" s="344"/>
      <c r="T391" s="344"/>
      <c r="U391" s="344"/>
      <c r="V391" s="344"/>
      <c r="W391" s="344"/>
      <c r="X391" s="344"/>
      <c r="Y391" s="344"/>
      <c r="Z391" s="344"/>
      <c r="AA391" s="344"/>
      <c r="AB391" s="344"/>
      <c r="AC391" s="344"/>
      <c r="AD391" s="344"/>
    </row>
    <row r="392">
      <c r="A392" s="344"/>
      <c r="B392" s="548"/>
      <c r="C392" s="548"/>
      <c r="D392" s="344"/>
      <c r="E392" s="344"/>
      <c r="F392" s="549"/>
      <c r="G392" s="545"/>
      <c r="H392" s="545"/>
      <c r="I392" s="344"/>
      <c r="J392" s="344"/>
      <c r="K392" s="344"/>
      <c r="L392" s="344"/>
      <c r="M392" s="344"/>
      <c r="N392" s="344"/>
      <c r="O392" s="344"/>
      <c r="P392" s="344"/>
      <c r="Q392" s="344"/>
      <c r="R392" s="344"/>
      <c r="S392" s="344"/>
      <c r="T392" s="344"/>
      <c r="U392" s="344"/>
      <c r="V392" s="344"/>
      <c r="W392" s="344"/>
      <c r="X392" s="344"/>
      <c r="Y392" s="344"/>
      <c r="Z392" s="344"/>
      <c r="AA392" s="344"/>
      <c r="AB392" s="344"/>
      <c r="AC392" s="344"/>
      <c r="AD392" s="344"/>
    </row>
    <row r="393">
      <c r="A393" s="344"/>
      <c r="B393" s="548"/>
      <c r="C393" s="548"/>
      <c r="D393" s="344"/>
      <c r="E393" s="344"/>
      <c r="F393" s="549"/>
      <c r="G393" s="545"/>
      <c r="H393" s="545"/>
      <c r="I393" s="344"/>
      <c r="J393" s="344"/>
      <c r="K393" s="344"/>
      <c r="L393" s="344"/>
      <c r="M393" s="344"/>
      <c r="N393" s="344"/>
      <c r="O393" s="344"/>
      <c r="P393" s="344"/>
      <c r="Q393" s="344"/>
      <c r="R393" s="344"/>
      <c r="S393" s="344"/>
      <c r="T393" s="344"/>
      <c r="U393" s="344"/>
      <c r="V393" s="344"/>
      <c r="W393" s="344"/>
      <c r="X393" s="344"/>
      <c r="Y393" s="344"/>
      <c r="Z393" s="344"/>
      <c r="AA393" s="344"/>
      <c r="AB393" s="344"/>
      <c r="AC393" s="344"/>
      <c r="AD393" s="344"/>
    </row>
    <row r="394">
      <c r="A394" s="344"/>
      <c r="B394" s="548"/>
      <c r="C394" s="548"/>
      <c r="D394" s="344"/>
      <c r="E394" s="344"/>
      <c r="F394" s="549"/>
      <c r="G394" s="545"/>
      <c r="H394" s="545"/>
      <c r="I394" s="344"/>
      <c r="J394" s="344"/>
      <c r="K394" s="344"/>
      <c r="L394" s="344"/>
      <c r="M394" s="344"/>
      <c r="N394" s="344"/>
      <c r="O394" s="344"/>
      <c r="P394" s="344"/>
      <c r="Q394" s="344"/>
      <c r="R394" s="344"/>
      <c r="S394" s="344"/>
      <c r="T394" s="344"/>
      <c r="U394" s="344"/>
      <c r="V394" s="344"/>
      <c r="W394" s="344"/>
      <c r="X394" s="344"/>
      <c r="Y394" s="344"/>
      <c r="Z394" s="344"/>
      <c r="AA394" s="344"/>
      <c r="AB394" s="344"/>
      <c r="AC394" s="344"/>
      <c r="AD394" s="344"/>
    </row>
    <row r="395">
      <c r="A395" s="344"/>
      <c r="B395" s="548"/>
      <c r="C395" s="548"/>
      <c r="D395" s="344"/>
      <c r="E395" s="344"/>
      <c r="F395" s="549"/>
      <c r="G395" s="545"/>
      <c r="H395" s="545"/>
      <c r="I395" s="344"/>
      <c r="J395" s="344"/>
      <c r="K395" s="344"/>
      <c r="L395" s="344"/>
      <c r="M395" s="344"/>
      <c r="N395" s="344"/>
      <c r="O395" s="344"/>
      <c r="P395" s="344"/>
      <c r="Q395" s="344"/>
      <c r="R395" s="344"/>
      <c r="S395" s="344"/>
      <c r="T395" s="344"/>
      <c r="U395" s="344"/>
      <c r="V395" s="344"/>
      <c r="W395" s="344"/>
      <c r="X395" s="344"/>
      <c r="Y395" s="344"/>
      <c r="Z395" s="344"/>
      <c r="AA395" s="344"/>
      <c r="AB395" s="344"/>
      <c r="AC395" s="344"/>
      <c r="AD395" s="344"/>
    </row>
    <row r="396">
      <c r="A396" s="344"/>
      <c r="B396" s="548"/>
      <c r="C396" s="548"/>
      <c r="D396" s="344"/>
      <c r="E396" s="344"/>
      <c r="F396" s="549"/>
      <c r="G396" s="545"/>
      <c r="H396" s="545"/>
      <c r="I396" s="344"/>
      <c r="J396" s="344"/>
      <c r="K396" s="344"/>
      <c r="L396" s="344"/>
      <c r="M396" s="344"/>
      <c r="N396" s="344"/>
      <c r="O396" s="344"/>
      <c r="P396" s="344"/>
      <c r="Q396" s="344"/>
      <c r="R396" s="344"/>
      <c r="S396" s="344"/>
      <c r="T396" s="344"/>
      <c r="U396" s="344"/>
      <c r="V396" s="344"/>
      <c r="W396" s="344"/>
      <c r="X396" s="344"/>
      <c r="Y396" s="344"/>
      <c r="Z396" s="344"/>
      <c r="AA396" s="344"/>
      <c r="AB396" s="344"/>
      <c r="AC396" s="344"/>
      <c r="AD396" s="344"/>
    </row>
    <row r="397">
      <c r="A397" s="344"/>
      <c r="B397" s="548"/>
      <c r="C397" s="548"/>
      <c r="D397" s="344"/>
      <c r="E397" s="344"/>
      <c r="F397" s="549"/>
      <c r="G397" s="545"/>
      <c r="H397" s="545"/>
      <c r="I397" s="344"/>
      <c r="J397" s="344"/>
      <c r="K397" s="344"/>
      <c r="L397" s="344"/>
      <c r="M397" s="344"/>
      <c r="N397" s="344"/>
      <c r="O397" s="344"/>
      <c r="P397" s="344"/>
      <c r="Q397" s="344"/>
      <c r="R397" s="344"/>
      <c r="S397" s="344"/>
      <c r="T397" s="344"/>
      <c r="U397" s="344"/>
      <c r="V397" s="344"/>
      <c r="W397" s="344"/>
      <c r="X397" s="344"/>
      <c r="Y397" s="344"/>
      <c r="Z397" s="344"/>
      <c r="AA397" s="344"/>
      <c r="AB397" s="344"/>
      <c r="AC397" s="344"/>
      <c r="AD397" s="344"/>
    </row>
    <row r="398">
      <c r="A398" s="344"/>
      <c r="B398" s="548"/>
      <c r="C398" s="548"/>
      <c r="D398" s="344"/>
      <c r="E398" s="344"/>
      <c r="F398" s="549"/>
      <c r="G398" s="545"/>
      <c r="H398" s="545"/>
      <c r="I398" s="344"/>
      <c r="J398" s="344"/>
      <c r="K398" s="344"/>
      <c r="L398" s="344"/>
      <c r="M398" s="344"/>
      <c r="N398" s="344"/>
      <c r="O398" s="344"/>
      <c r="P398" s="344"/>
      <c r="Q398" s="344"/>
      <c r="R398" s="344"/>
      <c r="S398" s="344"/>
      <c r="T398" s="344"/>
      <c r="U398" s="344"/>
      <c r="V398" s="344"/>
      <c r="W398" s="344"/>
      <c r="X398" s="344"/>
      <c r="Y398" s="344"/>
      <c r="Z398" s="344"/>
      <c r="AA398" s="344"/>
      <c r="AB398" s="344"/>
      <c r="AC398" s="344"/>
      <c r="AD398" s="344"/>
    </row>
    <row r="399">
      <c r="A399" s="344"/>
      <c r="B399" s="548"/>
      <c r="C399" s="548"/>
      <c r="D399" s="344"/>
      <c r="E399" s="344"/>
      <c r="F399" s="549"/>
      <c r="G399" s="545"/>
      <c r="H399" s="545"/>
      <c r="I399" s="344"/>
      <c r="J399" s="344"/>
      <c r="K399" s="344"/>
      <c r="L399" s="344"/>
      <c r="M399" s="344"/>
      <c r="N399" s="344"/>
      <c r="O399" s="344"/>
      <c r="P399" s="344"/>
      <c r="Q399" s="344"/>
      <c r="R399" s="344"/>
      <c r="S399" s="344"/>
      <c r="T399" s="344"/>
      <c r="U399" s="344"/>
      <c r="V399" s="344"/>
      <c r="W399" s="344"/>
      <c r="X399" s="344"/>
      <c r="Y399" s="344"/>
      <c r="Z399" s="344"/>
      <c r="AA399" s="344"/>
      <c r="AB399" s="344"/>
      <c r="AC399" s="344"/>
      <c r="AD399" s="344"/>
    </row>
    <row r="400">
      <c r="A400" s="344"/>
      <c r="B400" s="548"/>
      <c r="C400" s="548"/>
      <c r="D400" s="344"/>
      <c r="E400" s="344"/>
      <c r="F400" s="549"/>
      <c r="G400" s="545"/>
      <c r="H400" s="545"/>
      <c r="I400" s="344"/>
      <c r="J400" s="344"/>
      <c r="K400" s="344"/>
      <c r="L400" s="344"/>
      <c r="M400" s="344"/>
      <c r="N400" s="344"/>
      <c r="O400" s="344"/>
      <c r="P400" s="344"/>
      <c r="Q400" s="344"/>
      <c r="R400" s="344"/>
      <c r="S400" s="344"/>
      <c r="T400" s="344"/>
      <c r="U400" s="344"/>
      <c r="V400" s="344"/>
      <c r="W400" s="344"/>
      <c r="X400" s="344"/>
      <c r="Y400" s="344"/>
      <c r="Z400" s="344"/>
      <c r="AA400" s="344"/>
      <c r="AB400" s="344"/>
      <c r="AC400" s="344"/>
      <c r="AD400" s="344"/>
    </row>
    <row r="401">
      <c r="A401" s="344"/>
      <c r="B401" s="548"/>
      <c r="C401" s="548"/>
      <c r="D401" s="344"/>
      <c r="E401" s="344"/>
      <c r="F401" s="549"/>
      <c r="G401" s="545"/>
      <c r="H401" s="545"/>
      <c r="I401" s="344"/>
      <c r="J401" s="344"/>
      <c r="K401" s="344"/>
      <c r="L401" s="344"/>
      <c r="M401" s="344"/>
      <c r="N401" s="344"/>
      <c r="O401" s="344"/>
      <c r="P401" s="344"/>
      <c r="Q401" s="344"/>
      <c r="R401" s="344"/>
      <c r="S401" s="344"/>
      <c r="T401" s="344"/>
      <c r="U401" s="344"/>
      <c r="V401" s="344"/>
      <c r="W401" s="344"/>
      <c r="X401" s="344"/>
      <c r="Y401" s="344"/>
      <c r="Z401" s="344"/>
      <c r="AA401" s="344"/>
      <c r="AB401" s="344"/>
      <c r="AC401" s="344"/>
      <c r="AD401" s="344"/>
    </row>
    <row r="402">
      <c r="A402" s="344"/>
      <c r="B402" s="548"/>
      <c r="C402" s="548"/>
      <c r="D402" s="344"/>
      <c r="E402" s="344"/>
      <c r="F402" s="549"/>
      <c r="G402" s="545"/>
      <c r="H402" s="545"/>
      <c r="I402" s="344"/>
      <c r="J402" s="344"/>
      <c r="K402" s="344"/>
      <c r="L402" s="344"/>
      <c r="M402" s="344"/>
      <c r="N402" s="344"/>
      <c r="O402" s="344"/>
      <c r="P402" s="344"/>
      <c r="Q402" s="344"/>
      <c r="R402" s="344"/>
      <c r="S402" s="344"/>
      <c r="T402" s="344"/>
      <c r="U402" s="344"/>
      <c r="V402" s="344"/>
      <c r="W402" s="344"/>
      <c r="X402" s="344"/>
      <c r="Y402" s="344"/>
      <c r="Z402" s="344"/>
      <c r="AA402" s="344"/>
      <c r="AB402" s="344"/>
      <c r="AC402" s="344"/>
      <c r="AD402" s="344"/>
    </row>
    <row r="403">
      <c r="A403" s="344"/>
      <c r="B403" s="548"/>
      <c r="C403" s="548"/>
      <c r="D403" s="344"/>
      <c r="E403" s="344"/>
      <c r="F403" s="549"/>
      <c r="G403" s="545"/>
      <c r="H403" s="545"/>
      <c r="I403" s="344"/>
      <c r="J403" s="344"/>
      <c r="K403" s="344"/>
      <c r="L403" s="344"/>
      <c r="M403" s="344"/>
      <c r="N403" s="344"/>
      <c r="O403" s="344"/>
      <c r="P403" s="344"/>
      <c r="Q403" s="344"/>
      <c r="R403" s="344"/>
      <c r="S403" s="344"/>
      <c r="T403" s="344"/>
      <c r="U403" s="344"/>
      <c r="V403" s="344"/>
      <c r="W403" s="344"/>
      <c r="X403" s="344"/>
      <c r="Y403" s="344"/>
      <c r="Z403" s="344"/>
      <c r="AA403" s="344"/>
      <c r="AB403" s="344"/>
      <c r="AC403" s="344"/>
      <c r="AD403" s="344"/>
    </row>
    <row r="404">
      <c r="A404" s="344"/>
      <c r="B404" s="548"/>
      <c r="C404" s="548"/>
      <c r="D404" s="344"/>
      <c r="E404" s="344"/>
      <c r="F404" s="549"/>
      <c r="G404" s="545"/>
      <c r="H404" s="545"/>
      <c r="I404" s="344"/>
      <c r="J404" s="344"/>
      <c r="K404" s="344"/>
      <c r="L404" s="344"/>
      <c r="M404" s="344"/>
      <c r="N404" s="344"/>
      <c r="O404" s="344"/>
      <c r="P404" s="344"/>
      <c r="Q404" s="344"/>
      <c r="R404" s="344"/>
      <c r="S404" s="344"/>
      <c r="T404" s="344"/>
      <c r="U404" s="344"/>
      <c r="V404" s="344"/>
      <c r="W404" s="344"/>
      <c r="X404" s="344"/>
      <c r="Y404" s="344"/>
      <c r="Z404" s="344"/>
      <c r="AA404" s="344"/>
      <c r="AB404" s="344"/>
      <c r="AC404" s="344"/>
      <c r="AD404" s="344"/>
    </row>
    <row r="405">
      <c r="A405" s="344"/>
      <c r="B405" s="548"/>
      <c r="C405" s="548"/>
      <c r="D405" s="344"/>
      <c r="E405" s="344"/>
      <c r="F405" s="549"/>
      <c r="G405" s="545"/>
      <c r="H405" s="545"/>
      <c r="I405" s="344"/>
      <c r="J405" s="344"/>
      <c r="K405" s="344"/>
      <c r="L405" s="344"/>
      <c r="M405" s="344"/>
      <c r="N405" s="344"/>
      <c r="O405" s="344"/>
      <c r="P405" s="344"/>
      <c r="Q405" s="344"/>
      <c r="R405" s="344"/>
      <c r="S405" s="344"/>
      <c r="T405" s="344"/>
      <c r="U405" s="344"/>
      <c r="V405" s="344"/>
      <c r="W405" s="344"/>
      <c r="X405" s="344"/>
      <c r="Y405" s="344"/>
      <c r="Z405" s="344"/>
      <c r="AA405" s="344"/>
      <c r="AB405" s="344"/>
      <c r="AC405" s="344"/>
      <c r="AD405" s="344"/>
    </row>
    <row r="406">
      <c r="A406" s="344"/>
      <c r="B406" s="548"/>
      <c r="C406" s="548"/>
      <c r="D406" s="344"/>
      <c r="E406" s="344"/>
      <c r="F406" s="549"/>
      <c r="G406" s="545"/>
      <c r="H406" s="545"/>
      <c r="I406" s="344"/>
      <c r="J406" s="344"/>
      <c r="K406" s="344"/>
      <c r="L406" s="344"/>
      <c r="M406" s="344"/>
      <c r="N406" s="344"/>
      <c r="O406" s="344"/>
      <c r="P406" s="344"/>
      <c r="Q406" s="344"/>
      <c r="R406" s="344"/>
      <c r="S406" s="344"/>
      <c r="T406" s="344"/>
      <c r="U406" s="344"/>
      <c r="V406" s="344"/>
      <c r="W406" s="344"/>
      <c r="X406" s="344"/>
      <c r="Y406" s="344"/>
      <c r="Z406" s="344"/>
      <c r="AA406" s="344"/>
      <c r="AB406" s="344"/>
      <c r="AC406" s="344"/>
      <c r="AD406" s="344"/>
    </row>
    <row r="407">
      <c r="A407" s="344"/>
      <c r="B407" s="548"/>
      <c r="C407" s="548"/>
      <c r="D407" s="344"/>
      <c r="E407" s="344"/>
      <c r="F407" s="549"/>
      <c r="G407" s="545"/>
      <c r="H407" s="545"/>
      <c r="I407" s="344"/>
      <c r="J407" s="344"/>
      <c r="K407" s="344"/>
      <c r="L407" s="344"/>
      <c r="M407" s="344"/>
      <c r="N407" s="344"/>
      <c r="O407" s="344"/>
      <c r="P407" s="344"/>
      <c r="Q407" s="344"/>
      <c r="R407" s="344"/>
      <c r="S407" s="344"/>
      <c r="T407" s="344"/>
      <c r="U407" s="344"/>
      <c r="V407" s="344"/>
      <c r="W407" s="344"/>
      <c r="X407" s="344"/>
      <c r="Y407" s="344"/>
      <c r="Z407" s="344"/>
      <c r="AA407" s="344"/>
      <c r="AB407" s="344"/>
      <c r="AC407" s="344"/>
      <c r="AD407" s="344"/>
    </row>
    <row r="408">
      <c r="A408" s="344"/>
      <c r="B408" s="548"/>
      <c r="C408" s="548"/>
      <c r="D408" s="344"/>
      <c r="E408" s="344"/>
      <c r="F408" s="549"/>
      <c r="G408" s="545"/>
      <c r="H408" s="545"/>
      <c r="I408" s="344"/>
      <c r="J408" s="344"/>
      <c r="K408" s="344"/>
      <c r="L408" s="344"/>
      <c r="M408" s="344"/>
      <c r="N408" s="344"/>
      <c r="O408" s="344"/>
      <c r="P408" s="344"/>
      <c r="Q408" s="344"/>
      <c r="R408" s="344"/>
      <c r="S408" s="344"/>
      <c r="T408" s="344"/>
      <c r="U408" s="344"/>
      <c r="V408" s="344"/>
      <c r="W408" s="344"/>
      <c r="X408" s="344"/>
      <c r="Y408" s="344"/>
      <c r="Z408" s="344"/>
      <c r="AA408" s="344"/>
      <c r="AB408" s="344"/>
      <c r="AC408" s="344"/>
      <c r="AD408" s="344"/>
    </row>
    <row r="409">
      <c r="A409" s="344"/>
      <c r="B409" s="548"/>
      <c r="C409" s="548"/>
      <c r="D409" s="344"/>
      <c r="E409" s="344"/>
      <c r="F409" s="549"/>
      <c r="G409" s="545"/>
      <c r="H409" s="545"/>
      <c r="I409" s="344"/>
      <c r="J409" s="344"/>
      <c r="K409" s="344"/>
      <c r="L409" s="344"/>
      <c r="M409" s="344"/>
      <c r="N409" s="344"/>
      <c r="O409" s="344"/>
      <c r="P409" s="344"/>
      <c r="Q409" s="344"/>
      <c r="R409" s="344"/>
      <c r="S409" s="344"/>
      <c r="T409" s="344"/>
      <c r="U409" s="344"/>
      <c r="V409" s="344"/>
      <c r="W409" s="344"/>
      <c r="X409" s="344"/>
      <c r="Y409" s="344"/>
      <c r="Z409" s="344"/>
      <c r="AA409" s="344"/>
      <c r="AB409" s="344"/>
      <c r="AC409" s="344"/>
      <c r="AD409" s="344"/>
    </row>
    <row r="410">
      <c r="A410" s="344"/>
      <c r="B410" s="548"/>
      <c r="C410" s="548"/>
      <c r="D410" s="344"/>
      <c r="E410" s="344"/>
      <c r="F410" s="549"/>
      <c r="G410" s="545"/>
      <c r="H410" s="545"/>
      <c r="I410" s="344"/>
      <c r="J410" s="344"/>
      <c r="K410" s="344"/>
      <c r="L410" s="344"/>
      <c r="M410" s="344"/>
      <c r="N410" s="344"/>
      <c r="O410" s="344"/>
      <c r="P410" s="344"/>
      <c r="Q410" s="344"/>
      <c r="R410" s="344"/>
      <c r="S410" s="344"/>
      <c r="T410" s="344"/>
      <c r="U410" s="344"/>
      <c r="V410" s="344"/>
      <c r="W410" s="344"/>
      <c r="X410" s="344"/>
      <c r="Y410" s="344"/>
      <c r="Z410" s="344"/>
      <c r="AA410" s="344"/>
      <c r="AB410" s="344"/>
      <c r="AC410" s="344"/>
      <c r="AD410" s="344"/>
    </row>
    <row r="411">
      <c r="A411" s="344"/>
      <c r="B411" s="548"/>
      <c r="C411" s="548"/>
      <c r="D411" s="344"/>
      <c r="E411" s="344"/>
      <c r="F411" s="549"/>
      <c r="G411" s="545"/>
      <c r="H411" s="545"/>
      <c r="I411" s="344"/>
      <c r="J411" s="344"/>
      <c r="K411" s="344"/>
      <c r="L411" s="344"/>
      <c r="M411" s="344"/>
      <c r="N411" s="344"/>
      <c r="O411" s="344"/>
      <c r="P411" s="344"/>
      <c r="Q411" s="344"/>
      <c r="R411" s="344"/>
      <c r="S411" s="344"/>
      <c r="T411" s="344"/>
      <c r="U411" s="344"/>
      <c r="V411" s="344"/>
      <c r="W411" s="344"/>
      <c r="X411" s="344"/>
      <c r="Y411" s="344"/>
      <c r="Z411" s="344"/>
      <c r="AA411" s="344"/>
      <c r="AB411" s="344"/>
      <c r="AC411" s="344"/>
      <c r="AD411" s="344"/>
    </row>
    <row r="412">
      <c r="A412" s="344"/>
      <c r="B412" s="548"/>
      <c r="C412" s="548"/>
      <c r="D412" s="344"/>
      <c r="E412" s="344"/>
      <c r="F412" s="549"/>
      <c r="G412" s="545"/>
      <c r="H412" s="545"/>
      <c r="I412" s="344"/>
      <c r="J412" s="344"/>
      <c r="K412" s="344"/>
      <c r="L412" s="344"/>
      <c r="M412" s="344"/>
      <c r="N412" s="344"/>
      <c r="O412" s="344"/>
      <c r="P412" s="344"/>
      <c r="Q412" s="344"/>
      <c r="R412" s="344"/>
      <c r="S412" s="344"/>
      <c r="T412" s="344"/>
      <c r="U412" s="344"/>
      <c r="V412" s="344"/>
      <c r="W412" s="344"/>
      <c r="X412" s="344"/>
      <c r="Y412" s="344"/>
      <c r="Z412" s="344"/>
      <c r="AA412" s="344"/>
      <c r="AB412" s="344"/>
      <c r="AC412" s="344"/>
      <c r="AD412" s="344"/>
    </row>
    <row r="413">
      <c r="A413" s="344"/>
      <c r="B413" s="548"/>
      <c r="C413" s="548"/>
      <c r="D413" s="344"/>
      <c r="E413" s="344"/>
      <c r="F413" s="549"/>
      <c r="G413" s="545"/>
      <c r="H413" s="545"/>
      <c r="I413" s="344"/>
      <c r="J413" s="344"/>
      <c r="K413" s="344"/>
      <c r="L413" s="344"/>
      <c r="M413" s="344"/>
      <c r="N413" s="344"/>
      <c r="O413" s="344"/>
      <c r="P413" s="344"/>
      <c r="Q413" s="344"/>
      <c r="R413" s="344"/>
      <c r="S413" s="344"/>
      <c r="T413" s="344"/>
      <c r="U413" s="344"/>
      <c r="V413" s="344"/>
      <c r="W413" s="344"/>
      <c r="X413" s="344"/>
      <c r="Y413" s="344"/>
      <c r="Z413" s="344"/>
      <c r="AA413" s="344"/>
      <c r="AB413" s="344"/>
      <c r="AC413" s="344"/>
      <c r="AD413" s="344"/>
    </row>
    <row r="414">
      <c r="A414" s="344"/>
      <c r="B414" s="548"/>
      <c r="C414" s="548"/>
      <c r="D414" s="344"/>
      <c r="E414" s="344"/>
      <c r="F414" s="549"/>
      <c r="G414" s="545"/>
      <c r="H414" s="545"/>
      <c r="I414" s="344"/>
      <c r="J414" s="344"/>
      <c r="K414" s="344"/>
      <c r="L414" s="344"/>
      <c r="M414" s="344"/>
      <c r="N414" s="344"/>
      <c r="O414" s="344"/>
      <c r="P414" s="344"/>
      <c r="Q414" s="344"/>
      <c r="R414" s="344"/>
      <c r="S414" s="344"/>
      <c r="T414" s="344"/>
      <c r="U414" s="344"/>
      <c r="V414" s="344"/>
      <c r="W414" s="344"/>
      <c r="X414" s="344"/>
      <c r="Y414" s="344"/>
      <c r="Z414" s="344"/>
      <c r="AA414" s="344"/>
      <c r="AB414" s="344"/>
      <c r="AC414" s="344"/>
      <c r="AD414" s="344"/>
    </row>
    <row r="415">
      <c r="A415" s="344"/>
      <c r="B415" s="548"/>
      <c r="C415" s="548"/>
      <c r="D415" s="344"/>
      <c r="E415" s="344"/>
      <c r="F415" s="549"/>
      <c r="G415" s="545"/>
      <c r="H415" s="545"/>
      <c r="I415" s="344"/>
      <c r="J415" s="344"/>
      <c r="K415" s="344"/>
      <c r="L415" s="344"/>
      <c r="M415" s="344"/>
      <c r="N415" s="344"/>
      <c r="O415" s="344"/>
      <c r="P415" s="344"/>
      <c r="Q415" s="344"/>
      <c r="R415" s="344"/>
      <c r="S415" s="344"/>
      <c r="T415" s="344"/>
      <c r="U415" s="344"/>
      <c r="V415" s="344"/>
      <c r="W415" s="344"/>
      <c r="X415" s="344"/>
      <c r="Y415" s="344"/>
      <c r="Z415" s="344"/>
      <c r="AA415" s="344"/>
      <c r="AB415" s="344"/>
      <c r="AC415" s="344"/>
      <c r="AD415" s="344"/>
    </row>
    <row r="416">
      <c r="A416" s="344"/>
      <c r="B416" s="548"/>
      <c r="C416" s="548"/>
      <c r="D416" s="344"/>
      <c r="E416" s="344"/>
      <c r="F416" s="549"/>
      <c r="G416" s="545"/>
      <c r="H416" s="545"/>
      <c r="I416" s="344"/>
      <c r="J416" s="344"/>
      <c r="K416" s="344"/>
      <c r="L416" s="344"/>
      <c r="M416" s="344"/>
      <c r="N416" s="344"/>
      <c r="O416" s="344"/>
      <c r="P416" s="344"/>
      <c r="Q416" s="344"/>
      <c r="R416" s="344"/>
      <c r="S416" s="344"/>
      <c r="T416" s="344"/>
      <c r="U416" s="344"/>
      <c r="V416" s="344"/>
      <c r="W416" s="344"/>
      <c r="X416" s="344"/>
      <c r="Y416" s="344"/>
      <c r="Z416" s="344"/>
      <c r="AA416" s="344"/>
      <c r="AB416" s="344"/>
      <c r="AC416" s="344"/>
      <c r="AD416" s="344"/>
    </row>
    <row r="417">
      <c r="A417" s="344"/>
      <c r="B417" s="548"/>
      <c r="C417" s="548"/>
      <c r="D417" s="344"/>
      <c r="E417" s="344"/>
      <c r="F417" s="549"/>
      <c r="G417" s="545"/>
      <c r="H417" s="545"/>
      <c r="I417" s="344"/>
      <c r="J417" s="344"/>
      <c r="K417" s="344"/>
      <c r="L417" s="344"/>
      <c r="M417" s="344"/>
      <c r="N417" s="344"/>
      <c r="O417" s="344"/>
      <c r="P417" s="344"/>
      <c r="Q417" s="344"/>
      <c r="R417" s="344"/>
      <c r="S417" s="344"/>
      <c r="T417" s="344"/>
      <c r="U417" s="344"/>
      <c r="V417" s="344"/>
      <c r="W417" s="344"/>
      <c r="X417" s="344"/>
      <c r="Y417" s="344"/>
      <c r="Z417" s="344"/>
      <c r="AA417" s="344"/>
      <c r="AB417" s="344"/>
      <c r="AC417" s="344"/>
      <c r="AD417" s="344"/>
    </row>
    <row r="418">
      <c r="A418" s="344"/>
      <c r="B418" s="548"/>
      <c r="C418" s="548"/>
      <c r="D418" s="344"/>
      <c r="E418" s="344"/>
      <c r="F418" s="549"/>
      <c r="G418" s="545"/>
      <c r="H418" s="545"/>
      <c r="I418" s="344"/>
      <c r="J418" s="344"/>
      <c r="K418" s="344"/>
      <c r="L418" s="344"/>
      <c r="M418" s="344"/>
      <c r="N418" s="344"/>
      <c r="O418" s="344"/>
      <c r="P418" s="344"/>
      <c r="Q418" s="344"/>
      <c r="R418" s="344"/>
      <c r="S418" s="344"/>
      <c r="T418" s="344"/>
      <c r="U418" s="344"/>
      <c r="V418" s="344"/>
      <c r="W418" s="344"/>
      <c r="X418" s="344"/>
      <c r="Y418" s="344"/>
      <c r="Z418" s="344"/>
      <c r="AA418" s="344"/>
      <c r="AB418" s="344"/>
      <c r="AC418" s="344"/>
      <c r="AD418" s="344"/>
    </row>
    <row r="419">
      <c r="A419" s="344"/>
      <c r="B419" s="548"/>
      <c r="C419" s="548"/>
      <c r="D419" s="344"/>
      <c r="E419" s="344"/>
      <c r="F419" s="549"/>
      <c r="G419" s="545"/>
      <c r="H419" s="545"/>
      <c r="I419" s="344"/>
      <c r="J419" s="344"/>
      <c r="K419" s="344"/>
      <c r="L419" s="344"/>
      <c r="M419" s="344"/>
      <c r="N419" s="344"/>
      <c r="O419" s="344"/>
      <c r="P419" s="344"/>
      <c r="Q419" s="344"/>
      <c r="R419" s="344"/>
      <c r="S419" s="344"/>
      <c r="T419" s="344"/>
      <c r="U419" s="344"/>
      <c r="V419" s="344"/>
      <c r="W419" s="344"/>
      <c r="X419" s="344"/>
      <c r="Y419" s="344"/>
      <c r="Z419" s="344"/>
      <c r="AA419" s="344"/>
      <c r="AB419" s="344"/>
      <c r="AC419" s="344"/>
      <c r="AD419" s="344"/>
    </row>
    <row r="420">
      <c r="A420" s="344"/>
      <c r="B420" s="548"/>
      <c r="C420" s="548"/>
      <c r="D420" s="344"/>
      <c r="E420" s="344"/>
      <c r="F420" s="549"/>
      <c r="G420" s="545"/>
      <c r="H420" s="545"/>
      <c r="I420" s="344"/>
      <c r="J420" s="344"/>
      <c r="K420" s="344"/>
      <c r="L420" s="344"/>
      <c r="M420" s="344"/>
      <c r="N420" s="344"/>
      <c r="O420" s="344"/>
      <c r="P420" s="344"/>
      <c r="Q420" s="344"/>
      <c r="R420" s="344"/>
      <c r="S420" s="344"/>
      <c r="T420" s="344"/>
      <c r="U420" s="344"/>
      <c r="V420" s="344"/>
      <c r="W420" s="344"/>
      <c r="X420" s="344"/>
      <c r="Y420" s="344"/>
      <c r="Z420" s="344"/>
      <c r="AA420" s="344"/>
      <c r="AB420" s="344"/>
      <c r="AC420" s="344"/>
      <c r="AD420" s="344"/>
    </row>
    <row r="421">
      <c r="A421" s="344"/>
      <c r="B421" s="548"/>
      <c r="C421" s="548"/>
      <c r="D421" s="344"/>
      <c r="E421" s="344"/>
      <c r="F421" s="549"/>
      <c r="G421" s="545"/>
      <c r="H421" s="545"/>
      <c r="I421" s="344"/>
      <c r="J421" s="344"/>
      <c r="K421" s="344"/>
      <c r="L421" s="344"/>
      <c r="M421" s="344"/>
      <c r="N421" s="344"/>
      <c r="O421" s="344"/>
      <c r="P421" s="344"/>
      <c r="Q421" s="344"/>
      <c r="R421" s="344"/>
      <c r="S421" s="344"/>
      <c r="T421" s="344"/>
      <c r="U421" s="344"/>
      <c r="V421" s="344"/>
      <c r="W421" s="344"/>
      <c r="X421" s="344"/>
      <c r="Y421" s="344"/>
      <c r="Z421" s="344"/>
      <c r="AA421" s="344"/>
      <c r="AB421" s="344"/>
      <c r="AC421" s="344"/>
      <c r="AD421" s="344"/>
    </row>
    <row r="422">
      <c r="A422" s="344"/>
      <c r="B422" s="548"/>
      <c r="C422" s="548"/>
      <c r="D422" s="344"/>
      <c r="E422" s="344"/>
      <c r="F422" s="549"/>
      <c r="G422" s="545"/>
      <c r="H422" s="545"/>
      <c r="I422" s="344"/>
      <c r="J422" s="344"/>
      <c r="K422" s="344"/>
      <c r="L422" s="344"/>
      <c r="M422" s="344"/>
      <c r="N422" s="344"/>
      <c r="O422" s="344"/>
      <c r="P422" s="344"/>
      <c r="Q422" s="344"/>
      <c r="R422" s="344"/>
      <c r="S422" s="344"/>
      <c r="T422" s="344"/>
      <c r="U422" s="344"/>
      <c r="V422" s="344"/>
      <c r="W422" s="344"/>
      <c r="X422" s="344"/>
      <c r="Y422" s="344"/>
      <c r="Z422" s="344"/>
      <c r="AA422" s="344"/>
      <c r="AB422" s="344"/>
      <c r="AC422" s="344"/>
      <c r="AD422" s="344"/>
    </row>
    <row r="423">
      <c r="A423" s="344"/>
      <c r="B423" s="548"/>
      <c r="C423" s="548"/>
      <c r="D423" s="344"/>
      <c r="E423" s="344"/>
      <c r="F423" s="549"/>
      <c r="G423" s="545"/>
      <c r="H423" s="545"/>
      <c r="I423" s="344"/>
      <c r="J423" s="344"/>
      <c r="K423" s="344"/>
      <c r="L423" s="344"/>
      <c r="M423" s="344"/>
      <c r="N423" s="344"/>
      <c r="O423" s="344"/>
      <c r="P423" s="344"/>
      <c r="Q423" s="344"/>
      <c r="R423" s="344"/>
      <c r="S423" s="344"/>
      <c r="T423" s="344"/>
      <c r="U423" s="344"/>
      <c r="V423" s="344"/>
      <c r="W423" s="344"/>
      <c r="X423" s="344"/>
      <c r="Y423" s="344"/>
      <c r="Z423" s="344"/>
      <c r="AA423" s="344"/>
      <c r="AB423" s="344"/>
      <c r="AC423" s="344"/>
      <c r="AD423" s="344"/>
    </row>
    <row r="424">
      <c r="A424" s="344"/>
      <c r="B424" s="548"/>
      <c r="C424" s="548"/>
      <c r="D424" s="344"/>
      <c r="E424" s="344"/>
      <c r="F424" s="549"/>
      <c r="G424" s="545"/>
      <c r="H424" s="545"/>
      <c r="I424" s="344"/>
      <c r="J424" s="344"/>
      <c r="K424" s="344"/>
      <c r="L424" s="344"/>
      <c r="M424" s="344"/>
      <c r="N424" s="344"/>
      <c r="O424" s="344"/>
      <c r="P424" s="344"/>
      <c r="Q424" s="344"/>
      <c r="R424" s="344"/>
      <c r="S424" s="344"/>
      <c r="T424" s="344"/>
      <c r="U424" s="344"/>
      <c r="V424" s="344"/>
      <c r="W424" s="344"/>
      <c r="X424" s="344"/>
      <c r="Y424" s="344"/>
      <c r="Z424" s="344"/>
      <c r="AA424" s="344"/>
      <c r="AB424" s="344"/>
      <c r="AC424" s="344"/>
      <c r="AD424" s="344"/>
    </row>
    <row r="425">
      <c r="A425" s="344"/>
      <c r="B425" s="548"/>
      <c r="C425" s="548"/>
      <c r="D425" s="344"/>
      <c r="E425" s="344"/>
      <c r="F425" s="549"/>
      <c r="G425" s="545"/>
      <c r="H425" s="545"/>
      <c r="I425" s="344"/>
      <c r="J425" s="344"/>
      <c r="K425" s="344"/>
      <c r="L425" s="344"/>
      <c r="M425" s="344"/>
      <c r="N425" s="344"/>
      <c r="O425" s="344"/>
      <c r="P425" s="344"/>
      <c r="Q425" s="344"/>
      <c r="R425" s="344"/>
      <c r="S425" s="344"/>
      <c r="T425" s="344"/>
      <c r="U425" s="344"/>
      <c r="V425" s="344"/>
      <c r="W425" s="344"/>
      <c r="X425" s="344"/>
      <c r="Y425" s="344"/>
      <c r="Z425" s="344"/>
      <c r="AA425" s="344"/>
      <c r="AB425" s="344"/>
      <c r="AC425" s="344"/>
      <c r="AD425" s="344"/>
    </row>
    <row r="426">
      <c r="A426" s="344"/>
      <c r="B426" s="548"/>
      <c r="C426" s="548"/>
      <c r="D426" s="344"/>
      <c r="E426" s="344"/>
      <c r="F426" s="549"/>
      <c r="G426" s="545"/>
      <c r="H426" s="545"/>
      <c r="I426" s="344"/>
      <c r="J426" s="344"/>
      <c r="K426" s="344"/>
      <c r="L426" s="344"/>
      <c r="M426" s="344"/>
      <c r="N426" s="344"/>
      <c r="O426" s="344"/>
      <c r="P426" s="344"/>
      <c r="Q426" s="344"/>
      <c r="R426" s="344"/>
      <c r="S426" s="344"/>
      <c r="T426" s="344"/>
      <c r="U426" s="344"/>
      <c r="V426" s="344"/>
      <c r="W426" s="344"/>
      <c r="X426" s="344"/>
      <c r="Y426" s="344"/>
      <c r="Z426" s="344"/>
      <c r="AA426" s="344"/>
      <c r="AB426" s="344"/>
      <c r="AC426" s="344"/>
      <c r="AD426" s="344"/>
    </row>
    <row r="427">
      <c r="A427" s="344"/>
      <c r="B427" s="548"/>
      <c r="C427" s="548"/>
      <c r="D427" s="344"/>
      <c r="E427" s="344"/>
      <c r="F427" s="549"/>
      <c r="G427" s="545"/>
      <c r="H427" s="545"/>
      <c r="I427" s="344"/>
      <c r="J427" s="344"/>
      <c r="K427" s="344"/>
      <c r="L427" s="344"/>
      <c r="M427" s="344"/>
      <c r="N427" s="344"/>
      <c r="O427" s="344"/>
      <c r="P427" s="344"/>
      <c r="Q427" s="344"/>
      <c r="R427" s="344"/>
      <c r="S427" s="344"/>
      <c r="T427" s="344"/>
      <c r="U427" s="344"/>
      <c r="V427" s="344"/>
      <c r="W427" s="344"/>
      <c r="X427" s="344"/>
      <c r="Y427" s="344"/>
      <c r="Z427" s="344"/>
      <c r="AA427" s="344"/>
      <c r="AB427" s="344"/>
      <c r="AC427" s="344"/>
      <c r="AD427" s="344"/>
    </row>
    <row r="428">
      <c r="A428" s="344"/>
      <c r="B428" s="548"/>
      <c r="C428" s="548"/>
      <c r="D428" s="344"/>
      <c r="E428" s="344"/>
      <c r="F428" s="549"/>
      <c r="G428" s="545"/>
      <c r="H428" s="545"/>
      <c r="I428" s="344"/>
      <c r="J428" s="344"/>
      <c r="K428" s="344"/>
      <c r="L428" s="344"/>
      <c r="M428" s="344"/>
      <c r="N428" s="344"/>
      <c r="O428" s="344"/>
      <c r="P428" s="344"/>
      <c r="Q428" s="344"/>
      <c r="R428" s="344"/>
      <c r="S428" s="344"/>
      <c r="T428" s="344"/>
      <c r="U428" s="344"/>
      <c r="V428" s="344"/>
      <c r="W428" s="344"/>
      <c r="X428" s="344"/>
      <c r="Y428" s="344"/>
      <c r="Z428" s="344"/>
      <c r="AA428" s="344"/>
      <c r="AB428" s="344"/>
      <c r="AC428" s="344"/>
      <c r="AD428" s="344"/>
    </row>
    <row r="429">
      <c r="A429" s="344"/>
      <c r="B429" s="548"/>
      <c r="C429" s="548"/>
      <c r="D429" s="344"/>
      <c r="E429" s="344"/>
      <c r="F429" s="549"/>
      <c r="G429" s="545"/>
      <c r="H429" s="545"/>
      <c r="I429" s="344"/>
      <c r="J429" s="344"/>
      <c r="K429" s="344"/>
      <c r="L429" s="344"/>
      <c r="M429" s="344"/>
      <c r="N429" s="344"/>
      <c r="O429" s="344"/>
      <c r="P429" s="344"/>
      <c r="Q429" s="344"/>
      <c r="R429" s="344"/>
      <c r="S429" s="344"/>
      <c r="T429" s="344"/>
      <c r="U429" s="344"/>
      <c r="V429" s="344"/>
      <c r="W429" s="344"/>
      <c r="X429" s="344"/>
      <c r="Y429" s="344"/>
      <c r="Z429" s="344"/>
      <c r="AA429" s="344"/>
      <c r="AB429" s="344"/>
      <c r="AC429" s="344"/>
      <c r="AD429" s="344"/>
    </row>
    <row r="430">
      <c r="A430" s="344"/>
      <c r="B430" s="548"/>
      <c r="C430" s="548"/>
      <c r="D430" s="344"/>
      <c r="E430" s="344"/>
      <c r="F430" s="549"/>
      <c r="G430" s="545"/>
      <c r="H430" s="545"/>
      <c r="I430" s="344"/>
      <c r="J430" s="344"/>
      <c r="K430" s="344"/>
      <c r="L430" s="344"/>
      <c r="M430" s="344"/>
      <c r="N430" s="344"/>
      <c r="O430" s="344"/>
      <c r="P430" s="344"/>
      <c r="Q430" s="344"/>
      <c r="R430" s="344"/>
      <c r="S430" s="344"/>
      <c r="T430" s="344"/>
      <c r="U430" s="344"/>
      <c r="V430" s="344"/>
      <c r="W430" s="344"/>
      <c r="X430" s="344"/>
      <c r="Y430" s="344"/>
      <c r="Z430" s="344"/>
      <c r="AA430" s="344"/>
      <c r="AB430" s="344"/>
      <c r="AC430" s="344"/>
      <c r="AD430" s="344"/>
    </row>
    <row r="431">
      <c r="A431" s="344"/>
      <c r="B431" s="548"/>
      <c r="C431" s="548"/>
      <c r="D431" s="344"/>
      <c r="E431" s="344"/>
      <c r="F431" s="549"/>
      <c r="G431" s="545"/>
      <c r="H431" s="545"/>
      <c r="I431" s="344"/>
      <c r="J431" s="344"/>
      <c r="K431" s="344"/>
      <c r="L431" s="344"/>
      <c r="M431" s="344"/>
      <c r="N431" s="344"/>
      <c r="O431" s="344"/>
      <c r="P431" s="344"/>
      <c r="Q431" s="344"/>
      <c r="R431" s="344"/>
      <c r="S431" s="344"/>
      <c r="T431" s="344"/>
      <c r="U431" s="344"/>
      <c r="V431" s="344"/>
      <c r="W431" s="344"/>
      <c r="X431" s="344"/>
      <c r="Y431" s="344"/>
      <c r="Z431" s="344"/>
      <c r="AA431" s="344"/>
      <c r="AB431" s="344"/>
      <c r="AC431" s="344"/>
      <c r="AD431" s="344"/>
    </row>
    <row r="432">
      <c r="A432" s="344"/>
      <c r="B432" s="548"/>
      <c r="C432" s="548"/>
      <c r="D432" s="344"/>
      <c r="E432" s="344"/>
      <c r="F432" s="549"/>
      <c r="G432" s="545"/>
      <c r="H432" s="545"/>
      <c r="I432" s="344"/>
      <c r="J432" s="344"/>
      <c r="K432" s="344"/>
      <c r="L432" s="344"/>
      <c r="M432" s="344"/>
      <c r="N432" s="344"/>
      <c r="O432" s="344"/>
      <c r="P432" s="344"/>
      <c r="Q432" s="344"/>
      <c r="R432" s="344"/>
      <c r="S432" s="344"/>
      <c r="T432" s="344"/>
      <c r="U432" s="344"/>
      <c r="V432" s="344"/>
      <c r="W432" s="344"/>
      <c r="X432" s="344"/>
      <c r="Y432" s="344"/>
      <c r="Z432" s="344"/>
      <c r="AA432" s="344"/>
      <c r="AB432" s="344"/>
      <c r="AC432" s="344"/>
      <c r="AD432" s="344"/>
    </row>
    <row r="433">
      <c r="A433" s="344"/>
      <c r="B433" s="548"/>
      <c r="C433" s="548"/>
      <c r="D433" s="344"/>
      <c r="E433" s="344"/>
      <c r="F433" s="549"/>
      <c r="G433" s="545"/>
      <c r="H433" s="545"/>
      <c r="I433" s="344"/>
      <c r="J433" s="344"/>
      <c r="K433" s="344"/>
      <c r="L433" s="344"/>
      <c r="M433" s="344"/>
      <c r="N433" s="344"/>
      <c r="O433" s="344"/>
      <c r="P433" s="344"/>
      <c r="Q433" s="344"/>
      <c r="R433" s="344"/>
      <c r="S433" s="344"/>
      <c r="T433" s="344"/>
      <c r="U433" s="344"/>
      <c r="V433" s="344"/>
      <c r="W433" s="344"/>
      <c r="X433" s="344"/>
      <c r="Y433" s="344"/>
      <c r="Z433" s="344"/>
      <c r="AA433" s="344"/>
      <c r="AB433" s="344"/>
      <c r="AC433" s="344"/>
      <c r="AD433" s="344"/>
    </row>
    <row r="434">
      <c r="A434" s="344"/>
      <c r="B434" s="548"/>
      <c r="C434" s="548"/>
      <c r="D434" s="344"/>
      <c r="E434" s="344"/>
      <c r="F434" s="549"/>
      <c r="G434" s="545"/>
      <c r="H434" s="545"/>
      <c r="I434" s="344"/>
      <c r="J434" s="344"/>
      <c r="K434" s="344"/>
      <c r="L434" s="344"/>
      <c r="M434" s="344"/>
      <c r="N434" s="344"/>
      <c r="O434" s="344"/>
      <c r="P434" s="344"/>
      <c r="Q434" s="344"/>
      <c r="R434" s="344"/>
      <c r="S434" s="344"/>
      <c r="T434" s="344"/>
      <c r="U434" s="344"/>
      <c r="V434" s="344"/>
      <c r="W434" s="344"/>
      <c r="X434" s="344"/>
      <c r="Y434" s="344"/>
      <c r="Z434" s="344"/>
      <c r="AA434" s="344"/>
      <c r="AB434" s="344"/>
      <c r="AC434" s="344"/>
      <c r="AD434" s="344"/>
    </row>
    <row r="435">
      <c r="A435" s="344"/>
      <c r="B435" s="548"/>
      <c r="C435" s="548"/>
      <c r="D435" s="344"/>
      <c r="E435" s="344"/>
      <c r="F435" s="549"/>
      <c r="G435" s="545"/>
      <c r="H435" s="545"/>
      <c r="I435" s="344"/>
      <c r="J435" s="344"/>
      <c r="K435" s="344"/>
      <c r="L435" s="344"/>
      <c r="M435" s="344"/>
      <c r="N435" s="344"/>
      <c r="O435" s="344"/>
      <c r="P435" s="344"/>
      <c r="Q435" s="344"/>
      <c r="R435" s="344"/>
      <c r="S435" s="344"/>
      <c r="T435" s="344"/>
      <c r="U435" s="344"/>
      <c r="V435" s="344"/>
      <c r="W435" s="344"/>
      <c r="X435" s="344"/>
      <c r="Y435" s="344"/>
      <c r="Z435" s="344"/>
      <c r="AA435" s="344"/>
      <c r="AB435" s="344"/>
      <c r="AC435" s="344"/>
      <c r="AD435" s="344"/>
    </row>
    <row r="436">
      <c r="A436" s="344"/>
      <c r="B436" s="548"/>
      <c r="C436" s="548"/>
      <c r="D436" s="344"/>
      <c r="E436" s="344"/>
      <c r="F436" s="549"/>
      <c r="G436" s="545"/>
      <c r="H436" s="545"/>
      <c r="I436" s="344"/>
      <c r="J436" s="344"/>
      <c r="K436" s="344"/>
      <c r="L436" s="344"/>
      <c r="M436" s="344"/>
      <c r="N436" s="344"/>
      <c r="O436" s="344"/>
      <c r="P436" s="344"/>
      <c r="Q436" s="344"/>
      <c r="R436" s="344"/>
      <c r="S436" s="344"/>
      <c r="T436" s="344"/>
      <c r="U436" s="344"/>
      <c r="V436" s="344"/>
      <c r="W436" s="344"/>
      <c r="X436" s="344"/>
      <c r="Y436" s="344"/>
      <c r="Z436" s="344"/>
      <c r="AA436" s="344"/>
      <c r="AB436" s="344"/>
      <c r="AC436" s="344"/>
      <c r="AD436" s="344"/>
    </row>
    <row r="437">
      <c r="A437" s="344"/>
      <c r="B437" s="548"/>
      <c r="C437" s="548"/>
      <c r="D437" s="344"/>
      <c r="E437" s="344"/>
      <c r="F437" s="549"/>
      <c r="G437" s="545"/>
      <c r="H437" s="545"/>
      <c r="I437" s="344"/>
      <c r="J437" s="344"/>
      <c r="K437" s="344"/>
      <c r="L437" s="344"/>
      <c r="M437" s="344"/>
      <c r="N437" s="344"/>
      <c r="O437" s="344"/>
      <c r="P437" s="344"/>
      <c r="Q437" s="344"/>
      <c r="R437" s="344"/>
      <c r="S437" s="344"/>
      <c r="T437" s="344"/>
      <c r="U437" s="344"/>
      <c r="V437" s="344"/>
      <c r="W437" s="344"/>
      <c r="X437" s="344"/>
      <c r="Y437" s="344"/>
      <c r="Z437" s="344"/>
      <c r="AA437" s="344"/>
      <c r="AB437" s="344"/>
      <c r="AC437" s="344"/>
      <c r="AD437" s="344"/>
    </row>
    <row r="438">
      <c r="A438" s="344"/>
      <c r="B438" s="548"/>
      <c r="C438" s="548"/>
      <c r="D438" s="344"/>
      <c r="E438" s="344"/>
      <c r="F438" s="549"/>
      <c r="G438" s="545"/>
      <c r="H438" s="545"/>
      <c r="I438" s="344"/>
      <c r="J438" s="344"/>
      <c r="K438" s="344"/>
      <c r="L438" s="344"/>
      <c r="M438" s="344"/>
      <c r="N438" s="344"/>
      <c r="O438" s="344"/>
      <c r="P438" s="344"/>
      <c r="Q438" s="344"/>
      <c r="R438" s="344"/>
      <c r="S438" s="344"/>
      <c r="T438" s="344"/>
      <c r="U438" s="344"/>
      <c r="V438" s="344"/>
      <c r="W438" s="344"/>
      <c r="X438" s="344"/>
      <c r="Y438" s="344"/>
      <c r="Z438" s="344"/>
      <c r="AA438" s="344"/>
      <c r="AB438" s="344"/>
      <c r="AC438" s="344"/>
      <c r="AD438" s="344"/>
    </row>
    <row r="439">
      <c r="A439" s="344"/>
      <c r="B439" s="548"/>
      <c r="C439" s="548"/>
      <c r="D439" s="344"/>
      <c r="E439" s="344"/>
      <c r="F439" s="549"/>
      <c r="G439" s="545"/>
      <c r="H439" s="545"/>
      <c r="I439" s="344"/>
      <c r="J439" s="344"/>
      <c r="K439" s="344"/>
      <c r="L439" s="344"/>
      <c r="M439" s="344"/>
      <c r="N439" s="344"/>
      <c r="O439" s="344"/>
      <c r="P439" s="344"/>
      <c r="Q439" s="344"/>
      <c r="R439" s="344"/>
      <c r="S439" s="344"/>
      <c r="T439" s="344"/>
      <c r="U439" s="344"/>
      <c r="V439" s="344"/>
      <c r="W439" s="344"/>
      <c r="X439" s="344"/>
      <c r="Y439" s="344"/>
      <c r="Z439" s="344"/>
      <c r="AA439" s="344"/>
      <c r="AB439" s="344"/>
      <c r="AC439" s="344"/>
      <c r="AD439" s="344"/>
    </row>
    <row r="440">
      <c r="A440" s="344"/>
      <c r="B440" s="548"/>
      <c r="C440" s="548"/>
      <c r="D440" s="344"/>
      <c r="E440" s="344"/>
      <c r="F440" s="549"/>
      <c r="G440" s="545"/>
      <c r="H440" s="545"/>
      <c r="I440" s="344"/>
      <c r="J440" s="344"/>
      <c r="K440" s="344"/>
      <c r="L440" s="344"/>
      <c r="M440" s="344"/>
      <c r="N440" s="344"/>
      <c r="O440" s="344"/>
      <c r="P440" s="344"/>
      <c r="Q440" s="344"/>
      <c r="R440" s="344"/>
      <c r="S440" s="344"/>
      <c r="T440" s="344"/>
      <c r="U440" s="344"/>
      <c r="V440" s="344"/>
      <c r="W440" s="344"/>
      <c r="X440" s="344"/>
      <c r="Y440" s="344"/>
      <c r="Z440" s="344"/>
      <c r="AA440" s="344"/>
      <c r="AB440" s="344"/>
      <c r="AC440" s="344"/>
      <c r="AD440" s="344"/>
    </row>
    <row r="441">
      <c r="A441" s="344"/>
      <c r="B441" s="548"/>
      <c r="C441" s="548"/>
      <c r="D441" s="344"/>
      <c r="E441" s="344"/>
      <c r="F441" s="549"/>
      <c r="G441" s="545"/>
      <c r="H441" s="545"/>
      <c r="I441" s="344"/>
      <c r="J441" s="344"/>
      <c r="K441" s="344"/>
      <c r="L441" s="344"/>
      <c r="M441" s="344"/>
      <c r="N441" s="344"/>
      <c r="O441" s="344"/>
      <c r="P441" s="344"/>
      <c r="Q441" s="344"/>
      <c r="R441" s="344"/>
      <c r="S441" s="344"/>
      <c r="T441" s="344"/>
      <c r="U441" s="344"/>
      <c r="V441" s="344"/>
      <c r="W441" s="344"/>
      <c r="X441" s="344"/>
      <c r="Y441" s="344"/>
      <c r="Z441" s="344"/>
      <c r="AA441" s="344"/>
      <c r="AB441" s="344"/>
      <c r="AC441" s="344"/>
      <c r="AD441" s="344"/>
    </row>
    <row r="442">
      <c r="A442" s="344"/>
      <c r="B442" s="548"/>
      <c r="C442" s="548"/>
      <c r="D442" s="344"/>
      <c r="E442" s="344"/>
      <c r="F442" s="549"/>
      <c r="G442" s="545"/>
      <c r="H442" s="545"/>
      <c r="I442" s="344"/>
      <c r="J442" s="344"/>
      <c r="K442" s="344"/>
      <c r="L442" s="344"/>
      <c r="M442" s="344"/>
      <c r="N442" s="344"/>
      <c r="O442" s="344"/>
      <c r="P442" s="344"/>
      <c r="Q442" s="344"/>
      <c r="R442" s="344"/>
      <c r="S442" s="344"/>
      <c r="T442" s="344"/>
      <c r="U442" s="344"/>
      <c r="V442" s="344"/>
      <c r="W442" s="344"/>
      <c r="X442" s="344"/>
      <c r="Y442" s="344"/>
      <c r="Z442" s="344"/>
      <c r="AA442" s="344"/>
      <c r="AB442" s="344"/>
      <c r="AC442" s="344"/>
      <c r="AD442" s="344"/>
    </row>
    <row r="443">
      <c r="A443" s="344"/>
      <c r="B443" s="548"/>
      <c r="C443" s="548"/>
      <c r="D443" s="344"/>
      <c r="E443" s="344"/>
      <c r="F443" s="549"/>
      <c r="G443" s="545"/>
      <c r="H443" s="545"/>
      <c r="I443" s="344"/>
      <c r="J443" s="344"/>
      <c r="K443" s="344"/>
      <c r="L443" s="344"/>
      <c r="M443" s="344"/>
      <c r="N443" s="344"/>
      <c r="O443" s="344"/>
      <c r="P443" s="344"/>
      <c r="Q443" s="344"/>
      <c r="R443" s="344"/>
      <c r="S443" s="344"/>
      <c r="T443" s="344"/>
      <c r="U443" s="344"/>
      <c r="V443" s="344"/>
      <c r="W443" s="344"/>
      <c r="X443" s="344"/>
      <c r="Y443" s="344"/>
      <c r="Z443" s="344"/>
      <c r="AA443" s="344"/>
      <c r="AB443" s="344"/>
      <c r="AC443" s="344"/>
      <c r="AD443" s="344"/>
    </row>
    <row r="444">
      <c r="A444" s="344"/>
      <c r="B444" s="548"/>
      <c r="C444" s="548"/>
      <c r="D444" s="344"/>
      <c r="E444" s="344"/>
      <c r="F444" s="549"/>
      <c r="G444" s="545"/>
      <c r="H444" s="545"/>
      <c r="I444" s="344"/>
      <c r="J444" s="344"/>
      <c r="K444" s="344"/>
      <c r="L444" s="344"/>
      <c r="M444" s="344"/>
      <c r="N444" s="344"/>
      <c r="O444" s="344"/>
      <c r="P444" s="344"/>
      <c r="Q444" s="344"/>
      <c r="R444" s="344"/>
      <c r="S444" s="344"/>
      <c r="T444" s="344"/>
      <c r="U444" s="344"/>
      <c r="V444" s="344"/>
      <c r="W444" s="344"/>
      <c r="X444" s="344"/>
      <c r="Y444" s="344"/>
      <c r="Z444" s="344"/>
      <c r="AA444" s="344"/>
      <c r="AB444" s="344"/>
      <c r="AC444" s="344"/>
      <c r="AD444" s="344"/>
    </row>
    <row r="445">
      <c r="A445" s="344"/>
      <c r="B445" s="548"/>
      <c r="C445" s="548"/>
      <c r="D445" s="344"/>
      <c r="E445" s="344"/>
      <c r="F445" s="549"/>
      <c r="G445" s="545"/>
      <c r="H445" s="545"/>
      <c r="I445" s="344"/>
      <c r="J445" s="344"/>
      <c r="K445" s="344"/>
      <c r="L445" s="344"/>
      <c r="M445" s="344"/>
      <c r="N445" s="344"/>
      <c r="O445" s="344"/>
      <c r="P445" s="344"/>
      <c r="Q445" s="344"/>
      <c r="R445" s="344"/>
      <c r="S445" s="344"/>
      <c r="T445" s="344"/>
      <c r="U445" s="344"/>
      <c r="V445" s="344"/>
      <c r="W445" s="344"/>
      <c r="X445" s="344"/>
      <c r="Y445" s="344"/>
      <c r="Z445" s="344"/>
      <c r="AA445" s="344"/>
      <c r="AB445" s="344"/>
      <c r="AC445" s="344"/>
      <c r="AD445" s="344"/>
    </row>
    <row r="446">
      <c r="A446" s="344"/>
      <c r="B446" s="548"/>
      <c r="C446" s="548"/>
      <c r="D446" s="344"/>
      <c r="E446" s="344"/>
      <c r="F446" s="549"/>
      <c r="G446" s="545"/>
      <c r="H446" s="545"/>
      <c r="I446" s="344"/>
      <c r="J446" s="344"/>
      <c r="K446" s="344"/>
      <c r="L446" s="344"/>
      <c r="M446" s="344"/>
      <c r="N446" s="344"/>
      <c r="O446" s="344"/>
      <c r="P446" s="344"/>
      <c r="Q446" s="344"/>
      <c r="R446" s="344"/>
      <c r="S446" s="344"/>
      <c r="T446" s="344"/>
      <c r="U446" s="344"/>
      <c r="V446" s="344"/>
      <c r="W446" s="344"/>
      <c r="X446" s="344"/>
      <c r="Y446" s="344"/>
      <c r="Z446" s="344"/>
      <c r="AA446" s="344"/>
      <c r="AB446" s="344"/>
      <c r="AC446" s="344"/>
      <c r="AD446" s="344"/>
    </row>
    <row r="447">
      <c r="A447" s="344"/>
      <c r="B447" s="548"/>
      <c r="C447" s="548"/>
      <c r="D447" s="344"/>
      <c r="E447" s="344"/>
      <c r="F447" s="549"/>
      <c r="G447" s="545"/>
      <c r="H447" s="545"/>
      <c r="I447" s="344"/>
      <c r="J447" s="344"/>
      <c r="K447" s="344"/>
      <c r="L447" s="344"/>
      <c r="M447" s="344"/>
      <c r="N447" s="344"/>
      <c r="O447" s="344"/>
      <c r="P447" s="344"/>
      <c r="Q447" s="344"/>
      <c r="R447" s="344"/>
      <c r="S447" s="344"/>
      <c r="T447" s="344"/>
      <c r="U447" s="344"/>
      <c r="V447" s="344"/>
      <c r="W447" s="344"/>
      <c r="X447" s="344"/>
      <c r="Y447" s="344"/>
      <c r="Z447" s="344"/>
      <c r="AA447" s="344"/>
      <c r="AB447" s="344"/>
      <c r="AC447" s="344"/>
      <c r="AD447" s="344"/>
    </row>
    <row r="448">
      <c r="A448" s="344"/>
      <c r="B448" s="548"/>
      <c r="C448" s="548"/>
      <c r="D448" s="344"/>
      <c r="E448" s="344"/>
      <c r="F448" s="549"/>
      <c r="G448" s="545"/>
      <c r="H448" s="545"/>
      <c r="I448" s="344"/>
      <c r="J448" s="344"/>
      <c r="K448" s="344"/>
      <c r="L448" s="344"/>
      <c r="M448" s="344"/>
      <c r="N448" s="344"/>
      <c r="O448" s="344"/>
      <c r="P448" s="344"/>
      <c r="Q448" s="344"/>
      <c r="R448" s="344"/>
      <c r="S448" s="344"/>
      <c r="T448" s="344"/>
      <c r="U448" s="344"/>
      <c r="V448" s="344"/>
      <c r="W448" s="344"/>
      <c r="X448" s="344"/>
      <c r="Y448" s="344"/>
      <c r="Z448" s="344"/>
      <c r="AA448" s="344"/>
      <c r="AB448" s="344"/>
      <c r="AC448" s="344"/>
      <c r="AD448" s="344"/>
    </row>
    <row r="449">
      <c r="A449" s="344"/>
      <c r="B449" s="548"/>
      <c r="C449" s="548"/>
      <c r="D449" s="344"/>
      <c r="E449" s="344"/>
      <c r="F449" s="549"/>
      <c r="G449" s="545"/>
      <c r="H449" s="545"/>
      <c r="I449" s="344"/>
      <c r="J449" s="344"/>
      <c r="K449" s="344"/>
      <c r="L449" s="344"/>
      <c r="M449" s="344"/>
      <c r="N449" s="344"/>
      <c r="O449" s="344"/>
      <c r="P449" s="344"/>
      <c r="Q449" s="344"/>
      <c r="R449" s="344"/>
      <c r="S449" s="344"/>
      <c r="T449" s="344"/>
      <c r="U449" s="344"/>
      <c r="V449" s="344"/>
      <c r="W449" s="344"/>
      <c r="X449" s="344"/>
      <c r="Y449" s="344"/>
      <c r="Z449" s="344"/>
      <c r="AA449" s="344"/>
      <c r="AB449" s="344"/>
      <c r="AC449" s="344"/>
      <c r="AD449" s="344"/>
    </row>
    <row r="450">
      <c r="A450" s="344"/>
      <c r="B450" s="548"/>
      <c r="C450" s="548"/>
      <c r="D450" s="344"/>
      <c r="E450" s="344"/>
      <c r="F450" s="549"/>
      <c r="G450" s="545"/>
      <c r="H450" s="545"/>
      <c r="I450" s="344"/>
      <c r="J450" s="344"/>
      <c r="K450" s="344"/>
      <c r="L450" s="344"/>
      <c r="M450" s="344"/>
      <c r="N450" s="344"/>
      <c r="O450" s="344"/>
      <c r="P450" s="344"/>
      <c r="Q450" s="344"/>
      <c r="R450" s="344"/>
      <c r="S450" s="344"/>
      <c r="T450" s="344"/>
      <c r="U450" s="344"/>
      <c r="V450" s="344"/>
      <c r="W450" s="344"/>
      <c r="X450" s="344"/>
      <c r="Y450" s="344"/>
      <c r="Z450" s="344"/>
      <c r="AA450" s="344"/>
      <c r="AB450" s="344"/>
      <c r="AC450" s="344"/>
      <c r="AD450" s="344"/>
    </row>
    <row r="451">
      <c r="A451" s="344"/>
      <c r="B451" s="548"/>
      <c r="C451" s="548"/>
      <c r="D451" s="344"/>
      <c r="E451" s="344"/>
      <c r="F451" s="549"/>
      <c r="G451" s="545"/>
      <c r="H451" s="545"/>
      <c r="I451" s="344"/>
      <c r="J451" s="344"/>
      <c r="K451" s="344"/>
      <c r="L451" s="344"/>
      <c r="M451" s="344"/>
      <c r="N451" s="344"/>
      <c r="O451" s="344"/>
      <c r="P451" s="344"/>
      <c r="Q451" s="344"/>
      <c r="R451" s="344"/>
      <c r="S451" s="344"/>
      <c r="T451" s="344"/>
      <c r="U451" s="344"/>
      <c r="V451" s="344"/>
      <c r="W451" s="344"/>
      <c r="X451" s="344"/>
      <c r="Y451" s="344"/>
      <c r="Z451" s="344"/>
      <c r="AA451" s="344"/>
      <c r="AB451" s="344"/>
      <c r="AC451" s="344"/>
      <c r="AD451" s="344"/>
    </row>
    <row r="452">
      <c r="A452" s="344"/>
      <c r="B452" s="548"/>
      <c r="C452" s="548"/>
      <c r="D452" s="344"/>
      <c r="E452" s="344"/>
      <c r="F452" s="549"/>
      <c r="G452" s="545"/>
      <c r="H452" s="545"/>
      <c r="I452" s="344"/>
      <c r="J452" s="344"/>
      <c r="K452" s="344"/>
      <c r="L452" s="344"/>
      <c r="M452" s="344"/>
      <c r="N452" s="344"/>
      <c r="O452" s="344"/>
      <c r="P452" s="344"/>
      <c r="Q452" s="344"/>
      <c r="R452" s="344"/>
      <c r="S452" s="344"/>
      <c r="T452" s="344"/>
      <c r="U452" s="344"/>
      <c r="V452" s="344"/>
      <c r="W452" s="344"/>
      <c r="X452" s="344"/>
      <c r="Y452" s="344"/>
      <c r="Z452" s="344"/>
      <c r="AA452" s="344"/>
      <c r="AB452" s="344"/>
      <c r="AC452" s="344"/>
      <c r="AD452" s="344"/>
    </row>
    <row r="453">
      <c r="A453" s="344"/>
      <c r="B453" s="548"/>
      <c r="C453" s="548"/>
      <c r="D453" s="344"/>
      <c r="E453" s="344"/>
      <c r="F453" s="549"/>
      <c r="G453" s="545"/>
      <c r="H453" s="545"/>
      <c r="I453" s="344"/>
      <c r="J453" s="344"/>
      <c r="K453" s="344"/>
      <c r="L453" s="344"/>
      <c r="M453" s="344"/>
      <c r="N453" s="344"/>
      <c r="O453" s="344"/>
      <c r="P453" s="344"/>
      <c r="Q453" s="344"/>
      <c r="R453" s="344"/>
      <c r="S453" s="344"/>
      <c r="T453" s="344"/>
      <c r="U453" s="344"/>
      <c r="V453" s="344"/>
      <c r="W453" s="344"/>
      <c r="X453" s="344"/>
      <c r="Y453" s="344"/>
      <c r="Z453" s="344"/>
      <c r="AA453" s="344"/>
      <c r="AB453" s="344"/>
      <c r="AC453" s="344"/>
      <c r="AD453" s="344"/>
    </row>
    <row r="454">
      <c r="A454" s="344"/>
      <c r="B454" s="548"/>
      <c r="C454" s="548"/>
      <c r="D454" s="344"/>
      <c r="E454" s="344"/>
      <c r="F454" s="549"/>
      <c r="G454" s="545"/>
      <c r="H454" s="545"/>
      <c r="I454" s="344"/>
      <c r="J454" s="344"/>
      <c r="K454" s="344"/>
      <c r="L454" s="344"/>
      <c r="M454" s="344"/>
      <c r="N454" s="344"/>
      <c r="O454" s="344"/>
      <c r="P454" s="344"/>
      <c r="Q454" s="344"/>
      <c r="R454" s="344"/>
      <c r="S454" s="344"/>
      <c r="T454" s="344"/>
      <c r="U454" s="344"/>
      <c r="V454" s="344"/>
      <c r="W454" s="344"/>
      <c r="X454" s="344"/>
      <c r="Y454" s="344"/>
      <c r="Z454" s="344"/>
      <c r="AA454" s="344"/>
      <c r="AB454" s="344"/>
      <c r="AC454" s="344"/>
      <c r="AD454" s="344"/>
    </row>
    <row r="455">
      <c r="A455" s="344"/>
      <c r="B455" s="548"/>
      <c r="C455" s="548"/>
      <c r="D455" s="344"/>
      <c r="E455" s="344"/>
      <c r="F455" s="549"/>
      <c r="G455" s="545"/>
      <c r="H455" s="545"/>
      <c r="I455" s="344"/>
      <c r="J455" s="344"/>
      <c r="K455" s="344"/>
      <c r="L455" s="344"/>
      <c r="M455" s="344"/>
      <c r="N455" s="344"/>
      <c r="O455" s="344"/>
      <c r="P455" s="344"/>
      <c r="Q455" s="344"/>
      <c r="R455" s="344"/>
      <c r="S455" s="344"/>
      <c r="T455" s="344"/>
      <c r="U455" s="344"/>
      <c r="V455" s="344"/>
      <c r="W455" s="344"/>
      <c r="X455" s="344"/>
      <c r="Y455" s="344"/>
      <c r="Z455" s="344"/>
      <c r="AA455" s="344"/>
      <c r="AB455" s="344"/>
      <c r="AC455" s="344"/>
      <c r="AD455" s="344"/>
    </row>
    <row r="456">
      <c r="A456" s="344"/>
      <c r="B456" s="548"/>
      <c r="C456" s="548"/>
      <c r="D456" s="344"/>
      <c r="E456" s="344"/>
      <c r="F456" s="549"/>
      <c r="G456" s="545"/>
      <c r="H456" s="545"/>
      <c r="I456" s="344"/>
      <c r="J456" s="344"/>
      <c r="K456" s="344"/>
      <c r="L456" s="344"/>
      <c r="M456" s="344"/>
      <c r="N456" s="344"/>
      <c r="O456" s="344"/>
      <c r="P456" s="344"/>
      <c r="Q456" s="344"/>
      <c r="R456" s="344"/>
      <c r="S456" s="344"/>
      <c r="T456" s="344"/>
      <c r="U456" s="344"/>
      <c r="V456" s="344"/>
      <c r="W456" s="344"/>
      <c r="X456" s="344"/>
      <c r="Y456" s="344"/>
      <c r="Z456" s="344"/>
      <c r="AA456" s="344"/>
      <c r="AB456" s="344"/>
      <c r="AC456" s="344"/>
      <c r="AD456" s="344"/>
    </row>
    <row r="457">
      <c r="A457" s="344"/>
      <c r="B457" s="548"/>
      <c r="C457" s="548"/>
      <c r="D457" s="344"/>
      <c r="E457" s="344"/>
      <c r="F457" s="549"/>
      <c r="G457" s="545"/>
      <c r="H457" s="545"/>
      <c r="I457" s="344"/>
      <c r="J457" s="344"/>
      <c r="K457" s="344"/>
      <c r="L457" s="344"/>
      <c r="M457" s="344"/>
      <c r="N457" s="344"/>
      <c r="O457" s="344"/>
      <c r="P457" s="344"/>
      <c r="Q457" s="344"/>
      <c r="R457" s="344"/>
      <c r="S457" s="344"/>
      <c r="T457" s="344"/>
      <c r="U457" s="344"/>
      <c r="V457" s="344"/>
      <c r="W457" s="344"/>
      <c r="X457" s="344"/>
      <c r="Y457" s="344"/>
      <c r="Z457" s="344"/>
      <c r="AA457" s="344"/>
      <c r="AB457" s="344"/>
      <c r="AC457" s="344"/>
      <c r="AD457" s="344"/>
    </row>
    <row r="458">
      <c r="A458" s="344"/>
      <c r="B458" s="548"/>
      <c r="C458" s="548"/>
      <c r="D458" s="344"/>
      <c r="E458" s="344"/>
      <c r="F458" s="549"/>
      <c r="G458" s="545"/>
      <c r="H458" s="545"/>
      <c r="I458" s="344"/>
      <c r="J458" s="344"/>
      <c r="K458" s="344"/>
      <c r="L458" s="344"/>
      <c r="M458" s="344"/>
      <c r="N458" s="344"/>
      <c r="O458" s="344"/>
      <c r="P458" s="344"/>
      <c r="Q458" s="344"/>
      <c r="R458" s="344"/>
      <c r="S458" s="344"/>
      <c r="T458" s="344"/>
      <c r="U458" s="344"/>
      <c r="V458" s="344"/>
      <c r="W458" s="344"/>
      <c r="X458" s="344"/>
      <c r="Y458" s="344"/>
      <c r="Z458" s="344"/>
      <c r="AA458" s="344"/>
      <c r="AB458" s="344"/>
      <c r="AC458" s="344"/>
      <c r="AD458" s="344"/>
    </row>
    <row r="459">
      <c r="A459" s="344"/>
      <c r="B459" s="548"/>
      <c r="C459" s="548"/>
      <c r="D459" s="344"/>
      <c r="E459" s="344"/>
      <c r="F459" s="549"/>
      <c r="G459" s="545"/>
      <c r="H459" s="545"/>
      <c r="I459" s="344"/>
      <c r="J459" s="344"/>
      <c r="K459" s="344"/>
      <c r="L459" s="344"/>
      <c r="M459" s="344"/>
      <c r="N459" s="344"/>
      <c r="O459" s="344"/>
      <c r="P459" s="344"/>
      <c r="Q459" s="344"/>
      <c r="R459" s="344"/>
      <c r="S459" s="344"/>
      <c r="T459" s="344"/>
      <c r="U459" s="344"/>
      <c r="V459" s="344"/>
      <c r="W459" s="344"/>
      <c r="X459" s="344"/>
      <c r="Y459" s="344"/>
      <c r="Z459" s="344"/>
      <c r="AA459" s="344"/>
      <c r="AB459" s="344"/>
      <c r="AC459" s="344"/>
      <c r="AD459" s="344"/>
    </row>
    <row r="460">
      <c r="A460" s="344"/>
      <c r="B460" s="548"/>
      <c r="C460" s="548"/>
      <c r="D460" s="344"/>
      <c r="E460" s="344"/>
      <c r="F460" s="549"/>
      <c r="G460" s="545"/>
      <c r="H460" s="545"/>
      <c r="I460" s="344"/>
      <c r="J460" s="344"/>
      <c r="K460" s="344"/>
      <c r="L460" s="344"/>
      <c r="M460" s="344"/>
      <c r="N460" s="344"/>
      <c r="O460" s="344"/>
      <c r="P460" s="344"/>
      <c r="Q460" s="344"/>
      <c r="R460" s="344"/>
      <c r="S460" s="344"/>
      <c r="T460" s="344"/>
      <c r="U460" s="344"/>
      <c r="V460" s="344"/>
      <c r="W460" s="344"/>
      <c r="X460" s="344"/>
      <c r="Y460" s="344"/>
      <c r="Z460" s="344"/>
      <c r="AA460" s="344"/>
      <c r="AB460" s="344"/>
      <c r="AC460" s="344"/>
      <c r="AD460" s="344"/>
    </row>
    <row r="461">
      <c r="A461" s="344"/>
      <c r="B461" s="548"/>
      <c r="C461" s="548"/>
      <c r="D461" s="344"/>
      <c r="E461" s="344"/>
      <c r="F461" s="549"/>
      <c r="G461" s="545"/>
      <c r="H461" s="545"/>
      <c r="I461" s="344"/>
      <c r="J461" s="344"/>
      <c r="K461" s="344"/>
      <c r="L461" s="344"/>
      <c r="M461" s="344"/>
      <c r="N461" s="344"/>
      <c r="O461" s="344"/>
      <c r="P461" s="344"/>
      <c r="Q461" s="344"/>
      <c r="R461" s="344"/>
      <c r="S461" s="344"/>
      <c r="T461" s="344"/>
      <c r="U461" s="344"/>
      <c r="V461" s="344"/>
      <c r="W461" s="344"/>
      <c r="X461" s="344"/>
      <c r="Y461" s="344"/>
      <c r="Z461" s="344"/>
      <c r="AA461" s="344"/>
      <c r="AB461" s="344"/>
      <c r="AC461" s="344"/>
      <c r="AD461" s="344"/>
    </row>
    <row r="462">
      <c r="A462" s="344"/>
      <c r="B462" s="548"/>
      <c r="C462" s="548"/>
      <c r="D462" s="344"/>
      <c r="E462" s="344"/>
      <c r="F462" s="549"/>
      <c r="G462" s="545"/>
      <c r="H462" s="545"/>
      <c r="I462" s="344"/>
      <c r="J462" s="344"/>
      <c r="K462" s="344"/>
      <c r="L462" s="344"/>
      <c r="M462" s="344"/>
      <c r="N462" s="344"/>
      <c r="O462" s="344"/>
      <c r="P462" s="344"/>
      <c r="Q462" s="344"/>
      <c r="R462" s="344"/>
      <c r="S462" s="344"/>
      <c r="T462" s="344"/>
      <c r="U462" s="344"/>
      <c r="V462" s="344"/>
      <c r="W462" s="344"/>
      <c r="X462" s="344"/>
      <c r="Y462" s="344"/>
      <c r="Z462" s="344"/>
      <c r="AA462" s="344"/>
      <c r="AB462" s="344"/>
      <c r="AC462" s="344"/>
      <c r="AD462" s="344"/>
    </row>
    <row r="463">
      <c r="A463" s="344"/>
      <c r="B463" s="548"/>
      <c r="C463" s="548"/>
      <c r="D463" s="344"/>
      <c r="E463" s="344"/>
      <c r="F463" s="549"/>
      <c r="G463" s="545"/>
      <c r="H463" s="545"/>
      <c r="I463" s="344"/>
      <c r="J463" s="344"/>
      <c r="K463" s="344"/>
      <c r="L463" s="344"/>
      <c r="M463" s="344"/>
      <c r="N463" s="344"/>
      <c r="O463" s="344"/>
      <c r="P463" s="344"/>
      <c r="Q463" s="344"/>
      <c r="R463" s="344"/>
      <c r="S463" s="344"/>
      <c r="T463" s="344"/>
      <c r="U463" s="344"/>
      <c r="V463" s="344"/>
      <c r="W463" s="344"/>
      <c r="X463" s="344"/>
      <c r="Y463" s="344"/>
      <c r="Z463" s="344"/>
      <c r="AA463" s="344"/>
      <c r="AB463" s="344"/>
      <c r="AC463" s="344"/>
      <c r="AD463" s="344"/>
    </row>
    <row r="464">
      <c r="A464" s="344"/>
      <c r="B464" s="548"/>
      <c r="C464" s="548"/>
      <c r="D464" s="344"/>
      <c r="E464" s="344"/>
      <c r="F464" s="549"/>
      <c r="G464" s="545"/>
      <c r="H464" s="545"/>
      <c r="I464" s="344"/>
      <c r="J464" s="344"/>
      <c r="K464" s="344"/>
      <c r="L464" s="344"/>
      <c r="M464" s="344"/>
      <c r="N464" s="344"/>
      <c r="O464" s="344"/>
      <c r="P464" s="344"/>
      <c r="Q464" s="344"/>
      <c r="R464" s="344"/>
      <c r="S464" s="344"/>
      <c r="T464" s="344"/>
      <c r="U464" s="344"/>
      <c r="V464" s="344"/>
      <c r="W464" s="344"/>
      <c r="X464" s="344"/>
      <c r="Y464" s="344"/>
      <c r="Z464" s="344"/>
      <c r="AA464" s="344"/>
      <c r="AB464" s="344"/>
      <c r="AC464" s="344"/>
      <c r="AD464" s="344"/>
    </row>
    <row r="465">
      <c r="A465" s="344"/>
      <c r="B465" s="548"/>
      <c r="C465" s="548"/>
      <c r="D465" s="344"/>
      <c r="E465" s="344"/>
      <c r="F465" s="549"/>
      <c r="G465" s="545"/>
      <c r="H465" s="545"/>
      <c r="I465" s="344"/>
      <c r="J465" s="344"/>
      <c r="K465" s="344"/>
      <c r="L465" s="344"/>
      <c r="M465" s="344"/>
      <c r="N465" s="344"/>
      <c r="O465" s="344"/>
      <c r="P465" s="344"/>
      <c r="Q465" s="344"/>
      <c r="R465" s="344"/>
      <c r="S465" s="344"/>
      <c r="T465" s="344"/>
      <c r="U465" s="344"/>
      <c r="V465" s="344"/>
      <c r="W465" s="344"/>
      <c r="X465" s="344"/>
      <c r="Y465" s="344"/>
      <c r="Z465" s="344"/>
      <c r="AA465" s="344"/>
      <c r="AB465" s="344"/>
      <c r="AC465" s="344"/>
      <c r="AD465" s="344"/>
    </row>
    <row r="466">
      <c r="A466" s="344"/>
      <c r="B466" s="548"/>
      <c r="C466" s="548"/>
      <c r="D466" s="344"/>
      <c r="E466" s="344"/>
      <c r="F466" s="549"/>
      <c r="G466" s="545"/>
      <c r="H466" s="545"/>
      <c r="I466" s="344"/>
      <c r="J466" s="344"/>
      <c r="K466" s="344"/>
      <c r="L466" s="344"/>
      <c r="M466" s="344"/>
      <c r="N466" s="344"/>
      <c r="O466" s="344"/>
      <c r="P466" s="344"/>
      <c r="Q466" s="344"/>
      <c r="R466" s="344"/>
      <c r="S466" s="344"/>
      <c r="T466" s="344"/>
      <c r="U466" s="344"/>
      <c r="V466" s="344"/>
      <c r="W466" s="344"/>
      <c r="X466" s="344"/>
      <c r="Y466" s="344"/>
      <c r="Z466" s="344"/>
      <c r="AA466" s="344"/>
      <c r="AB466" s="344"/>
      <c r="AC466" s="344"/>
      <c r="AD466" s="344"/>
    </row>
    <row r="467">
      <c r="A467" s="344"/>
      <c r="B467" s="548"/>
      <c r="C467" s="548"/>
      <c r="D467" s="344"/>
      <c r="E467" s="344"/>
      <c r="F467" s="549"/>
      <c r="G467" s="545"/>
      <c r="H467" s="545"/>
      <c r="I467" s="344"/>
      <c r="J467" s="344"/>
      <c r="K467" s="344"/>
      <c r="L467" s="344"/>
      <c r="M467" s="344"/>
      <c r="N467" s="344"/>
      <c r="O467" s="344"/>
      <c r="P467" s="344"/>
      <c r="Q467" s="344"/>
      <c r="R467" s="344"/>
      <c r="S467" s="344"/>
      <c r="T467" s="344"/>
      <c r="U467" s="344"/>
      <c r="V467" s="344"/>
      <c r="W467" s="344"/>
      <c r="X467" s="344"/>
      <c r="Y467" s="344"/>
      <c r="Z467" s="344"/>
      <c r="AA467" s="344"/>
      <c r="AB467" s="344"/>
      <c r="AC467" s="344"/>
      <c r="AD467" s="344"/>
    </row>
    <row r="468">
      <c r="A468" s="344"/>
      <c r="B468" s="548"/>
      <c r="C468" s="548"/>
      <c r="D468" s="344"/>
      <c r="E468" s="344"/>
      <c r="F468" s="549"/>
      <c r="G468" s="545"/>
      <c r="H468" s="545"/>
      <c r="I468" s="344"/>
      <c r="J468" s="344"/>
      <c r="K468" s="344"/>
      <c r="L468" s="344"/>
      <c r="M468" s="344"/>
      <c r="N468" s="344"/>
      <c r="O468" s="344"/>
      <c r="P468" s="344"/>
      <c r="Q468" s="344"/>
      <c r="R468" s="344"/>
      <c r="S468" s="344"/>
      <c r="T468" s="344"/>
      <c r="U468" s="344"/>
      <c r="V468" s="344"/>
      <c r="W468" s="344"/>
      <c r="X468" s="344"/>
      <c r="Y468" s="344"/>
      <c r="Z468" s="344"/>
      <c r="AA468" s="344"/>
      <c r="AB468" s="344"/>
      <c r="AC468" s="344"/>
      <c r="AD468" s="344"/>
    </row>
    <row r="469">
      <c r="A469" s="344"/>
      <c r="B469" s="548"/>
      <c r="C469" s="548"/>
      <c r="D469" s="344"/>
      <c r="E469" s="344"/>
      <c r="F469" s="549"/>
      <c r="G469" s="545"/>
      <c r="H469" s="545"/>
      <c r="I469" s="344"/>
      <c r="J469" s="344"/>
      <c r="K469" s="344"/>
      <c r="L469" s="344"/>
      <c r="M469" s="344"/>
      <c r="N469" s="344"/>
      <c r="O469" s="344"/>
      <c r="P469" s="344"/>
      <c r="Q469" s="344"/>
      <c r="R469" s="344"/>
      <c r="S469" s="344"/>
      <c r="T469" s="344"/>
      <c r="U469" s="344"/>
      <c r="V469" s="344"/>
      <c r="W469" s="344"/>
      <c r="X469" s="344"/>
      <c r="Y469" s="344"/>
      <c r="Z469" s="344"/>
      <c r="AA469" s="344"/>
      <c r="AB469" s="344"/>
      <c r="AC469" s="344"/>
      <c r="AD469" s="344"/>
    </row>
    <row r="470">
      <c r="A470" s="344"/>
      <c r="B470" s="548"/>
      <c r="C470" s="548"/>
      <c r="D470" s="344"/>
      <c r="E470" s="344"/>
      <c r="F470" s="549"/>
      <c r="G470" s="545"/>
      <c r="H470" s="545"/>
      <c r="I470" s="344"/>
      <c r="J470" s="344"/>
      <c r="K470" s="344"/>
      <c r="L470" s="344"/>
      <c r="M470" s="344"/>
      <c r="N470" s="344"/>
      <c r="O470" s="344"/>
      <c r="P470" s="344"/>
      <c r="Q470" s="344"/>
      <c r="R470" s="344"/>
      <c r="S470" s="344"/>
      <c r="T470" s="344"/>
      <c r="U470" s="344"/>
      <c r="V470" s="344"/>
      <c r="W470" s="344"/>
      <c r="X470" s="344"/>
      <c r="Y470" s="344"/>
      <c r="Z470" s="344"/>
      <c r="AA470" s="344"/>
      <c r="AB470" s="344"/>
      <c r="AC470" s="344"/>
      <c r="AD470" s="344"/>
    </row>
    <row r="471">
      <c r="A471" s="344"/>
      <c r="B471" s="548"/>
      <c r="C471" s="548"/>
      <c r="D471" s="344"/>
      <c r="E471" s="344"/>
      <c r="F471" s="549"/>
      <c r="G471" s="545"/>
      <c r="H471" s="545"/>
      <c r="I471" s="344"/>
      <c r="J471" s="344"/>
      <c r="K471" s="344"/>
      <c r="L471" s="344"/>
      <c r="M471" s="344"/>
      <c r="N471" s="344"/>
      <c r="O471" s="344"/>
      <c r="P471" s="344"/>
      <c r="Q471" s="344"/>
      <c r="R471" s="344"/>
      <c r="S471" s="344"/>
      <c r="T471" s="344"/>
      <c r="U471" s="344"/>
      <c r="V471" s="344"/>
      <c r="W471" s="344"/>
      <c r="X471" s="344"/>
      <c r="Y471" s="344"/>
      <c r="Z471" s="344"/>
      <c r="AA471" s="344"/>
      <c r="AB471" s="344"/>
      <c r="AC471" s="344"/>
      <c r="AD471" s="344"/>
    </row>
    <row r="472">
      <c r="A472" s="344"/>
      <c r="B472" s="548"/>
      <c r="C472" s="548"/>
      <c r="D472" s="344"/>
      <c r="E472" s="344"/>
      <c r="F472" s="549"/>
      <c r="G472" s="545"/>
      <c r="H472" s="545"/>
      <c r="I472" s="344"/>
      <c r="J472" s="344"/>
      <c r="K472" s="344"/>
      <c r="L472" s="344"/>
      <c r="M472" s="344"/>
      <c r="N472" s="344"/>
      <c r="O472" s="344"/>
      <c r="P472" s="344"/>
      <c r="Q472" s="344"/>
      <c r="R472" s="344"/>
      <c r="S472" s="344"/>
      <c r="T472" s="344"/>
      <c r="U472" s="344"/>
      <c r="V472" s="344"/>
      <c r="W472" s="344"/>
      <c r="X472" s="344"/>
      <c r="Y472" s="344"/>
      <c r="Z472" s="344"/>
      <c r="AA472" s="344"/>
      <c r="AB472" s="344"/>
      <c r="AC472" s="344"/>
      <c r="AD472" s="344"/>
    </row>
    <row r="473">
      <c r="A473" s="344"/>
      <c r="B473" s="548"/>
      <c r="C473" s="548"/>
      <c r="D473" s="344"/>
      <c r="E473" s="344"/>
      <c r="F473" s="549"/>
      <c r="G473" s="545"/>
      <c r="H473" s="545"/>
      <c r="I473" s="344"/>
      <c r="J473" s="344"/>
      <c r="K473" s="344"/>
      <c r="L473" s="344"/>
      <c r="M473" s="344"/>
      <c r="N473" s="344"/>
      <c r="O473" s="344"/>
      <c r="P473" s="344"/>
      <c r="Q473" s="344"/>
      <c r="R473" s="344"/>
      <c r="S473" s="344"/>
      <c r="T473" s="344"/>
      <c r="U473" s="344"/>
      <c r="V473" s="344"/>
      <c r="W473" s="344"/>
      <c r="X473" s="344"/>
      <c r="Y473" s="344"/>
      <c r="Z473" s="344"/>
      <c r="AA473" s="344"/>
      <c r="AB473" s="344"/>
      <c r="AC473" s="344"/>
      <c r="AD473" s="344"/>
    </row>
    <row r="474">
      <c r="A474" s="344"/>
      <c r="B474" s="548"/>
      <c r="C474" s="548"/>
      <c r="D474" s="344"/>
      <c r="E474" s="344"/>
      <c r="F474" s="549"/>
      <c r="G474" s="545"/>
      <c r="H474" s="545"/>
      <c r="I474" s="344"/>
      <c r="J474" s="344"/>
      <c r="K474" s="344"/>
      <c r="L474" s="344"/>
      <c r="M474" s="344"/>
      <c r="N474" s="344"/>
      <c r="O474" s="344"/>
      <c r="P474" s="344"/>
      <c r="Q474" s="344"/>
      <c r="R474" s="344"/>
      <c r="S474" s="344"/>
      <c r="T474" s="344"/>
      <c r="U474" s="344"/>
      <c r="V474" s="344"/>
      <c r="W474" s="344"/>
      <c r="X474" s="344"/>
      <c r="Y474" s="344"/>
      <c r="Z474" s="344"/>
      <c r="AA474" s="344"/>
      <c r="AB474" s="344"/>
      <c r="AC474" s="344"/>
      <c r="AD474" s="344"/>
    </row>
    <row r="475">
      <c r="A475" s="344"/>
      <c r="B475" s="548"/>
      <c r="C475" s="548"/>
      <c r="D475" s="344"/>
      <c r="E475" s="344"/>
      <c r="F475" s="549"/>
      <c r="G475" s="545"/>
      <c r="H475" s="545"/>
      <c r="I475" s="344"/>
      <c r="J475" s="344"/>
      <c r="K475" s="344"/>
      <c r="L475" s="344"/>
      <c r="M475" s="344"/>
      <c r="N475" s="344"/>
      <c r="O475" s="344"/>
      <c r="P475" s="344"/>
      <c r="Q475" s="344"/>
      <c r="R475" s="344"/>
      <c r="S475" s="344"/>
      <c r="T475" s="344"/>
      <c r="U475" s="344"/>
      <c r="V475" s="344"/>
      <c r="W475" s="344"/>
      <c r="X475" s="344"/>
      <c r="Y475" s="344"/>
      <c r="Z475" s="344"/>
      <c r="AA475" s="344"/>
      <c r="AB475" s="344"/>
      <c r="AC475" s="344"/>
      <c r="AD475" s="344"/>
    </row>
    <row r="476">
      <c r="A476" s="344"/>
      <c r="B476" s="548"/>
      <c r="C476" s="548"/>
      <c r="D476" s="344"/>
      <c r="E476" s="344"/>
      <c r="F476" s="549"/>
      <c r="G476" s="545"/>
      <c r="H476" s="545"/>
      <c r="I476" s="344"/>
      <c r="J476" s="344"/>
      <c r="K476" s="344"/>
      <c r="L476" s="344"/>
      <c r="M476" s="344"/>
      <c r="N476" s="344"/>
      <c r="O476" s="344"/>
      <c r="P476" s="344"/>
      <c r="Q476" s="344"/>
      <c r="R476" s="344"/>
      <c r="S476" s="344"/>
      <c r="T476" s="344"/>
      <c r="U476" s="344"/>
      <c r="V476" s="344"/>
      <c r="W476" s="344"/>
      <c r="X476" s="344"/>
      <c r="Y476" s="344"/>
      <c r="Z476" s="344"/>
      <c r="AA476" s="344"/>
      <c r="AB476" s="344"/>
      <c r="AC476" s="344"/>
      <c r="AD476" s="344"/>
    </row>
    <row r="477">
      <c r="A477" s="344"/>
      <c r="B477" s="548"/>
      <c r="C477" s="548"/>
      <c r="D477" s="344"/>
      <c r="E477" s="344"/>
      <c r="F477" s="549"/>
      <c r="G477" s="545"/>
      <c r="H477" s="545"/>
      <c r="I477" s="344"/>
      <c r="J477" s="344"/>
      <c r="K477" s="344"/>
      <c r="L477" s="344"/>
      <c r="M477" s="344"/>
      <c r="N477" s="344"/>
      <c r="O477" s="344"/>
      <c r="P477" s="344"/>
      <c r="Q477" s="344"/>
      <c r="R477" s="344"/>
      <c r="S477" s="344"/>
      <c r="T477" s="344"/>
      <c r="U477" s="344"/>
      <c r="V477" s="344"/>
      <c r="W477" s="344"/>
      <c r="X477" s="344"/>
      <c r="Y477" s="344"/>
      <c r="Z477" s="344"/>
      <c r="AA477" s="344"/>
      <c r="AB477" s="344"/>
      <c r="AC477" s="344"/>
      <c r="AD477" s="344"/>
    </row>
    <row r="478">
      <c r="A478" s="344"/>
      <c r="B478" s="548"/>
      <c r="C478" s="548"/>
      <c r="D478" s="344"/>
      <c r="E478" s="344"/>
      <c r="F478" s="549"/>
      <c r="G478" s="545"/>
      <c r="H478" s="545"/>
      <c r="I478" s="344"/>
      <c r="J478" s="344"/>
      <c r="K478" s="344"/>
      <c r="L478" s="344"/>
      <c r="M478" s="344"/>
      <c r="N478" s="344"/>
      <c r="O478" s="344"/>
      <c r="P478" s="344"/>
      <c r="Q478" s="344"/>
      <c r="R478" s="344"/>
      <c r="S478" s="344"/>
      <c r="T478" s="344"/>
      <c r="U478" s="344"/>
      <c r="V478" s="344"/>
      <c r="W478" s="344"/>
      <c r="X478" s="344"/>
      <c r="Y478" s="344"/>
      <c r="Z478" s="344"/>
      <c r="AA478" s="344"/>
      <c r="AB478" s="344"/>
      <c r="AC478" s="344"/>
      <c r="AD478" s="344"/>
    </row>
    <row r="479">
      <c r="A479" s="344"/>
      <c r="B479" s="548"/>
      <c r="C479" s="548"/>
      <c r="D479" s="344"/>
      <c r="E479" s="344"/>
      <c r="F479" s="549"/>
      <c r="G479" s="545"/>
      <c r="H479" s="545"/>
      <c r="I479" s="344"/>
      <c r="J479" s="344"/>
      <c r="K479" s="344"/>
      <c r="L479" s="344"/>
      <c r="M479" s="344"/>
      <c r="N479" s="344"/>
      <c r="O479" s="344"/>
      <c r="P479" s="344"/>
      <c r="Q479" s="344"/>
      <c r="R479" s="344"/>
      <c r="S479" s="344"/>
      <c r="T479" s="344"/>
      <c r="U479" s="344"/>
      <c r="V479" s="344"/>
      <c r="W479" s="344"/>
      <c r="X479" s="344"/>
      <c r="Y479" s="344"/>
      <c r="Z479" s="344"/>
      <c r="AA479" s="344"/>
      <c r="AB479" s="344"/>
      <c r="AC479" s="344"/>
      <c r="AD479" s="344"/>
    </row>
    <row r="480">
      <c r="A480" s="344"/>
      <c r="B480" s="548"/>
      <c r="C480" s="548"/>
      <c r="D480" s="344"/>
      <c r="E480" s="344"/>
      <c r="F480" s="549"/>
      <c r="G480" s="545"/>
      <c r="H480" s="545"/>
      <c r="I480" s="344"/>
      <c r="J480" s="344"/>
      <c r="K480" s="344"/>
      <c r="L480" s="344"/>
      <c r="M480" s="344"/>
      <c r="N480" s="344"/>
      <c r="O480" s="344"/>
      <c r="P480" s="344"/>
      <c r="Q480" s="344"/>
      <c r="R480" s="344"/>
      <c r="S480" s="344"/>
      <c r="T480" s="344"/>
      <c r="U480" s="344"/>
      <c r="V480" s="344"/>
      <c r="W480" s="344"/>
      <c r="X480" s="344"/>
      <c r="Y480" s="344"/>
      <c r="Z480" s="344"/>
      <c r="AA480" s="344"/>
      <c r="AB480" s="344"/>
      <c r="AC480" s="344"/>
      <c r="AD480" s="344"/>
    </row>
    <row r="481">
      <c r="A481" s="344"/>
      <c r="B481" s="548"/>
      <c r="C481" s="548"/>
      <c r="D481" s="344"/>
      <c r="E481" s="344"/>
      <c r="F481" s="549"/>
      <c r="G481" s="545"/>
      <c r="H481" s="545"/>
      <c r="I481" s="344"/>
      <c r="J481" s="344"/>
      <c r="K481" s="344"/>
      <c r="L481" s="344"/>
      <c r="M481" s="344"/>
      <c r="N481" s="344"/>
      <c r="O481" s="344"/>
      <c r="P481" s="344"/>
      <c r="Q481" s="344"/>
      <c r="R481" s="344"/>
      <c r="S481" s="344"/>
      <c r="T481" s="344"/>
      <c r="U481" s="344"/>
      <c r="V481" s="344"/>
      <c r="W481" s="344"/>
      <c r="X481" s="344"/>
      <c r="Y481" s="344"/>
      <c r="Z481" s="344"/>
      <c r="AA481" s="344"/>
      <c r="AB481" s="344"/>
      <c r="AC481" s="344"/>
      <c r="AD481" s="344"/>
    </row>
    <row r="482">
      <c r="A482" s="344"/>
      <c r="B482" s="548"/>
      <c r="C482" s="548"/>
      <c r="D482" s="344"/>
      <c r="E482" s="344"/>
      <c r="F482" s="549"/>
      <c r="G482" s="545"/>
      <c r="H482" s="545"/>
      <c r="I482" s="344"/>
      <c r="J482" s="344"/>
      <c r="K482" s="344"/>
      <c r="L482" s="344"/>
      <c r="M482" s="344"/>
      <c r="N482" s="344"/>
      <c r="O482" s="344"/>
      <c r="P482" s="344"/>
      <c r="Q482" s="344"/>
      <c r="R482" s="344"/>
      <c r="S482" s="344"/>
      <c r="T482" s="344"/>
      <c r="U482" s="344"/>
      <c r="V482" s="344"/>
      <c r="W482" s="344"/>
      <c r="X482" s="344"/>
      <c r="Y482" s="344"/>
      <c r="Z482" s="344"/>
      <c r="AA482" s="344"/>
      <c r="AB482" s="344"/>
      <c r="AC482" s="344"/>
      <c r="AD482" s="344"/>
    </row>
    <row r="483">
      <c r="A483" s="344"/>
      <c r="B483" s="548"/>
      <c r="C483" s="548"/>
      <c r="D483" s="344"/>
      <c r="E483" s="344"/>
      <c r="F483" s="549"/>
      <c r="G483" s="545"/>
      <c r="H483" s="545"/>
      <c r="I483" s="344"/>
      <c r="J483" s="344"/>
      <c r="K483" s="344"/>
      <c r="L483" s="344"/>
      <c r="M483" s="344"/>
      <c r="N483" s="344"/>
      <c r="O483" s="344"/>
      <c r="P483" s="344"/>
      <c r="Q483" s="344"/>
      <c r="R483" s="344"/>
      <c r="S483" s="344"/>
      <c r="T483" s="344"/>
      <c r="U483" s="344"/>
      <c r="V483" s="344"/>
      <c r="W483" s="344"/>
      <c r="X483" s="344"/>
      <c r="Y483" s="344"/>
      <c r="Z483" s="344"/>
      <c r="AA483" s="344"/>
      <c r="AB483" s="344"/>
      <c r="AC483" s="344"/>
      <c r="AD483" s="344"/>
    </row>
    <row r="484">
      <c r="A484" s="344"/>
      <c r="B484" s="548"/>
      <c r="C484" s="548"/>
      <c r="D484" s="344"/>
      <c r="E484" s="344"/>
      <c r="F484" s="549"/>
      <c r="G484" s="545"/>
      <c r="H484" s="545"/>
      <c r="I484" s="344"/>
      <c r="J484" s="344"/>
      <c r="K484" s="344"/>
      <c r="L484" s="344"/>
      <c r="M484" s="344"/>
      <c r="N484" s="344"/>
      <c r="O484" s="344"/>
      <c r="P484" s="344"/>
      <c r="Q484" s="344"/>
      <c r="R484" s="344"/>
      <c r="S484" s="344"/>
      <c r="T484" s="344"/>
      <c r="U484" s="344"/>
      <c r="V484" s="344"/>
      <c r="W484" s="344"/>
      <c r="X484" s="344"/>
      <c r="Y484" s="344"/>
      <c r="Z484" s="344"/>
      <c r="AA484" s="344"/>
      <c r="AB484" s="344"/>
      <c r="AC484" s="344"/>
      <c r="AD484" s="344"/>
    </row>
    <row r="485">
      <c r="A485" s="344"/>
      <c r="B485" s="548"/>
      <c r="C485" s="548"/>
      <c r="D485" s="344"/>
      <c r="E485" s="344"/>
      <c r="F485" s="549"/>
      <c r="G485" s="545"/>
      <c r="H485" s="545"/>
      <c r="I485" s="344"/>
      <c r="J485" s="344"/>
      <c r="K485" s="344"/>
      <c r="L485" s="344"/>
      <c r="M485" s="344"/>
      <c r="N485" s="344"/>
      <c r="O485" s="344"/>
      <c r="P485" s="344"/>
      <c r="Q485" s="344"/>
      <c r="R485" s="344"/>
      <c r="S485" s="344"/>
      <c r="T485" s="344"/>
      <c r="U485" s="344"/>
      <c r="V485" s="344"/>
      <c r="W485" s="344"/>
      <c r="X485" s="344"/>
      <c r="Y485" s="344"/>
      <c r="Z485" s="344"/>
      <c r="AA485" s="344"/>
      <c r="AB485" s="344"/>
      <c r="AC485" s="344"/>
      <c r="AD485" s="344"/>
    </row>
    <row r="486">
      <c r="A486" s="344"/>
      <c r="B486" s="548"/>
      <c r="C486" s="548"/>
      <c r="D486" s="344"/>
      <c r="E486" s="344"/>
      <c r="F486" s="549"/>
      <c r="G486" s="545"/>
      <c r="H486" s="545"/>
      <c r="I486" s="344"/>
      <c r="J486" s="344"/>
      <c r="K486" s="344"/>
      <c r="L486" s="344"/>
      <c r="M486" s="344"/>
      <c r="N486" s="344"/>
      <c r="O486" s="344"/>
      <c r="P486" s="344"/>
      <c r="Q486" s="344"/>
      <c r="R486" s="344"/>
      <c r="S486" s="344"/>
      <c r="T486" s="344"/>
      <c r="U486" s="344"/>
      <c r="V486" s="344"/>
      <c r="W486" s="344"/>
      <c r="X486" s="344"/>
      <c r="Y486" s="344"/>
      <c r="Z486" s="344"/>
      <c r="AA486" s="344"/>
      <c r="AB486" s="344"/>
      <c r="AC486" s="344"/>
      <c r="AD486" s="344"/>
    </row>
    <row r="487">
      <c r="A487" s="344"/>
      <c r="B487" s="548"/>
      <c r="C487" s="548"/>
      <c r="D487" s="344"/>
      <c r="E487" s="344"/>
      <c r="F487" s="549"/>
      <c r="G487" s="545"/>
      <c r="H487" s="545"/>
      <c r="I487" s="344"/>
      <c r="J487" s="344"/>
      <c r="K487" s="344"/>
      <c r="L487" s="344"/>
      <c r="M487" s="344"/>
      <c r="N487" s="344"/>
      <c r="O487" s="344"/>
      <c r="P487" s="344"/>
      <c r="Q487" s="344"/>
      <c r="R487" s="344"/>
      <c r="S487" s="344"/>
      <c r="T487" s="344"/>
      <c r="U487" s="344"/>
      <c r="V487" s="344"/>
      <c r="W487" s="344"/>
      <c r="X487" s="344"/>
      <c r="Y487" s="344"/>
      <c r="Z487" s="344"/>
      <c r="AA487" s="344"/>
      <c r="AB487" s="344"/>
      <c r="AC487" s="344"/>
      <c r="AD487" s="344"/>
    </row>
    <row r="488">
      <c r="A488" s="344"/>
      <c r="B488" s="548"/>
      <c r="C488" s="548"/>
      <c r="D488" s="344"/>
      <c r="E488" s="344"/>
      <c r="F488" s="549"/>
      <c r="G488" s="545"/>
      <c r="H488" s="545"/>
      <c r="I488" s="344"/>
      <c r="J488" s="344"/>
      <c r="K488" s="344"/>
      <c r="L488" s="344"/>
      <c r="M488" s="344"/>
      <c r="N488" s="344"/>
      <c r="O488" s="344"/>
      <c r="P488" s="344"/>
      <c r="Q488" s="344"/>
      <c r="R488" s="344"/>
      <c r="S488" s="344"/>
      <c r="T488" s="344"/>
      <c r="U488" s="344"/>
      <c r="V488" s="344"/>
      <c r="W488" s="344"/>
      <c r="X488" s="344"/>
      <c r="Y488" s="344"/>
      <c r="Z488" s="344"/>
      <c r="AA488" s="344"/>
      <c r="AB488" s="344"/>
      <c r="AC488" s="344"/>
      <c r="AD488" s="344"/>
    </row>
    <row r="489">
      <c r="A489" s="344"/>
      <c r="B489" s="548"/>
      <c r="C489" s="548"/>
      <c r="D489" s="344"/>
      <c r="E489" s="344"/>
      <c r="F489" s="549"/>
      <c r="G489" s="545"/>
      <c r="H489" s="545"/>
      <c r="I489" s="344"/>
      <c r="J489" s="344"/>
      <c r="K489" s="344"/>
      <c r="L489" s="344"/>
      <c r="M489" s="344"/>
      <c r="N489" s="344"/>
      <c r="O489" s="344"/>
      <c r="P489" s="344"/>
      <c r="Q489" s="344"/>
      <c r="R489" s="344"/>
      <c r="S489" s="344"/>
      <c r="T489" s="344"/>
      <c r="U489" s="344"/>
      <c r="V489" s="344"/>
      <c r="W489" s="344"/>
      <c r="X489" s="344"/>
      <c r="Y489" s="344"/>
      <c r="Z489" s="344"/>
      <c r="AA489" s="344"/>
      <c r="AB489" s="344"/>
      <c r="AC489" s="344"/>
      <c r="AD489" s="344"/>
    </row>
    <row r="490">
      <c r="A490" s="344"/>
      <c r="B490" s="548"/>
      <c r="C490" s="548"/>
      <c r="D490" s="344"/>
      <c r="E490" s="344"/>
      <c r="F490" s="549"/>
      <c r="G490" s="545"/>
      <c r="H490" s="545"/>
      <c r="I490" s="344"/>
      <c r="J490" s="344"/>
      <c r="K490" s="344"/>
      <c r="L490" s="344"/>
      <c r="M490" s="344"/>
      <c r="N490" s="344"/>
      <c r="O490" s="344"/>
      <c r="P490" s="344"/>
      <c r="Q490" s="344"/>
      <c r="R490" s="344"/>
      <c r="S490" s="344"/>
      <c r="T490" s="344"/>
      <c r="U490" s="344"/>
      <c r="V490" s="344"/>
      <c r="W490" s="344"/>
      <c r="X490" s="344"/>
      <c r="Y490" s="344"/>
      <c r="Z490" s="344"/>
      <c r="AA490" s="344"/>
      <c r="AB490" s="344"/>
      <c r="AC490" s="344"/>
      <c r="AD490" s="344"/>
    </row>
    <row r="491">
      <c r="A491" s="344"/>
      <c r="B491" s="548"/>
      <c r="C491" s="548"/>
      <c r="D491" s="344"/>
      <c r="E491" s="344"/>
      <c r="F491" s="549"/>
      <c r="G491" s="545"/>
      <c r="H491" s="545"/>
      <c r="I491" s="344"/>
      <c r="J491" s="344"/>
      <c r="K491" s="344"/>
      <c r="L491" s="344"/>
      <c r="M491" s="344"/>
      <c r="N491" s="344"/>
      <c r="O491" s="344"/>
      <c r="P491" s="344"/>
      <c r="Q491" s="344"/>
      <c r="R491" s="344"/>
      <c r="S491" s="344"/>
      <c r="T491" s="344"/>
      <c r="U491" s="344"/>
      <c r="V491" s="344"/>
      <c r="W491" s="344"/>
      <c r="X491" s="344"/>
      <c r="Y491" s="344"/>
      <c r="Z491" s="344"/>
      <c r="AA491" s="344"/>
      <c r="AB491" s="344"/>
      <c r="AC491" s="344"/>
      <c r="AD491" s="344"/>
    </row>
    <row r="492">
      <c r="A492" s="344"/>
      <c r="B492" s="548"/>
      <c r="C492" s="548"/>
      <c r="D492" s="344"/>
      <c r="E492" s="344"/>
      <c r="F492" s="549"/>
      <c r="G492" s="545"/>
      <c r="H492" s="545"/>
      <c r="I492" s="344"/>
      <c r="J492" s="344"/>
      <c r="K492" s="344"/>
      <c r="L492" s="344"/>
      <c r="M492" s="344"/>
      <c r="N492" s="344"/>
      <c r="O492" s="344"/>
      <c r="P492" s="344"/>
      <c r="Q492" s="344"/>
      <c r="R492" s="344"/>
      <c r="S492" s="344"/>
      <c r="T492" s="344"/>
      <c r="U492" s="344"/>
      <c r="V492" s="344"/>
      <c r="W492" s="344"/>
      <c r="X492" s="344"/>
      <c r="Y492" s="344"/>
      <c r="Z492" s="344"/>
      <c r="AA492" s="344"/>
      <c r="AB492" s="344"/>
      <c r="AC492" s="344"/>
      <c r="AD492" s="344"/>
    </row>
    <row r="493">
      <c r="A493" s="344"/>
      <c r="B493" s="548"/>
      <c r="C493" s="548"/>
      <c r="D493" s="344"/>
      <c r="E493" s="344"/>
      <c r="F493" s="549"/>
      <c r="G493" s="545"/>
      <c r="H493" s="545"/>
      <c r="I493" s="344"/>
      <c r="J493" s="344"/>
      <c r="K493" s="344"/>
      <c r="L493" s="344"/>
      <c r="M493" s="344"/>
      <c r="N493" s="344"/>
      <c r="O493" s="344"/>
      <c r="P493" s="344"/>
      <c r="Q493" s="344"/>
      <c r="R493" s="344"/>
      <c r="S493" s="344"/>
      <c r="T493" s="344"/>
      <c r="U493" s="344"/>
      <c r="V493" s="344"/>
      <c r="W493" s="344"/>
      <c r="X493" s="344"/>
      <c r="Y493" s="344"/>
      <c r="Z493" s="344"/>
      <c r="AA493" s="344"/>
      <c r="AB493" s="344"/>
      <c r="AC493" s="344"/>
      <c r="AD493" s="344"/>
    </row>
    <row r="494">
      <c r="A494" s="344"/>
      <c r="B494" s="548"/>
      <c r="C494" s="548"/>
      <c r="D494" s="344"/>
      <c r="E494" s="344"/>
      <c r="F494" s="549"/>
      <c r="G494" s="545"/>
      <c r="H494" s="545"/>
      <c r="I494" s="344"/>
      <c r="J494" s="344"/>
      <c r="K494" s="344"/>
      <c r="L494" s="344"/>
      <c r="M494" s="344"/>
      <c r="N494" s="344"/>
      <c r="O494" s="344"/>
      <c r="P494" s="344"/>
      <c r="Q494" s="344"/>
      <c r="R494" s="344"/>
      <c r="S494" s="344"/>
      <c r="T494" s="344"/>
      <c r="U494" s="344"/>
      <c r="V494" s="344"/>
      <c r="W494" s="344"/>
      <c r="X494" s="344"/>
      <c r="Y494" s="344"/>
      <c r="Z494" s="344"/>
      <c r="AA494" s="344"/>
      <c r="AB494" s="344"/>
      <c r="AC494" s="344"/>
      <c r="AD494" s="344"/>
    </row>
    <row r="495">
      <c r="A495" s="344"/>
      <c r="B495" s="548"/>
      <c r="C495" s="548"/>
      <c r="D495" s="344"/>
      <c r="E495" s="344"/>
      <c r="F495" s="549"/>
      <c r="G495" s="545"/>
      <c r="H495" s="545"/>
      <c r="I495" s="344"/>
      <c r="J495" s="344"/>
      <c r="K495" s="344"/>
      <c r="L495" s="344"/>
      <c r="M495" s="344"/>
      <c r="N495" s="344"/>
      <c r="O495" s="344"/>
      <c r="P495" s="344"/>
      <c r="Q495" s="344"/>
      <c r="R495" s="344"/>
      <c r="S495" s="344"/>
      <c r="T495" s="344"/>
      <c r="U495" s="344"/>
      <c r="V495" s="344"/>
      <c r="W495" s="344"/>
      <c r="X495" s="344"/>
      <c r="Y495" s="344"/>
      <c r="Z495" s="344"/>
      <c r="AA495" s="344"/>
      <c r="AB495" s="344"/>
      <c r="AC495" s="344"/>
      <c r="AD495" s="344"/>
    </row>
    <row r="496">
      <c r="A496" s="344"/>
      <c r="B496" s="548"/>
      <c r="C496" s="548"/>
      <c r="D496" s="344"/>
      <c r="E496" s="344"/>
      <c r="F496" s="549"/>
      <c r="G496" s="545"/>
      <c r="H496" s="545"/>
      <c r="I496" s="344"/>
      <c r="J496" s="344"/>
      <c r="K496" s="344"/>
      <c r="L496" s="344"/>
      <c r="M496" s="344"/>
      <c r="N496" s="344"/>
      <c r="O496" s="344"/>
      <c r="P496" s="344"/>
      <c r="Q496" s="344"/>
      <c r="R496" s="344"/>
      <c r="S496" s="344"/>
      <c r="T496" s="344"/>
      <c r="U496" s="344"/>
      <c r="V496" s="344"/>
      <c r="W496" s="344"/>
      <c r="X496" s="344"/>
      <c r="Y496" s="344"/>
      <c r="Z496" s="344"/>
      <c r="AA496" s="344"/>
      <c r="AB496" s="344"/>
      <c r="AC496" s="344"/>
      <c r="AD496" s="344"/>
    </row>
    <row r="497">
      <c r="A497" s="344"/>
      <c r="B497" s="548"/>
      <c r="C497" s="548"/>
      <c r="D497" s="344"/>
      <c r="E497" s="344"/>
      <c r="F497" s="549"/>
      <c r="G497" s="545"/>
      <c r="H497" s="545"/>
      <c r="I497" s="344"/>
      <c r="J497" s="344"/>
      <c r="K497" s="344"/>
      <c r="L497" s="344"/>
      <c r="M497" s="344"/>
      <c r="N497" s="344"/>
      <c r="O497" s="344"/>
      <c r="P497" s="344"/>
      <c r="Q497" s="344"/>
      <c r="R497" s="344"/>
      <c r="S497" s="344"/>
      <c r="T497" s="344"/>
      <c r="U497" s="344"/>
      <c r="V497" s="344"/>
      <c r="W497" s="344"/>
      <c r="X497" s="344"/>
      <c r="Y497" s="344"/>
      <c r="Z497" s="344"/>
      <c r="AA497" s="344"/>
      <c r="AB497" s="344"/>
      <c r="AC497" s="344"/>
      <c r="AD497" s="344"/>
    </row>
    <row r="498">
      <c r="A498" s="344"/>
      <c r="B498" s="548"/>
      <c r="C498" s="548"/>
      <c r="D498" s="344"/>
      <c r="E498" s="344"/>
      <c r="F498" s="549"/>
      <c r="G498" s="545"/>
      <c r="H498" s="545"/>
      <c r="I498" s="344"/>
      <c r="J498" s="344"/>
      <c r="K498" s="344"/>
      <c r="L498" s="344"/>
      <c r="M498" s="344"/>
      <c r="N498" s="344"/>
      <c r="O498" s="344"/>
      <c r="P498" s="344"/>
      <c r="Q498" s="344"/>
      <c r="R498" s="344"/>
      <c r="S498" s="344"/>
      <c r="T498" s="344"/>
      <c r="U498" s="344"/>
      <c r="V498" s="344"/>
      <c r="W498" s="344"/>
      <c r="X498" s="344"/>
      <c r="Y498" s="344"/>
      <c r="Z498" s="344"/>
      <c r="AA498" s="344"/>
      <c r="AB498" s="344"/>
      <c r="AC498" s="344"/>
      <c r="AD498" s="344"/>
    </row>
    <row r="499">
      <c r="A499" s="344"/>
      <c r="B499" s="548"/>
      <c r="C499" s="548"/>
      <c r="D499" s="344"/>
      <c r="E499" s="344"/>
      <c r="F499" s="549"/>
      <c r="G499" s="545"/>
      <c r="H499" s="545"/>
      <c r="I499" s="344"/>
      <c r="J499" s="344"/>
      <c r="K499" s="344"/>
      <c r="L499" s="344"/>
      <c r="M499" s="344"/>
      <c r="N499" s="344"/>
      <c r="O499" s="344"/>
      <c r="P499" s="344"/>
      <c r="Q499" s="344"/>
      <c r="R499" s="344"/>
      <c r="S499" s="344"/>
      <c r="T499" s="344"/>
      <c r="U499" s="344"/>
      <c r="V499" s="344"/>
      <c r="W499" s="344"/>
      <c r="X499" s="344"/>
      <c r="Y499" s="344"/>
      <c r="Z499" s="344"/>
      <c r="AA499" s="344"/>
      <c r="AB499" s="344"/>
      <c r="AC499" s="344"/>
      <c r="AD499" s="344"/>
    </row>
    <row r="500">
      <c r="A500" s="344"/>
      <c r="B500" s="548"/>
      <c r="C500" s="548"/>
      <c r="D500" s="344"/>
      <c r="E500" s="344"/>
      <c r="F500" s="549"/>
      <c r="G500" s="545"/>
      <c r="H500" s="545"/>
      <c r="I500" s="344"/>
      <c r="J500" s="344"/>
      <c r="K500" s="344"/>
      <c r="L500" s="344"/>
      <c r="M500" s="344"/>
      <c r="N500" s="344"/>
      <c r="O500" s="344"/>
      <c r="P500" s="344"/>
      <c r="Q500" s="344"/>
      <c r="R500" s="344"/>
      <c r="S500" s="344"/>
      <c r="T500" s="344"/>
      <c r="U500" s="344"/>
      <c r="V500" s="344"/>
      <c r="W500" s="344"/>
      <c r="X500" s="344"/>
      <c r="Y500" s="344"/>
      <c r="Z500" s="344"/>
      <c r="AA500" s="344"/>
      <c r="AB500" s="344"/>
      <c r="AC500" s="344"/>
      <c r="AD500" s="344"/>
    </row>
    <row r="501">
      <c r="A501" s="344"/>
      <c r="B501" s="548"/>
      <c r="C501" s="548"/>
      <c r="D501" s="344"/>
      <c r="E501" s="344"/>
      <c r="F501" s="549"/>
      <c r="G501" s="545"/>
      <c r="H501" s="545"/>
      <c r="I501" s="344"/>
      <c r="J501" s="344"/>
      <c r="K501" s="344"/>
      <c r="L501" s="344"/>
      <c r="M501" s="344"/>
      <c r="N501" s="344"/>
      <c r="O501" s="344"/>
      <c r="P501" s="344"/>
      <c r="Q501" s="344"/>
      <c r="R501" s="344"/>
      <c r="S501" s="344"/>
      <c r="T501" s="344"/>
      <c r="U501" s="344"/>
      <c r="V501" s="344"/>
      <c r="W501" s="344"/>
      <c r="X501" s="344"/>
      <c r="Y501" s="344"/>
      <c r="Z501" s="344"/>
      <c r="AA501" s="344"/>
      <c r="AB501" s="344"/>
      <c r="AC501" s="344"/>
      <c r="AD501" s="344"/>
    </row>
    <row r="502">
      <c r="A502" s="344"/>
      <c r="B502" s="548"/>
      <c r="C502" s="548"/>
      <c r="D502" s="344"/>
      <c r="E502" s="344"/>
      <c r="F502" s="549"/>
      <c r="G502" s="545"/>
      <c r="H502" s="545"/>
      <c r="I502" s="344"/>
      <c r="J502" s="344"/>
      <c r="K502" s="344"/>
      <c r="L502" s="344"/>
      <c r="M502" s="344"/>
      <c r="N502" s="344"/>
      <c r="O502" s="344"/>
      <c r="P502" s="344"/>
      <c r="Q502" s="344"/>
      <c r="R502" s="344"/>
      <c r="S502" s="344"/>
      <c r="T502" s="344"/>
      <c r="U502" s="344"/>
      <c r="V502" s="344"/>
      <c r="W502" s="344"/>
      <c r="X502" s="344"/>
      <c r="Y502" s="344"/>
      <c r="Z502" s="344"/>
      <c r="AA502" s="344"/>
      <c r="AB502" s="344"/>
      <c r="AC502" s="344"/>
      <c r="AD502" s="344"/>
    </row>
    <row r="503">
      <c r="A503" s="344"/>
      <c r="B503" s="548"/>
      <c r="C503" s="548"/>
      <c r="D503" s="344"/>
      <c r="E503" s="344"/>
      <c r="F503" s="549"/>
      <c r="G503" s="545"/>
      <c r="H503" s="545"/>
      <c r="I503" s="344"/>
      <c r="J503" s="344"/>
      <c r="K503" s="344"/>
      <c r="L503" s="344"/>
      <c r="M503" s="344"/>
      <c r="N503" s="344"/>
      <c r="O503" s="344"/>
      <c r="P503" s="344"/>
      <c r="Q503" s="344"/>
      <c r="R503" s="344"/>
      <c r="S503" s="344"/>
      <c r="T503" s="344"/>
      <c r="U503" s="344"/>
      <c r="V503" s="344"/>
      <c r="W503" s="344"/>
      <c r="X503" s="344"/>
      <c r="Y503" s="344"/>
      <c r="Z503" s="344"/>
      <c r="AA503" s="344"/>
      <c r="AB503" s="344"/>
      <c r="AC503" s="344"/>
      <c r="AD503" s="344"/>
    </row>
    <row r="504">
      <c r="A504" s="344"/>
      <c r="B504" s="548"/>
      <c r="C504" s="548"/>
      <c r="D504" s="344"/>
      <c r="E504" s="344"/>
      <c r="F504" s="549"/>
      <c r="G504" s="545"/>
      <c r="H504" s="545"/>
      <c r="I504" s="344"/>
      <c r="J504" s="344"/>
      <c r="K504" s="344"/>
      <c r="L504" s="344"/>
      <c r="M504" s="344"/>
      <c r="N504" s="344"/>
      <c r="O504" s="344"/>
      <c r="P504" s="344"/>
      <c r="Q504" s="344"/>
      <c r="R504" s="344"/>
      <c r="S504" s="344"/>
      <c r="T504" s="344"/>
      <c r="U504" s="344"/>
      <c r="V504" s="344"/>
      <c r="W504" s="344"/>
      <c r="X504" s="344"/>
      <c r="Y504" s="344"/>
      <c r="Z504" s="344"/>
      <c r="AA504" s="344"/>
      <c r="AB504" s="344"/>
      <c r="AC504" s="344"/>
      <c r="AD504" s="344"/>
    </row>
    <row r="505">
      <c r="A505" s="344"/>
      <c r="B505" s="548"/>
      <c r="C505" s="548"/>
      <c r="D505" s="344"/>
      <c r="E505" s="344"/>
      <c r="F505" s="549"/>
      <c r="G505" s="545"/>
      <c r="H505" s="545"/>
      <c r="I505" s="344"/>
      <c r="J505" s="344"/>
      <c r="K505" s="344"/>
      <c r="L505" s="344"/>
      <c r="M505" s="344"/>
      <c r="N505" s="344"/>
      <c r="O505" s="344"/>
      <c r="P505" s="344"/>
      <c r="Q505" s="344"/>
      <c r="R505" s="344"/>
      <c r="S505" s="344"/>
      <c r="T505" s="344"/>
      <c r="U505" s="344"/>
      <c r="V505" s="344"/>
      <c r="W505" s="344"/>
      <c r="X505" s="344"/>
      <c r="Y505" s="344"/>
      <c r="Z505" s="344"/>
      <c r="AA505" s="344"/>
      <c r="AB505" s="344"/>
      <c r="AC505" s="344"/>
      <c r="AD505" s="344"/>
    </row>
    <row r="506">
      <c r="A506" s="344"/>
      <c r="B506" s="548"/>
      <c r="C506" s="548"/>
      <c r="D506" s="344"/>
      <c r="E506" s="344"/>
      <c r="F506" s="549"/>
      <c r="G506" s="545"/>
      <c r="H506" s="545"/>
      <c r="I506" s="344"/>
      <c r="J506" s="344"/>
      <c r="K506" s="344"/>
      <c r="L506" s="344"/>
      <c r="M506" s="344"/>
      <c r="N506" s="344"/>
      <c r="O506" s="344"/>
      <c r="P506" s="344"/>
      <c r="Q506" s="344"/>
      <c r="R506" s="344"/>
      <c r="S506" s="344"/>
      <c r="T506" s="344"/>
      <c r="U506" s="344"/>
      <c r="V506" s="344"/>
      <c r="W506" s="344"/>
      <c r="X506" s="344"/>
      <c r="Y506" s="344"/>
      <c r="Z506" s="344"/>
      <c r="AA506" s="344"/>
      <c r="AB506" s="344"/>
      <c r="AC506" s="344"/>
      <c r="AD506" s="344"/>
    </row>
    <row r="507">
      <c r="A507" s="344"/>
      <c r="B507" s="548"/>
      <c r="C507" s="548"/>
      <c r="D507" s="344"/>
      <c r="E507" s="344"/>
      <c r="F507" s="549"/>
      <c r="G507" s="545"/>
      <c r="H507" s="545"/>
      <c r="I507" s="344"/>
      <c r="J507" s="344"/>
      <c r="K507" s="344"/>
      <c r="L507" s="344"/>
      <c r="M507" s="344"/>
      <c r="N507" s="344"/>
      <c r="O507" s="344"/>
      <c r="P507" s="344"/>
      <c r="Q507" s="344"/>
      <c r="R507" s="344"/>
      <c r="S507" s="344"/>
      <c r="T507" s="344"/>
      <c r="U507" s="344"/>
      <c r="V507" s="344"/>
      <c r="W507" s="344"/>
      <c r="X507" s="344"/>
      <c r="Y507" s="344"/>
      <c r="Z507" s="344"/>
      <c r="AA507" s="344"/>
      <c r="AB507" s="344"/>
      <c r="AC507" s="344"/>
      <c r="AD507" s="344"/>
    </row>
    <row r="508">
      <c r="A508" s="344"/>
      <c r="B508" s="548"/>
      <c r="C508" s="548"/>
      <c r="D508" s="344"/>
      <c r="E508" s="344"/>
      <c r="F508" s="549"/>
      <c r="G508" s="545"/>
      <c r="H508" s="545"/>
      <c r="I508" s="344"/>
      <c r="J508" s="344"/>
      <c r="K508" s="344"/>
      <c r="L508" s="344"/>
      <c r="M508" s="344"/>
      <c r="N508" s="344"/>
      <c r="O508" s="344"/>
      <c r="P508" s="344"/>
      <c r="Q508" s="344"/>
      <c r="R508" s="344"/>
      <c r="S508" s="344"/>
      <c r="T508" s="344"/>
      <c r="U508" s="344"/>
      <c r="V508" s="344"/>
      <c r="W508" s="344"/>
      <c r="X508" s="344"/>
      <c r="Y508" s="344"/>
      <c r="Z508" s="344"/>
      <c r="AA508" s="344"/>
      <c r="AB508" s="344"/>
      <c r="AC508" s="344"/>
      <c r="AD508" s="344"/>
    </row>
    <row r="509">
      <c r="A509" s="344"/>
      <c r="B509" s="548"/>
      <c r="C509" s="548"/>
      <c r="D509" s="344"/>
      <c r="E509" s="344"/>
      <c r="F509" s="549"/>
      <c r="G509" s="545"/>
      <c r="H509" s="545"/>
      <c r="I509" s="344"/>
      <c r="J509" s="344"/>
      <c r="K509" s="344"/>
      <c r="L509" s="344"/>
      <c r="M509" s="344"/>
      <c r="N509" s="344"/>
      <c r="O509" s="344"/>
      <c r="P509" s="344"/>
      <c r="Q509" s="344"/>
      <c r="R509" s="344"/>
      <c r="S509" s="344"/>
      <c r="T509" s="344"/>
      <c r="U509" s="344"/>
      <c r="V509" s="344"/>
      <c r="W509" s="344"/>
      <c r="X509" s="344"/>
      <c r="Y509" s="344"/>
      <c r="Z509" s="344"/>
      <c r="AA509" s="344"/>
      <c r="AB509" s="344"/>
      <c r="AC509" s="344"/>
      <c r="AD509" s="344"/>
    </row>
    <row r="510">
      <c r="A510" s="344"/>
      <c r="B510" s="548"/>
      <c r="C510" s="548"/>
      <c r="D510" s="344"/>
      <c r="E510" s="344"/>
      <c r="F510" s="549"/>
      <c r="G510" s="545"/>
      <c r="H510" s="545"/>
      <c r="I510" s="344"/>
      <c r="J510" s="344"/>
      <c r="K510" s="344"/>
      <c r="L510" s="344"/>
      <c r="M510" s="344"/>
      <c r="N510" s="344"/>
      <c r="O510" s="344"/>
      <c r="P510" s="344"/>
      <c r="Q510" s="344"/>
      <c r="R510" s="344"/>
      <c r="S510" s="344"/>
      <c r="T510" s="344"/>
      <c r="U510" s="344"/>
      <c r="V510" s="344"/>
      <c r="W510" s="344"/>
      <c r="X510" s="344"/>
      <c r="Y510" s="344"/>
      <c r="Z510" s="344"/>
      <c r="AA510" s="344"/>
      <c r="AB510" s="344"/>
      <c r="AC510" s="344"/>
      <c r="AD510" s="344"/>
    </row>
    <row r="511">
      <c r="A511" s="344"/>
      <c r="B511" s="548"/>
      <c r="C511" s="548"/>
      <c r="D511" s="344"/>
      <c r="E511" s="344"/>
      <c r="F511" s="549"/>
      <c r="G511" s="545"/>
      <c r="H511" s="545"/>
      <c r="I511" s="344"/>
      <c r="J511" s="344"/>
      <c r="K511" s="344"/>
      <c r="L511" s="344"/>
      <c r="M511" s="344"/>
      <c r="N511" s="344"/>
      <c r="O511" s="344"/>
      <c r="P511" s="344"/>
      <c r="Q511" s="344"/>
      <c r="R511" s="344"/>
      <c r="S511" s="344"/>
      <c r="T511" s="344"/>
      <c r="U511" s="344"/>
      <c r="V511" s="344"/>
      <c r="W511" s="344"/>
      <c r="X511" s="344"/>
      <c r="Y511" s="344"/>
      <c r="Z511" s="344"/>
      <c r="AA511" s="344"/>
      <c r="AB511" s="344"/>
      <c r="AC511" s="344"/>
      <c r="AD511" s="344"/>
    </row>
    <row r="512">
      <c r="A512" s="344"/>
      <c r="B512" s="548"/>
      <c r="C512" s="548"/>
      <c r="D512" s="344"/>
      <c r="E512" s="344"/>
      <c r="F512" s="549"/>
      <c r="G512" s="545"/>
      <c r="H512" s="545"/>
      <c r="I512" s="344"/>
      <c r="J512" s="344"/>
      <c r="K512" s="344"/>
      <c r="L512" s="344"/>
      <c r="M512" s="344"/>
      <c r="N512" s="344"/>
      <c r="O512" s="344"/>
      <c r="P512" s="344"/>
      <c r="Q512" s="344"/>
      <c r="R512" s="344"/>
      <c r="S512" s="344"/>
      <c r="T512" s="344"/>
      <c r="U512" s="344"/>
      <c r="V512" s="344"/>
      <c r="W512" s="344"/>
      <c r="X512" s="344"/>
      <c r="Y512" s="344"/>
      <c r="Z512" s="344"/>
      <c r="AA512" s="344"/>
      <c r="AB512" s="344"/>
      <c r="AC512" s="344"/>
      <c r="AD512" s="344"/>
    </row>
    <row r="513">
      <c r="A513" s="344"/>
      <c r="B513" s="548"/>
      <c r="C513" s="548"/>
      <c r="D513" s="344"/>
      <c r="E513" s="344"/>
      <c r="F513" s="549"/>
      <c r="G513" s="545"/>
      <c r="H513" s="545"/>
      <c r="I513" s="344"/>
      <c r="J513" s="344"/>
      <c r="K513" s="344"/>
      <c r="L513" s="344"/>
      <c r="M513" s="344"/>
      <c r="N513" s="344"/>
      <c r="O513" s="344"/>
      <c r="P513" s="344"/>
      <c r="Q513" s="344"/>
      <c r="R513" s="344"/>
      <c r="S513" s="344"/>
      <c r="T513" s="344"/>
      <c r="U513" s="344"/>
      <c r="V513" s="344"/>
      <c r="W513" s="344"/>
      <c r="X513" s="344"/>
      <c r="Y513" s="344"/>
      <c r="Z513" s="344"/>
      <c r="AA513" s="344"/>
      <c r="AB513" s="344"/>
      <c r="AC513" s="344"/>
      <c r="AD513" s="344"/>
    </row>
    <row r="514">
      <c r="A514" s="344"/>
      <c r="B514" s="548"/>
      <c r="C514" s="548"/>
      <c r="D514" s="344"/>
      <c r="E514" s="344"/>
      <c r="F514" s="549"/>
      <c r="G514" s="545"/>
      <c r="H514" s="545"/>
      <c r="I514" s="344"/>
      <c r="J514" s="344"/>
      <c r="K514" s="344"/>
      <c r="L514" s="344"/>
      <c r="M514" s="344"/>
      <c r="N514" s="344"/>
      <c r="O514" s="344"/>
      <c r="P514" s="344"/>
      <c r="Q514" s="344"/>
      <c r="R514" s="344"/>
      <c r="S514" s="344"/>
      <c r="T514" s="344"/>
      <c r="U514" s="344"/>
      <c r="V514" s="344"/>
      <c r="W514" s="344"/>
      <c r="X514" s="344"/>
      <c r="Y514" s="344"/>
      <c r="Z514" s="344"/>
      <c r="AA514" s="344"/>
      <c r="AB514" s="344"/>
      <c r="AC514" s="344"/>
      <c r="AD514" s="344"/>
    </row>
    <row r="515">
      <c r="A515" s="344"/>
      <c r="B515" s="548"/>
      <c r="C515" s="548"/>
      <c r="D515" s="344"/>
      <c r="E515" s="344"/>
      <c r="F515" s="549"/>
      <c r="G515" s="545"/>
      <c r="H515" s="545"/>
      <c r="I515" s="344"/>
      <c r="J515" s="344"/>
      <c r="K515" s="344"/>
      <c r="L515" s="344"/>
      <c r="M515" s="344"/>
      <c r="N515" s="344"/>
      <c r="O515" s="344"/>
      <c r="P515" s="344"/>
      <c r="Q515" s="344"/>
      <c r="R515" s="344"/>
      <c r="S515" s="344"/>
      <c r="T515" s="344"/>
      <c r="U515" s="344"/>
      <c r="V515" s="344"/>
      <c r="W515" s="344"/>
      <c r="X515" s="344"/>
      <c r="Y515" s="344"/>
      <c r="Z515" s="344"/>
      <c r="AA515" s="344"/>
      <c r="AB515" s="344"/>
      <c r="AC515" s="344"/>
      <c r="AD515" s="344"/>
    </row>
    <row r="516">
      <c r="A516" s="344"/>
      <c r="B516" s="548"/>
      <c r="C516" s="548"/>
      <c r="D516" s="344"/>
      <c r="E516" s="344"/>
      <c r="F516" s="549"/>
      <c r="G516" s="545"/>
      <c r="H516" s="545"/>
      <c r="I516" s="344"/>
      <c r="J516" s="344"/>
      <c r="K516" s="344"/>
      <c r="L516" s="344"/>
      <c r="M516" s="344"/>
      <c r="N516" s="344"/>
      <c r="O516" s="344"/>
      <c r="P516" s="344"/>
      <c r="Q516" s="344"/>
      <c r="R516" s="344"/>
      <c r="S516" s="344"/>
      <c r="T516" s="344"/>
      <c r="U516" s="344"/>
      <c r="V516" s="344"/>
      <c r="W516" s="344"/>
      <c r="X516" s="344"/>
      <c r="Y516" s="344"/>
      <c r="Z516" s="344"/>
      <c r="AA516" s="344"/>
      <c r="AB516" s="344"/>
      <c r="AC516" s="344"/>
      <c r="AD516" s="344"/>
    </row>
    <row r="517">
      <c r="A517" s="344"/>
      <c r="B517" s="548"/>
      <c r="C517" s="548"/>
      <c r="D517" s="344"/>
      <c r="E517" s="344"/>
      <c r="F517" s="549"/>
      <c r="G517" s="545"/>
      <c r="H517" s="545"/>
      <c r="I517" s="344"/>
      <c r="J517" s="344"/>
      <c r="K517" s="344"/>
      <c r="L517" s="344"/>
      <c r="M517" s="344"/>
      <c r="N517" s="344"/>
      <c r="O517" s="344"/>
      <c r="P517" s="344"/>
      <c r="Q517" s="344"/>
      <c r="R517" s="344"/>
      <c r="S517" s="344"/>
      <c r="T517" s="344"/>
      <c r="U517" s="344"/>
      <c r="V517" s="344"/>
      <c r="W517" s="344"/>
      <c r="X517" s="344"/>
      <c r="Y517" s="344"/>
      <c r="Z517" s="344"/>
      <c r="AA517" s="344"/>
      <c r="AB517" s="344"/>
      <c r="AC517" s="344"/>
      <c r="AD517" s="344"/>
    </row>
    <row r="518">
      <c r="A518" s="344"/>
      <c r="B518" s="548"/>
      <c r="C518" s="548"/>
      <c r="D518" s="344"/>
      <c r="E518" s="344"/>
      <c r="F518" s="549"/>
      <c r="G518" s="545"/>
      <c r="H518" s="545"/>
      <c r="I518" s="344"/>
      <c r="J518" s="344"/>
      <c r="K518" s="344"/>
      <c r="L518" s="344"/>
      <c r="M518" s="344"/>
      <c r="N518" s="344"/>
      <c r="O518" s="344"/>
      <c r="P518" s="344"/>
      <c r="Q518" s="344"/>
      <c r="R518" s="344"/>
      <c r="S518" s="344"/>
      <c r="T518" s="344"/>
      <c r="U518" s="344"/>
      <c r="V518" s="344"/>
      <c r="W518" s="344"/>
      <c r="X518" s="344"/>
      <c r="Y518" s="344"/>
      <c r="Z518" s="344"/>
      <c r="AA518" s="344"/>
      <c r="AB518" s="344"/>
      <c r="AC518" s="344"/>
      <c r="AD518" s="344"/>
    </row>
    <row r="519">
      <c r="A519" s="344"/>
      <c r="B519" s="548"/>
      <c r="C519" s="548"/>
      <c r="D519" s="344"/>
      <c r="E519" s="344"/>
      <c r="F519" s="549"/>
      <c r="G519" s="545"/>
      <c r="H519" s="545"/>
      <c r="I519" s="344"/>
      <c r="J519" s="344"/>
      <c r="K519" s="344"/>
      <c r="L519" s="344"/>
      <c r="M519" s="344"/>
      <c r="N519" s="344"/>
      <c r="O519" s="344"/>
      <c r="P519" s="344"/>
      <c r="Q519" s="344"/>
      <c r="R519" s="344"/>
      <c r="S519" s="344"/>
      <c r="T519" s="344"/>
      <c r="U519" s="344"/>
      <c r="V519" s="344"/>
      <c r="W519" s="344"/>
      <c r="X519" s="344"/>
      <c r="Y519" s="344"/>
      <c r="Z519" s="344"/>
      <c r="AA519" s="344"/>
      <c r="AB519" s="344"/>
      <c r="AC519" s="344"/>
      <c r="AD519" s="344"/>
    </row>
    <row r="520">
      <c r="A520" s="344"/>
      <c r="B520" s="548"/>
      <c r="C520" s="548"/>
      <c r="D520" s="344"/>
      <c r="E520" s="344"/>
      <c r="F520" s="549"/>
      <c r="G520" s="545"/>
      <c r="H520" s="545"/>
      <c r="I520" s="344"/>
      <c r="J520" s="344"/>
      <c r="K520" s="344"/>
      <c r="L520" s="344"/>
      <c r="M520" s="344"/>
      <c r="N520" s="344"/>
      <c r="O520" s="344"/>
      <c r="P520" s="344"/>
      <c r="Q520" s="344"/>
      <c r="R520" s="344"/>
      <c r="S520" s="344"/>
      <c r="T520" s="344"/>
      <c r="U520" s="344"/>
      <c r="V520" s="344"/>
      <c r="W520" s="344"/>
      <c r="X520" s="344"/>
      <c r="Y520" s="344"/>
      <c r="Z520" s="344"/>
      <c r="AA520" s="344"/>
      <c r="AB520" s="344"/>
      <c r="AC520" s="344"/>
      <c r="AD520" s="344"/>
    </row>
    <row r="521">
      <c r="A521" s="344"/>
      <c r="B521" s="548"/>
      <c r="C521" s="548"/>
      <c r="D521" s="344"/>
      <c r="E521" s="344"/>
      <c r="F521" s="549"/>
      <c r="G521" s="545"/>
      <c r="H521" s="545"/>
      <c r="I521" s="344"/>
      <c r="J521" s="344"/>
      <c r="K521" s="344"/>
      <c r="L521" s="344"/>
      <c r="M521" s="344"/>
      <c r="N521" s="344"/>
      <c r="O521" s="344"/>
      <c r="P521" s="344"/>
      <c r="Q521" s="344"/>
      <c r="R521" s="344"/>
      <c r="S521" s="344"/>
      <c r="T521" s="344"/>
      <c r="U521" s="344"/>
      <c r="V521" s="344"/>
      <c r="W521" s="344"/>
      <c r="X521" s="344"/>
      <c r="Y521" s="344"/>
      <c r="Z521" s="344"/>
      <c r="AA521" s="344"/>
      <c r="AB521" s="344"/>
      <c r="AC521" s="344"/>
      <c r="AD521" s="344"/>
    </row>
    <row r="522">
      <c r="A522" s="344"/>
      <c r="B522" s="548"/>
      <c r="C522" s="548"/>
      <c r="D522" s="344"/>
      <c r="E522" s="344"/>
      <c r="F522" s="549"/>
      <c r="G522" s="545"/>
      <c r="H522" s="545"/>
      <c r="I522" s="344"/>
      <c r="J522" s="344"/>
      <c r="K522" s="344"/>
      <c r="L522" s="344"/>
      <c r="M522" s="344"/>
      <c r="N522" s="344"/>
      <c r="O522" s="344"/>
      <c r="P522" s="344"/>
      <c r="Q522" s="344"/>
      <c r="R522" s="344"/>
      <c r="S522" s="344"/>
      <c r="T522" s="344"/>
      <c r="U522" s="344"/>
      <c r="V522" s="344"/>
      <c r="W522" s="344"/>
      <c r="X522" s="344"/>
      <c r="Y522" s="344"/>
      <c r="Z522" s="344"/>
      <c r="AA522" s="344"/>
      <c r="AB522" s="344"/>
      <c r="AC522" s="344"/>
      <c r="AD522" s="344"/>
    </row>
    <row r="523">
      <c r="A523" s="344"/>
      <c r="B523" s="548"/>
      <c r="C523" s="548"/>
      <c r="D523" s="344"/>
      <c r="E523" s="344"/>
      <c r="F523" s="549"/>
      <c r="G523" s="545"/>
      <c r="H523" s="545"/>
      <c r="I523" s="344"/>
      <c r="J523" s="344"/>
      <c r="K523" s="344"/>
      <c r="L523" s="344"/>
      <c r="M523" s="344"/>
      <c r="N523" s="344"/>
      <c r="O523" s="344"/>
      <c r="P523" s="344"/>
      <c r="Q523" s="344"/>
      <c r="R523" s="344"/>
      <c r="S523" s="344"/>
      <c r="T523" s="344"/>
      <c r="U523" s="344"/>
      <c r="V523" s="344"/>
      <c r="W523" s="344"/>
      <c r="X523" s="344"/>
      <c r="Y523" s="344"/>
      <c r="Z523" s="344"/>
      <c r="AA523" s="344"/>
      <c r="AB523" s="344"/>
      <c r="AC523" s="344"/>
      <c r="AD523" s="344"/>
    </row>
    <row r="524">
      <c r="A524" s="344"/>
      <c r="B524" s="548"/>
      <c r="C524" s="548"/>
      <c r="D524" s="344"/>
      <c r="E524" s="344"/>
      <c r="F524" s="549"/>
      <c r="G524" s="545"/>
      <c r="H524" s="545"/>
      <c r="I524" s="344"/>
      <c r="J524" s="344"/>
      <c r="K524" s="344"/>
      <c r="L524" s="344"/>
      <c r="M524" s="344"/>
      <c r="N524" s="344"/>
      <c r="O524" s="344"/>
      <c r="P524" s="344"/>
      <c r="Q524" s="344"/>
      <c r="R524" s="344"/>
      <c r="S524" s="344"/>
      <c r="T524" s="344"/>
      <c r="U524" s="344"/>
      <c r="V524" s="344"/>
      <c r="W524" s="344"/>
      <c r="X524" s="344"/>
      <c r="Y524" s="344"/>
      <c r="Z524" s="344"/>
      <c r="AA524" s="344"/>
      <c r="AB524" s="344"/>
      <c r="AC524" s="344"/>
      <c r="AD524" s="344"/>
    </row>
    <row r="525">
      <c r="A525" s="344"/>
      <c r="B525" s="548"/>
      <c r="C525" s="548"/>
      <c r="D525" s="344"/>
      <c r="E525" s="344"/>
      <c r="F525" s="549"/>
      <c r="G525" s="545"/>
      <c r="H525" s="545"/>
      <c r="I525" s="344"/>
      <c r="J525" s="344"/>
      <c r="K525" s="344"/>
      <c r="L525" s="344"/>
      <c r="M525" s="344"/>
      <c r="N525" s="344"/>
      <c r="O525" s="344"/>
      <c r="P525" s="344"/>
      <c r="Q525" s="344"/>
      <c r="R525" s="344"/>
      <c r="S525" s="344"/>
      <c r="T525" s="344"/>
      <c r="U525" s="344"/>
      <c r="V525" s="344"/>
      <c r="W525" s="344"/>
      <c r="X525" s="344"/>
      <c r="Y525" s="344"/>
      <c r="Z525" s="344"/>
      <c r="AA525" s="344"/>
      <c r="AB525" s="344"/>
      <c r="AC525" s="344"/>
      <c r="AD525" s="344"/>
    </row>
    <row r="526">
      <c r="A526" s="344"/>
      <c r="B526" s="548"/>
      <c r="C526" s="548"/>
      <c r="D526" s="344"/>
      <c r="E526" s="344"/>
      <c r="F526" s="549"/>
      <c r="G526" s="545"/>
      <c r="H526" s="545"/>
      <c r="I526" s="344"/>
      <c r="J526" s="344"/>
      <c r="K526" s="344"/>
      <c r="L526" s="344"/>
      <c r="M526" s="344"/>
      <c r="N526" s="344"/>
      <c r="O526" s="344"/>
      <c r="P526" s="344"/>
      <c r="Q526" s="344"/>
      <c r="R526" s="344"/>
      <c r="S526" s="344"/>
      <c r="T526" s="344"/>
      <c r="U526" s="344"/>
      <c r="V526" s="344"/>
      <c r="W526" s="344"/>
      <c r="X526" s="344"/>
      <c r="Y526" s="344"/>
      <c r="Z526" s="344"/>
      <c r="AA526" s="344"/>
      <c r="AB526" s="344"/>
      <c r="AC526" s="344"/>
      <c r="AD526" s="344"/>
    </row>
    <row r="527">
      <c r="A527" s="344"/>
      <c r="B527" s="548"/>
      <c r="C527" s="548"/>
      <c r="D527" s="344"/>
      <c r="E527" s="344"/>
      <c r="F527" s="549"/>
      <c r="G527" s="545"/>
      <c r="H527" s="545"/>
      <c r="I527" s="344"/>
      <c r="J527" s="344"/>
      <c r="K527" s="344"/>
      <c r="L527" s="344"/>
      <c r="M527" s="344"/>
      <c r="N527" s="344"/>
      <c r="O527" s="344"/>
      <c r="P527" s="344"/>
      <c r="Q527" s="344"/>
      <c r="R527" s="344"/>
      <c r="S527" s="344"/>
      <c r="T527" s="344"/>
      <c r="U527" s="344"/>
      <c r="V527" s="344"/>
      <c r="W527" s="344"/>
      <c r="X527" s="344"/>
      <c r="Y527" s="344"/>
      <c r="Z527" s="344"/>
      <c r="AA527" s="344"/>
      <c r="AB527" s="344"/>
      <c r="AC527" s="344"/>
      <c r="AD527" s="344"/>
    </row>
    <row r="528">
      <c r="A528" s="344"/>
      <c r="B528" s="548"/>
      <c r="C528" s="548"/>
      <c r="D528" s="344"/>
      <c r="E528" s="344"/>
      <c r="F528" s="549"/>
      <c r="G528" s="545"/>
      <c r="H528" s="545"/>
      <c r="I528" s="344"/>
      <c r="J528" s="344"/>
      <c r="K528" s="344"/>
      <c r="L528" s="344"/>
      <c r="M528" s="344"/>
      <c r="N528" s="344"/>
      <c r="O528" s="344"/>
      <c r="P528" s="344"/>
      <c r="Q528" s="344"/>
      <c r="R528" s="344"/>
      <c r="S528" s="344"/>
      <c r="T528" s="344"/>
      <c r="U528" s="344"/>
      <c r="V528" s="344"/>
      <c r="W528" s="344"/>
      <c r="X528" s="344"/>
      <c r="Y528" s="344"/>
      <c r="Z528" s="344"/>
      <c r="AA528" s="344"/>
      <c r="AB528" s="344"/>
      <c r="AC528" s="344"/>
      <c r="AD528" s="344"/>
    </row>
    <row r="529">
      <c r="A529" s="344"/>
      <c r="B529" s="548"/>
      <c r="C529" s="548"/>
      <c r="D529" s="344"/>
      <c r="E529" s="344"/>
      <c r="F529" s="549"/>
      <c r="G529" s="545"/>
      <c r="H529" s="545"/>
      <c r="I529" s="344"/>
      <c r="J529" s="344"/>
      <c r="K529" s="344"/>
      <c r="L529" s="344"/>
      <c r="M529" s="344"/>
      <c r="N529" s="344"/>
      <c r="O529" s="344"/>
      <c r="P529" s="344"/>
      <c r="Q529" s="344"/>
      <c r="R529" s="344"/>
      <c r="S529" s="344"/>
      <c r="T529" s="344"/>
      <c r="U529" s="344"/>
      <c r="V529" s="344"/>
      <c r="W529" s="344"/>
      <c r="X529" s="344"/>
      <c r="Y529" s="344"/>
      <c r="Z529" s="344"/>
      <c r="AA529" s="344"/>
      <c r="AB529" s="344"/>
      <c r="AC529" s="344"/>
      <c r="AD529" s="344"/>
    </row>
    <row r="530">
      <c r="A530" s="344"/>
      <c r="B530" s="548"/>
      <c r="C530" s="548"/>
      <c r="D530" s="344"/>
      <c r="E530" s="344"/>
      <c r="F530" s="549"/>
      <c r="G530" s="545"/>
      <c r="H530" s="545"/>
      <c r="I530" s="344"/>
      <c r="J530" s="344"/>
      <c r="K530" s="344"/>
      <c r="L530" s="344"/>
      <c r="M530" s="344"/>
      <c r="N530" s="344"/>
      <c r="O530" s="344"/>
      <c r="P530" s="344"/>
      <c r="Q530" s="344"/>
      <c r="R530" s="344"/>
      <c r="S530" s="344"/>
      <c r="T530" s="344"/>
      <c r="U530" s="344"/>
      <c r="V530" s="344"/>
      <c r="W530" s="344"/>
      <c r="X530" s="344"/>
      <c r="Y530" s="344"/>
      <c r="Z530" s="344"/>
      <c r="AA530" s="344"/>
      <c r="AB530" s="344"/>
      <c r="AC530" s="344"/>
      <c r="AD530" s="344"/>
    </row>
    <row r="531">
      <c r="A531" s="344"/>
      <c r="B531" s="548"/>
      <c r="C531" s="548"/>
      <c r="D531" s="344"/>
      <c r="E531" s="344"/>
      <c r="F531" s="549"/>
      <c r="G531" s="545"/>
      <c r="H531" s="545"/>
      <c r="I531" s="344"/>
      <c r="J531" s="344"/>
      <c r="K531" s="344"/>
      <c r="L531" s="344"/>
      <c r="M531" s="344"/>
      <c r="N531" s="344"/>
      <c r="O531" s="344"/>
      <c r="P531" s="344"/>
      <c r="Q531" s="344"/>
      <c r="R531" s="344"/>
      <c r="S531" s="344"/>
      <c r="T531" s="344"/>
      <c r="U531" s="344"/>
      <c r="V531" s="344"/>
      <c r="W531" s="344"/>
      <c r="X531" s="344"/>
      <c r="Y531" s="344"/>
      <c r="Z531" s="344"/>
      <c r="AA531" s="344"/>
      <c r="AB531" s="344"/>
      <c r="AC531" s="344"/>
      <c r="AD531" s="344"/>
    </row>
    <row r="532">
      <c r="A532" s="344"/>
      <c r="B532" s="548"/>
      <c r="C532" s="548"/>
      <c r="D532" s="344"/>
      <c r="E532" s="344"/>
      <c r="F532" s="549"/>
      <c r="G532" s="545"/>
      <c r="H532" s="545"/>
      <c r="I532" s="344"/>
      <c r="J532" s="344"/>
      <c r="K532" s="344"/>
      <c r="L532" s="344"/>
      <c r="M532" s="344"/>
      <c r="N532" s="344"/>
      <c r="O532" s="344"/>
      <c r="P532" s="344"/>
      <c r="Q532" s="344"/>
      <c r="R532" s="344"/>
      <c r="S532" s="344"/>
      <c r="T532" s="344"/>
      <c r="U532" s="344"/>
      <c r="V532" s="344"/>
      <c r="W532" s="344"/>
      <c r="X532" s="344"/>
      <c r="Y532" s="344"/>
      <c r="Z532" s="344"/>
      <c r="AA532" s="344"/>
      <c r="AB532" s="344"/>
      <c r="AC532" s="344"/>
      <c r="AD532" s="344"/>
    </row>
    <row r="533">
      <c r="A533" s="344"/>
      <c r="B533" s="548"/>
      <c r="C533" s="548"/>
      <c r="D533" s="344"/>
      <c r="E533" s="344"/>
      <c r="F533" s="549"/>
      <c r="G533" s="545"/>
      <c r="H533" s="545"/>
      <c r="I533" s="344"/>
      <c r="J533" s="344"/>
      <c r="K533" s="344"/>
      <c r="L533" s="344"/>
      <c r="M533" s="344"/>
      <c r="N533" s="344"/>
      <c r="O533" s="344"/>
      <c r="P533" s="344"/>
      <c r="Q533" s="344"/>
      <c r="R533" s="344"/>
      <c r="S533" s="344"/>
      <c r="T533" s="344"/>
      <c r="U533" s="344"/>
      <c r="V533" s="344"/>
      <c r="W533" s="344"/>
      <c r="X533" s="344"/>
      <c r="Y533" s="344"/>
      <c r="Z533" s="344"/>
      <c r="AA533" s="344"/>
      <c r="AB533" s="344"/>
      <c r="AC533" s="344"/>
      <c r="AD533" s="344"/>
    </row>
    <row r="534">
      <c r="A534" s="344"/>
      <c r="B534" s="548"/>
      <c r="C534" s="548"/>
      <c r="D534" s="344"/>
      <c r="E534" s="344"/>
      <c r="F534" s="549"/>
      <c r="G534" s="545"/>
      <c r="H534" s="545"/>
      <c r="I534" s="344"/>
      <c r="J534" s="344"/>
      <c r="K534" s="344"/>
      <c r="L534" s="344"/>
      <c r="M534" s="344"/>
      <c r="N534" s="344"/>
      <c r="O534" s="344"/>
      <c r="P534" s="344"/>
      <c r="Q534" s="344"/>
      <c r="R534" s="344"/>
      <c r="S534" s="344"/>
      <c r="T534" s="344"/>
      <c r="U534" s="344"/>
      <c r="V534" s="344"/>
      <c r="W534" s="344"/>
      <c r="X534" s="344"/>
      <c r="Y534" s="344"/>
      <c r="Z534" s="344"/>
      <c r="AA534" s="344"/>
      <c r="AB534" s="344"/>
      <c r="AC534" s="344"/>
      <c r="AD534" s="344"/>
    </row>
    <row r="535">
      <c r="A535" s="344"/>
      <c r="B535" s="548"/>
      <c r="C535" s="548"/>
      <c r="D535" s="344"/>
      <c r="E535" s="344"/>
      <c r="F535" s="549"/>
      <c r="G535" s="545"/>
      <c r="H535" s="545"/>
      <c r="I535" s="344"/>
      <c r="J535" s="344"/>
      <c r="K535" s="344"/>
      <c r="L535" s="344"/>
      <c r="M535" s="344"/>
      <c r="N535" s="344"/>
      <c r="O535" s="344"/>
      <c r="P535" s="344"/>
      <c r="Q535" s="344"/>
      <c r="R535" s="344"/>
      <c r="S535" s="344"/>
      <c r="T535" s="344"/>
      <c r="U535" s="344"/>
      <c r="V535" s="344"/>
      <c r="W535" s="344"/>
      <c r="X535" s="344"/>
      <c r="Y535" s="344"/>
      <c r="Z535" s="344"/>
      <c r="AA535" s="344"/>
      <c r="AB535" s="344"/>
      <c r="AC535" s="344"/>
      <c r="AD535" s="344"/>
    </row>
    <row r="536">
      <c r="A536" s="344"/>
      <c r="B536" s="548"/>
      <c r="C536" s="548"/>
      <c r="D536" s="344"/>
      <c r="E536" s="344"/>
      <c r="F536" s="549"/>
      <c r="G536" s="545"/>
      <c r="H536" s="545"/>
      <c r="I536" s="344"/>
      <c r="J536" s="344"/>
      <c r="K536" s="344"/>
      <c r="L536" s="344"/>
      <c r="M536" s="344"/>
      <c r="N536" s="344"/>
      <c r="O536" s="344"/>
      <c r="P536" s="344"/>
      <c r="Q536" s="344"/>
      <c r="R536" s="344"/>
      <c r="S536" s="344"/>
      <c r="T536" s="344"/>
      <c r="U536" s="344"/>
      <c r="V536" s="344"/>
      <c r="W536" s="344"/>
      <c r="X536" s="344"/>
      <c r="Y536" s="344"/>
      <c r="Z536" s="344"/>
      <c r="AA536" s="344"/>
      <c r="AB536" s="344"/>
      <c r="AC536" s="344"/>
      <c r="AD536" s="344"/>
    </row>
    <row r="537">
      <c r="A537" s="344"/>
      <c r="B537" s="548"/>
      <c r="C537" s="548"/>
      <c r="D537" s="344"/>
      <c r="E537" s="344"/>
      <c r="F537" s="549"/>
      <c r="G537" s="545"/>
      <c r="H537" s="545"/>
      <c r="I537" s="344"/>
      <c r="J537" s="344"/>
      <c r="K537" s="344"/>
      <c r="L537" s="344"/>
      <c r="M537" s="344"/>
      <c r="N537" s="344"/>
      <c r="O537" s="344"/>
      <c r="P537" s="344"/>
      <c r="Q537" s="344"/>
      <c r="R537" s="344"/>
      <c r="S537" s="344"/>
      <c r="T537" s="344"/>
      <c r="U537" s="344"/>
      <c r="V537" s="344"/>
      <c r="W537" s="344"/>
      <c r="X537" s="344"/>
      <c r="Y537" s="344"/>
      <c r="Z537" s="344"/>
      <c r="AA537" s="344"/>
      <c r="AB537" s="344"/>
      <c r="AC537" s="344"/>
      <c r="AD537" s="344"/>
    </row>
    <row r="538">
      <c r="A538" s="344"/>
      <c r="B538" s="548"/>
      <c r="C538" s="548"/>
      <c r="D538" s="344"/>
      <c r="E538" s="344"/>
      <c r="F538" s="549"/>
      <c r="G538" s="545"/>
      <c r="H538" s="545"/>
      <c r="I538" s="344"/>
      <c r="J538" s="344"/>
      <c r="K538" s="344"/>
      <c r="L538" s="344"/>
      <c r="M538" s="344"/>
      <c r="N538" s="344"/>
      <c r="O538" s="344"/>
      <c r="P538" s="344"/>
      <c r="Q538" s="344"/>
      <c r="R538" s="344"/>
      <c r="S538" s="344"/>
      <c r="T538" s="344"/>
      <c r="U538" s="344"/>
      <c r="V538" s="344"/>
      <c r="W538" s="344"/>
      <c r="X538" s="344"/>
      <c r="Y538" s="344"/>
      <c r="Z538" s="344"/>
      <c r="AA538" s="344"/>
      <c r="AB538" s="344"/>
      <c r="AC538" s="344"/>
      <c r="AD538" s="344"/>
    </row>
    <row r="539">
      <c r="A539" s="344"/>
      <c r="B539" s="548"/>
      <c r="C539" s="548"/>
      <c r="D539" s="344"/>
      <c r="E539" s="344"/>
      <c r="F539" s="549"/>
      <c r="G539" s="545"/>
      <c r="H539" s="545"/>
      <c r="I539" s="344"/>
      <c r="J539" s="344"/>
      <c r="K539" s="344"/>
      <c r="L539" s="344"/>
      <c r="M539" s="344"/>
      <c r="N539" s="344"/>
      <c r="O539" s="344"/>
      <c r="P539" s="344"/>
      <c r="Q539" s="344"/>
      <c r="R539" s="344"/>
      <c r="S539" s="344"/>
      <c r="T539" s="344"/>
      <c r="U539" s="344"/>
      <c r="V539" s="344"/>
      <c r="W539" s="344"/>
      <c r="X539" s="344"/>
      <c r="Y539" s="344"/>
      <c r="Z539" s="344"/>
      <c r="AA539" s="344"/>
      <c r="AB539" s="344"/>
      <c r="AC539" s="344"/>
      <c r="AD539" s="344"/>
    </row>
    <row r="540">
      <c r="A540" s="344"/>
      <c r="B540" s="548"/>
      <c r="C540" s="548"/>
      <c r="D540" s="344"/>
      <c r="E540" s="344"/>
      <c r="F540" s="549"/>
      <c r="G540" s="545"/>
      <c r="H540" s="545"/>
      <c r="I540" s="344"/>
      <c r="J540" s="344"/>
      <c r="K540" s="344"/>
      <c r="L540" s="344"/>
      <c r="M540" s="344"/>
      <c r="N540" s="344"/>
      <c r="O540" s="344"/>
      <c r="P540" s="344"/>
      <c r="Q540" s="344"/>
      <c r="R540" s="344"/>
      <c r="S540" s="344"/>
      <c r="T540" s="344"/>
      <c r="U540" s="344"/>
      <c r="V540" s="344"/>
      <c r="W540" s="344"/>
      <c r="X540" s="344"/>
      <c r="Y540" s="344"/>
      <c r="Z540" s="344"/>
      <c r="AA540" s="344"/>
      <c r="AB540" s="344"/>
      <c r="AC540" s="344"/>
      <c r="AD540" s="344"/>
    </row>
    <row r="541">
      <c r="A541" s="344"/>
      <c r="B541" s="548"/>
      <c r="C541" s="548"/>
      <c r="D541" s="344"/>
      <c r="E541" s="344"/>
      <c r="F541" s="549"/>
      <c r="G541" s="545"/>
      <c r="H541" s="545"/>
      <c r="I541" s="344"/>
      <c r="J541" s="344"/>
      <c r="K541" s="344"/>
      <c r="L541" s="344"/>
      <c r="M541" s="344"/>
      <c r="N541" s="344"/>
      <c r="O541" s="344"/>
      <c r="P541" s="344"/>
      <c r="Q541" s="344"/>
      <c r="R541" s="344"/>
      <c r="S541" s="344"/>
      <c r="T541" s="344"/>
      <c r="U541" s="344"/>
      <c r="V541" s="344"/>
      <c r="W541" s="344"/>
      <c r="X541" s="344"/>
      <c r="Y541" s="344"/>
      <c r="Z541" s="344"/>
      <c r="AA541" s="344"/>
      <c r="AB541" s="344"/>
      <c r="AC541" s="344"/>
      <c r="AD541" s="344"/>
    </row>
    <row r="542">
      <c r="A542" s="344"/>
      <c r="B542" s="548"/>
      <c r="C542" s="548"/>
      <c r="D542" s="344"/>
      <c r="E542" s="344"/>
      <c r="F542" s="549"/>
      <c r="G542" s="545"/>
      <c r="H542" s="545"/>
      <c r="I542" s="344"/>
      <c r="J542" s="344"/>
      <c r="K542" s="344"/>
      <c r="L542" s="344"/>
      <c r="M542" s="344"/>
      <c r="N542" s="344"/>
      <c r="O542" s="344"/>
      <c r="P542" s="344"/>
      <c r="Q542" s="344"/>
      <c r="R542" s="344"/>
      <c r="S542" s="344"/>
      <c r="T542" s="344"/>
      <c r="U542" s="344"/>
      <c r="V542" s="344"/>
      <c r="W542" s="344"/>
      <c r="X542" s="344"/>
      <c r="Y542" s="344"/>
      <c r="Z542" s="344"/>
      <c r="AA542" s="344"/>
      <c r="AB542" s="344"/>
      <c r="AC542" s="344"/>
      <c r="AD542" s="344"/>
    </row>
    <row r="543">
      <c r="A543" s="344"/>
      <c r="B543" s="548"/>
      <c r="C543" s="548"/>
      <c r="D543" s="344"/>
      <c r="E543" s="344"/>
      <c r="F543" s="549"/>
      <c r="G543" s="545"/>
      <c r="H543" s="545"/>
      <c r="I543" s="344"/>
      <c r="J543" s="344"/>
      <c r="K543" s="344"/>
      <c r="L543" s="344"/>
      <c r="M543" s="344"/>
      <c r="N543" s="344"/>
      <c r="O543" s="344"/>
      <c r="P543" s="344"/>
      <c r="Q543" s="344"/>
      <c r="R543" s="344"/>
      <c r="S543" s="344"/>
      <c r="T543" s="344"/>
      <c r="U543" s="344"/>
      <c r="V543" s="344"/>
      <c r="W543" s="344"/>
      <c r="X543" s="344"/>
      <c r="Y543" s="344"/>
      <c r="Z543" s="344"/>
      <c r="AA543" s="344"/>
      <c r="AB543" s="344"/>
      <c r="AC543" s="344"/>
      <c r="AD543" s="344"/>
    </row>
    <row r="544">
      <c r="A544" s="344"/>
      <c r="B544" s="548"/>
      <c r="C544" s="548"/>
      <c r="D544" s="344"/>
      <c r="E544" s="344"/>
      <c r="F544" s="549"/>
      <c r="G544" s="545"/>
      <c r="H544" s="545"/>
      <c r="I544" s="344"/>
      <c r="J544" s="344"/>
      <c r="K544" s="344"/>
      <c r="L544" s="344"/>
      <c r="M544" s="344"/>
      <c r="N544" s="344"/>
      <c r="O544" s="344"/>
      <c r="P544" s="344"/>
      <c r="Q544" s="344"/>
      <c r="R544" s="344"/>
      <c r="S544" s="344"/>
      <c r="T544" s="344"/>
      <c r="U544" s="344"/>
      <c r="V544" s="344"/>
      <c r="W544" s="344"/>
      <c r="X544" s="344"/>
      <c r="Y544" s="344"/>
      <c r="Z544" s="344"/>
      <c r="AA544" s="344"/>
      <c r="AB544" s="344"/>
      <c r="AC544" s="344"/>
      <c r="AD544" s="344"/>
    </row>
    <row r="545">
      <c r="A545" s="344"/>
      <c r="B545" s="548"/>
      <c r="C545" s="548"/>
      <c r="D545" s="344"/>
      <c r="E545" s="344"/>
      <c r="F545" s="549"/>
      <c r="G545" s="545"/>
      <c r="H545" s="545"/>
      <c r="I545" s="344"/>
      <c r="J545" s="344"/>
      <c r="K545" s="344"/>
      <c r="L545" s="344"/>
      <c r="M545" s="344"/>
      <c r="N545" s="344"/>
      <c r="O545" s="344"/>
      <c r="P545" s="344"/>
      <c r="Q545" s="344"/>
      <c r="R545" s="344"/>
      <c r="S545" s="344"/>
      <c r="T545" s="344"/>
      <c r="U545" s="344"/>
      <c r="V545" s="344"/>
      <c r="W545" s="344"/>
      <c r="X545" s="344"/>
      <c r="Y545" s="344"/>
      <c r="Z545" s="344"/>
      <c r="AA545" s="344"/>
      <c r="AB545" s="344"/>
      <c r="AC545" s="344"/>
      <c r="AD545" s="344"/>
    </row>
    <row r="546">
      <c r="A546" s="344"/>
      <c r="B546" s="548"/>
      <c r="C546" s="548"/>
      <c r="D546" s="344"/>
      <c r="E546" s="344"/>
      <c r="F546" s="549"/>
      <c r="G546" s="545"/>
      <c r="H546" s="545"/>
      <c r="I546" s="344"/>
      <c r="J546" s="344"/>
      <c r="K546" s="344"/>
      <c r="L546" s="344"/>
      <c r="M546" s="344"/>
      <c r="N546" s="344"/>
      <c r="O546" s="344"/>
      <c r="P546" s="344"/>
      <c r="Q546" s="344"/>
      <c r="R546" s="344"/>
      <c r="S546" s="344"/>
      <c r="T546" s="344"/>
      <c r="U546" s="344"/>
      <c r="V546" s="344"/>
      <c r="W546" s="344"/>
      <c r="X546" s="344"/>
      <c r="Y546" s="344"/>
      <c r="Z546" s="344"/>
      <c r="AA546" s="344"/>
      <c r="AB546" s="344"/>
      <c r="AC546" s="344"/>
      <c r="AD546" s="344"/>
    </row>
    <row r="547">
      <c r="A547" s="344"/>
      <c r="B547" s="548"/>
      <c r="C547" s="548"/>
      <c r="D547" s="344"/>
      <c r="E547" s="344"/>
      <c r="F547" s="549"/>
      <c r="G547" s="545"/>
      <c r="H547" s="545"/>
      <c r="I547" s="344"/>
      <c r="J547" s="344"/>
      <c r="K547" s="344"/>
      <c r="L547" s="344"/>
      <c r="M547" s="344"/>
      <c r="N547" s="344"/>
      <c r="O547" s="344"/>
      <c r="P547" s="344"/>
      <c r="Q547" s="344"/>
      <c r="R547" s="344"/>
      <c r="S547" s="344"/>
      <c r="T547" s="344"/>
      <c r="U547" s="344"/>
      <c r="V547" s="344"/>
      <c r="W547" s="344"/>
      <c r="X547" s="344"/>
      <c r="Y547" s="344"/>
      <c r="Z547" s="344"/>
      <c r="AA547" s="344"/>
      <c r="AB547" s="344"/>
      <c r="AC547" s="344"/>
      <c r="AD547" s="344"/>
    </row>
    <row r="548">
      <c r="A548" s="344"/>
      <c r="B548" s="548"/>
      <c r="C548" s="548"/>
      <c r="D548" s="344"/>
      <c r="E548" s="344"/>
      <c r="F548" s="549"/>
      <c r="G548" s="545"/>
      <c r="H548" s="545"/>
      <c r="I548" s="344"/>
      <c r="J548" s="344"/>
      <c r="K548" s="344"/>
      <c r="L548" s="344"/>
      <c r="M548" s="344"/>
      <c r="N548" s="344"/>
      <c r="O548" s="344"/>
      <c r="P548" s="344"/>
      <c r="Q548" s="344"/>
      <c r="R548" s="344"/>
      <c r="S548" s="344"/>
      <c r="T548" s="344"/>
      <c r="U548" s="344"/>
      <c r="V548" s="344"/>
      <c r="W548" s="344"/>
      <c r="X548" s="344"/>
      <c r="Y548" s="344"/>
      <c r="Z548" s="344"/>
      <c r="AA548" s="344"/>
      <c r="AB548" s="344"/>
      <c r="AC548" s="344"/>
      <c r="AD548" s="344"/>
    </row>
    <row r="549">
      <c r="A549" s="344"/>
      <c r="B549" s="548"/>
      <c r="C549" s="548"/>
      <c r="D549" s="344"/>
      <c r="E549" s="344"/>
      <c r="F549" s="549"/>
      <c r="G549" s="545"/>
      <c r="H549" s="545"/>
      <c r="I549" s="344"/>
      <c r="J549" s="344"/>
      <c r="K549" s="344"/>
      <c r="L549" s="344"/>
      <c r="M549" s="344"/>
      <c r="N549" s="344"/>
      <c r="O549" s="344"/>
      <c r="P549" s="344"/>
      <c r="Q549" s="344"/>
      <c r="R549" s="344"/>
      <c r="S549" s="344"/>
      <c r="T549" s="344"/>
      <c r="U549" s="344"/>
      <c r="V549" s="344"/>
      <c r="W549" s="344"/>
      <c r="X549" s="344"/>
      <c r="Y549" s="344"/>
      <c r="Z549" s="344"/>
      <c r="AA549" s="344"/>
      <c r="AB549" s="344"/>
      <c r="AC549" s="344"/>
      <c r="AD549" s="344"/>
    </row>
    <row r="550">
      <c r="A550" s="344"/>
      <c r="B550" s="548"/>
      <c r="C550" s="548"/>
      <c r="D550" s="344"/>
      <c r="E550" s="344"/>
      <c r="F550" s="549"/>
      <c r="G550" s="545"/>
      <c r="H550" s="545"/>
      <c r="I550" s="344"/>
      <c r="J550" s="344"/>
      <c r="K550" s="344"/>
      <c r="L550" s="344"/>
      <c r="M550" s="344"/>
      <c r="N550" s="344"/>
      <c r="O550" s="344"/>
      <c r="P550" s="344"/>
      <c r="Q550" s="344"/>
      <c r="R550" s="344"/>
      <c r="S550" s="344"/>
      <c r="T550" s="344"/>
      <c r="U550" s="344"/>
      <c r="V550" s="344"/>
      <c r="W550" s="344"/>
      <c r="X550" s="344"/>
      <c r="Y550" s="344"/>
      <c r="Z550" s="344"/>
      <c r="AA550" s="344"/>
      <c r="AB550" s="344"/>
      <c r="AC550" s="344"/>
      <c r="AD550" s="344"/>
    </row>
    <row r="551">
      <c r="A551" s="344"/>
      <c r="B551" s="548"/>
      <c r="C551" s="548"/>
      <c r="D551" s="344"/>
      <c r="E551" s="344"/>
      <c r="F551" s="549"/>
      <c r="G551" s="545"/>
      <c r="H551" s="545"/>
      <c r="I551" s="344"/>
      <c r="J551" s="344"/>
      <c r="K551" s="344"/>
      <c r="L551" s="344"/>
      <c r="M551" s="344"/>
      <c r="N551" s="344"/>
      <c r="O551" s="344"/>
      <c r="P551" s="344"/>
      <c r="Q551" s="344"/>
      <c r="R551" s="344"/>
      <c r="S551" s="344"/>
      <c r="T551" s="344"/>
      <c r="U551" s="344"/>
      <c r="V551" s="344"/>
      <c r="W551" s="344"/>
      <c r="X551" s="344"/>
      <c r="Y551" s="344"/>
      <c r="Z551" s="344"/>
      <c r="AA551" s="344"/>
      <c r="AB551" s="344"/>
      <c r="AC551" s="344"/>
      <c r="AD551" s="344"/>
    </row>
    <row r="552">
      <c r="A552" s="344"/>
      <c r="B552" s="548"/>
      <c r="C552" s="548"/>
      <c r="D552" s="344"/>
      <c r="E552" s="344"/>
      <c r="F552" s="549"/>
      <c r="G552" s="545"/>
      <c r="H552" s="545"/>
      <c r="I552" s="344"/>
      <c r="J552" s="344"/>
      <c r="K552" s="344"/>
      <c r="L552" s="344"/>
      <c r="M552" s="344"/>
      <c r="N552" s="344"/>
      <c r="O552" s="344"/>
      <c r="P552" s="344"/>
      <c r="Q552" s="344"/>
      <c r="R552" s="344"/>
      <c r="S552" s="344"/>
      <c r="T552" s="344"/>
      <c r="U552" s="344"/>
      <c r="V552" s="344"/>
      <c r="W552" s="344"/>
      <c r="X552" s="344"/>
      <c r="Y552" s="344"/>
      <c r="Z552" s="344"/>
      <c r="AA552" s="344"/>
      <c r="AB552" s="344"/>
      <c r="AC552" s="344"/>
      <c r="AD552" s="344"/>
    </row>
    <row r="553">
      <c r="A553" s="344"/>
      <c r="B553" s="548"/>
      <c r="C553" s="548"/>
      <c r="D553" s="344"/>
      <c r="E553" s="344"/>
      <c r="F553" s="549"/>
      <c r="G553" s="545"/>
      <c r="H553" s="545"/>
      <c r="I553" s="344"/>
      <c r="J553" s="344"/>
      <c r="K553" s="344"/>
      <c r="L553" s="344"/>
      <c r="M553" s="344"/>
      <c r="N553" s="344"/>
      <c r="O553" s="344"/>
      <c r="P553" s="344"/>
      <c r="Q553" s="344"/>
      <c r="R553" s="344"/>
      <c r="S553" s="344"/>
      <c r="T553" s="344"/>
      <c r="U553" s="344"/>
      <c r="V553" s="344"/>
      <c r="W553" s="344"/>
      <c r="X553" s="344"/>
      <c r="Y553" s="344"/>
      <c r="Z553" s="344"/>
      <c r="AA553" s="344"/>
      <c r="AB553" s="344"/>
      <c r="AC553" s="344"/>
      <c r="AD553" s="344"/>
    </row>
    <row r="554">
      <c r="A554" s="344"/>
      <c r="B554" s="548"/>
      <c r="C554" s="548"/>
      <c r="D554" s="344"/>
      <c r="E554" s="344"/>
      <c r="F554" s="549"/>
      <c r="G554" s="545"/>
      <c r="H554" s="545"/>
      <c r="I554" s="344"/>
      <c r="J554" s="344"/>
      <c r="K554" s="344"/>
      <c r="L554" s="344"/>
      <c r="M554" s="344"/>
      <c r="N554" s="344"/>
      <c r="O554" s="344"/>
      <c r="P554" s="344"/>
      <c r="Q554" s="344"/>
      <c r="R554" s="344"/>
      <c r="S554" s="344"/>
      <c r="T554" s="344"/>
      <c r="U554" s="344"/>
      <c r="V554" s="344"/>
      <c r="W554" s="344"/>
      <c r="X554" s="344"/>
      <c r="Y554" s="344"/>
      <c r="Z554" s="344"/>
      <c r="AA554" s="344"/>
      <c r="AB554" s="344"/>
      <c r="AC554" s="344"/>
      <c r="AD554" s="344"/>
    </row>
    <row r="555">
      <c r="A555" s="344"/>
      <c r="B555" s="548"/>
      <c r="C555" s="548"/>
      <c r="D555" s="344"/>
      <c r="E555" s="344"/>
      <c r="F555" s="549"/>
      <c r="G555" s="545"/>
      <c r="H555" s="545"/>
      <c r="I555" s="344"/>
      <c r="J555" s="344"/>
      <c r="K555" s="344"/>
      <c r="L555" s="344"/>
      <c r="M555" s="344"/>
      <c r="N555" s="344"/>
      <c r="O555" s="344"/>
      <c r="P555" s="344"/>
      <c r="Q555" s="344"/>
      <c r="R555" s="344"/>
      <c r="S555" s="344"/>
      <c r="T555" s="344"/>
      <c r="U555" s="344"/>
      <c r="V555" s="344"/>
      <c r="W555" s="344"/>
      <c r="X555" s="344"/>
      <c r="Y555" s="344"/>
      <c r="Z555" s="344"/>
      <c r="AA555" s="344"/>
      <c r="AB555" s="344"/>
      <c r="AC555" s="344"/>
      <c r="AD555" s="344"/>
    </row>
    <row r="556">
      <c r="A556" s="344"/>
      <c r="B556" s="548"/>
      <c r="C556" s="548"/>
      <c r="D556" s="344"/>
      <c r="E556" s="344"/>
      <c r="F556" s="549"/>
      <c r="G556" s="545"/>
      <c r="H556" s="545"/>
      <c r="I556" s="344"/>
      <c r="J556" s="344"/>
      <c r="K556" s="344"/>
      <c r="L556" s="344"/>
      <c r="M556" s="344"/>
      <c r="N556" s="344"/>
      <c r="O556" s="344"/>
      <c r="P556" s="344"/>
      <c r="Q556" s="344"/>
      <c r="R556" s="344"/>
      <c r="S556" s="344"/>
      <c r="T556" s="344"/>
      <c r="U556" s="344"/>
      <c r="V556" s="344"/>
      <c r="W556" s="344"/>
      <c r="X556" s="344"/>
      <c r="Y556" s="344"/>
      <c r="Z556" s="344"/>
      <c r="AA556" s="344"/>
      <c r="AB556" s="344"/>
      <c r="AC556" s="344"/>
      <c r="AD556" s="344"/>
    </row>
    <row r="557">
      <c r="A557" s="344"/>
      <c r="B557" s="548"/>
      <c r="C557" s="548"/>
      <c r="D557" s="344"/>
      <c r="E557" s="344"/>
      <c r="F557" s="549"/>
      <c r="G557" s="545"/>
      <c r="H557" s="545"/>
      <c r="I557" s="344"/>
      <c r="J557" s="344"/>
      <c r="K557" s="344"/>
      <c r="L557" s="344"/>
      <c r="M557" s="344"/>
      <c r="N557" s="344"/>
      <c r="O557" s="344"/>
      <c r="P557" s="344"/>
      <c r="Q557" s="344"/>
      <c r="R557" s="344"/>
      <c r="S557" s="344"/>
      <c r="T557" s="344"/>
      <c r="U557" s="344"/>
      <c r="V557" s="344"/>
      <c r="W557" s="344"/>
      <c r="X557" s="344"/>
      <c r="Y557" s="344"/>
      <c r="Z557" s="344"/>
      <c r="AA557" s="344"/>
      <c r="AB557" s="344"/>
      <c r="AC557" s="344"/>
      <c r="AD557" s="344"/>
    </row>
    <row r="558">
      <c r="A558" s="344"/>
      <c r="B558" s="548"/>
      <c r="C558" s="548"/>
      <c r="D558" s="344"/>
      <c r="E558" s="344"/>
      <c r="F558" s="549"/>
      <c r="G558" s="545"/>
      <c r="H558" s="545"/>
      <c r="I558" s="344"/>
      <c r="J558" s="344"/>
      <c r="K558" s="344"/>
      <c r="L558" s="344"/>
      <c r="M558" s="344"/>
      <c r="N558" s="344"/>
      <c r="O558" s="344"/>
      <c r="P558" s="344"/>
      <c r="Q558" s="344"/>
      <c r="R558" s="344"/>
      <c r="S558" s="344"/>
      <c r="T558" s="344"/>
      <c r="U558" s="344"/>
      <c r="V558" s="344"/>
      <c r="W558" s="344"/>
      <c r="X558" s="344"/>
      <c r="Y558" s="344"/>
      <c r="Z558" s="344"/>
      <c r="AA558" s="344"/>
      <c r="AB558" s="344"/>
      <c r="AC558" s="344"/>
      <c r="AD558" s="344"/>
    </row>
    <row r="559">
      <c r="A559" s="344"/>
      <c r="B559" s="548"/>
      <c r="C559" s="548"/>
      <c r="D559" s="344"/>
      <c r="E559" s="344"/>
      <c r="F559" s="549"/>
      <c r="G559" s="545"/>
      <c r="H559" s="545"/>
      <c r="I559" s="344"/>
      <c r="J559" s="344"/>
      <c r="K559" s="344"/>
      <c r="L559" s="344"/>
      <c r="M559" s="344"/>
      <c r="N559" s="344"/>
      <c r="O559" s="344"/>
      <c r="P559" s="344"/>
      <c r="Q559" s="344"/>
      <c r="R559" s="344"/>
      <c r="S559" s="344"/>
      <c r="T559" s="344"/>
      <c r="U559" s="344"/>
      <c r="V559" s="344"/>
      <c r="W559" s="344"/>
      <c r="X559" s="344"/>
      <c r="Y559" s="344"/>
      <c r="Z559" s="344"/>
      <c r="AA559" s="344"/>
      <c r="AB559" s="344"/>
      <c r="AC559" s="344"/>
      <c r="AD559" s="344"/>
    </row>
    <row r="560">
      <c r="A560" s="344"/>
      <c r="B560" s="548"/>
      <c r="C560" s="548"/>
      <c r="D560" s="344"/>
      <c r="E560" s="344"/>
      <c r="F560" s="549"/>
      <c r="G560" s="545"/>
      <c r="H560" s="545"/>
      <c r="I560" s="344"/>
      <c r="J560" s="344"/>
      <c r="K560" s="344"/>
      <c r="L560" s="344"/>
      <c r="M560" s="344"/>
      <c r="N560" s="344"/>
      <c r="O560" s="344"/>
      <c r="P560" s="344"/>
      <c r="Q560" s="344"/>
      <c r="R560" s="344"/>
      <c r="S560" s="344"/>
      <c r="T560" s="344"/>
      <c r="U560" s="344"/>
      <c r="V560" s="344"/>
      <c r="W560" s="344"/>
      <c r="X560" s="344"/>
      <c r="Y560" s="344"/>
      <c r="Z560" s="344"/>
      <c r="AA560" s="344"/>
      <c r="AB560" s="344"/>
      <c r="AC560" s="344"/>
      <c r="AD560" s="344"/>
    </row>
    <row r="561">
      <c r="A561" s="344"/>
      <c r="B561" s="548"/>
      <c r="C561" s="548"/>
      <c r="D561" s="344"/>
      <c r="E561" s="344"/>
      <c r="F561" s="549"/>
      <c r="G561" s="545"/>
      <c r="H561" s="545"/>
      <c r="I561" s="344"/>
      <c r="J561" s="344"/>
      <c r="K561" s="344"/>
      <c r="L561" s="344"/>
      <c r="M561" s="344"/>
      <c r="N561" s="344"/>
      <c r="O561" s="344"/>
      <c r="P561" s="344"/>
      <c r="Q561" s="344"/>
      <c r="R561" s="344"/>
      <c r="S561" s="344"/>
      <c r="T561" s="344"/>
      <c r="U561" s="344"/>
      <c r="V561" s="344"/>
      <c r="W561" s="344"/>
      <c r="X561" s="344"/>
      <c r="Y561" s="344"/>
      <c r="Z561" s="344"/>
      <c r="AA561" s="344"/>
      <c r="AB561" s="344"/>
      <c r="AC561" s="344"/>
      <c r="AD561" s="344"/>
    </row>
    <row r="562">
      <c r="A562" s="344"/>
      <c r="B562" s="548"/>
      <c r="C562" s="548"/>
      <c r="D562" s="344"/>
      <c r="E562" s="344"/>
      <c r="F562" s="549"/>
      <c r="G562" s="545"/>
      <c r="H562" s="545"/>
      <c r="I562" s="344"/>
      <c r="J562" s="344"/>
      <c r="K562" s="344"/>
      <c r="L562" s="344"/>
      <c r="M562" s="344"/>
      <c r="N562" s="344"/>
      <c r="O562" s="344"/>
      <c r="P562" s="344"/>
      <c r="Q562" s="344"/>
      <c r="R562" s="344"/>
      <c r="S562" s="344"/>
      <c r="T562" s="344"/>
      <c r="U562" s="344"/>
      <c r="V562" s="344"/>
      <c r="W562" s="344"/>
      <c r="X562" s="344"/>
      <c r="Y562" s="344"/>
      <c r="Z562" s="344"/>
      <c r="AA562" s="344"/>
      <c r="AB562" s="344"/>
      <c r="AC562" s="344"/>
      <c r="AD562" s="344"/>
    </row>
    <row r="563">
      <c r="A563" s="344"/>
      <c r="B563" s="548"/>
      <c r="C563" s="548"/>
      <c r="D563" s="344"/>
      <c r="E563" s="344"/>
      <c r="F563" s="549"/>
      <c r="G563" s="545"/>
      <c r="H563" s="545"/>
      <c r="I563" s="344"/>
      <c r="J563" s="344"/>
      <c r="K563" s="344"/>
      <c r="L563" s="344"/>
      <c r="M563" s="344"/>
      <c r="N563" s="344"/>
      <c r="O563" s="344"/>
      <c r="P563" s="344"/>
      <c r="Q563" s="344"/>
      <c r="R563" s="344"/>
      <c r="S563" s="344"/>
      <c r="T563" s="344"/>
      <c r="U563" s="344"/>
      <c r="V563" s="344"/>
      <c r="W563" s="344"/>
      <c r="X563" s="344"/>
      <c r="Y563" s="344"/>
      <c r="Z563" s="344"/>
      <c r="AA563" s="344"/>
      <c r="AB563" s="344"/>
      <c r="AC563" s="344"/>
      <c r="AD563" s="344"/>
    </row>
    <row r="564">
      <c r="A564" s="344"/>
      <c r="B564" s="548"/>
      <c r="C564" s="548"/>
      <c r="D564" s="344"/>
      <c r="E564" s="344"/>
      <c r="F564" s="549"/>
      <c r="G564" s="545"/>
      <c r="H564" s="545"/>
      <c r="I564" s="344"/>
      <c r="J564" s="344"/>
      <c r="K564" s="344"/>
      <c r="L564" s="344"/>
      <c r="M564" s="344"/>
      <c r="N564" s="344"/>
      <c r="O564" s="344"/>
      <c r="P564" s="344"/>
      <c r="Q564" s="344"/>
      <c r="R564" s="344"/>
      <c r="S564" s="344"/>
      <c r="T564" s="344"/>
      <c r="U564" s="344"/>
      <c r="V564" s="344"/>
      <c r="W564" s="344"/>
      <c r="X564" s="344"/>
      <c r="Y564" s="344"/>
      <c r="Z564" s="344"/>
      <c r="AA564" s="344"/>
      <c r="AB564" s="344"/>
      <c r="AC564" s="344"/>
      <c r="AD564" s="344"/>
    </row>
    <row r="565">
      <c r="A565" s="344"/>
      <c r="B565" s="548"/>
      <c r="C565" s="548"/>
      <c r="D565" s="344"/>
      <c r="E565" s="344"/>
      <c r="F565" s="549"/>
      <c r="G565" s="545"/>
      <c r="H565" s="545"/>
      <c r="I565" s="344"/>
      <c r="J565" s="344"/>
      <c r="K565" s="344"/>
      <c r="L565" s="344"/>
      <c r="M565" s="344"/>
      <c r="N565" s="344"/>
      <c r="O565" s="344"/>
      <c r="P565" s="344"/>
      <c r="Q565" s="344"/>
      <c r="R565" s="344"/>
      <c r="S565" s="344"/>
      <c r="T565" s="344"/>
      <c r="U565" s="344"/>
      <c r="V565" s="344"/>
      <c r="W565" s="344"/>
      <c r="X565" s="344"/>
      <c r="Y565" s="344"/>
      <c r="Z565" s="344"/>
      <c r="AA565" s="344"/>
      <c r="AB565" s="344"/>
      <c r="AC565" s="344"/>
      <c r="AD565" s="344"/>
    </row>
    <row r="566">
      <c r="A566" s="344"/>
      <c r="B566" s="548"/>
      <c r="C566" s="548"/>
      <c r="D566" s="344"/>
      <c r="E566" s="344"/>
      <c r="F566" s="549"/>
      <c r="G566" s="545"/>
      <c r="H566" s="545"/>
      <c r="I566" s="344"/>
      <c r="J566" s="344"/>
      <c r="K566" s="344"/>
      <c r="L566" s="344"/>
      <c r="M566" s="344"/>
      <c r="N566" s="344"/>
      <c r="O566" s="344"/>
      <c r="P566" s="344"/>
      <c r="Q566" s="344"/>
      <c r="R566" s="344"/>
      <c r="S566" s="344"/>
      <c r="T566" s="344"/>
      <c r="U566" s="344"/>
      <c r="V566" s="344"/>
      <c r="W566" s="344"/>
      <c r="X566" s="344"/>
      <c r="Y566" s="344"/>
      <c r="Z566" s="344"/>
      <c r="AA566" s="344"/>
      <c r="AB566" s="344"/>
      <c r="AC566" s="344"/>
      <c r="AD566" s="344"/>
    </row>
    <row r="567">
      <c r="A567" s="344"/>
      <c r="B567" s="548"/>
      <c r="C567" s="548"/>
      <c r="D567" s="344"/>
      <c r="E567" s="344"/>
      <c r="F567" s="549"/>
      <c r="G567" s="545"/>
      <c r="H567" s="545"/>
      <c r="I567" s="344"/>
      <c r="J567" s="344"/>
      <c r="K567" s="344"/>
      <c r="L567" s="344"/>
      <c r="M567" s="344"/>
      <c r="N567" s="344"/>
      <c r="O567" s="344"/>
      <c r="P567" s="344"/>
      <c r="Q567" s="344"/>
      <c r="R567" s="344"/>
      <c r="S567" s="344"/>
      <c r="T567" s="344"/>
      <c r="U567" s="344"/>
      <c r="V567" s="344"/>
      <c r="W567" s="344"/>
      <c r="X567" s="344"/>
      <c r="Y567" s="344"/>
      <c r="Z567" s="344"/>
      <c r="AA567" s="344"/>
      <c r="AB567" s="344"/>
      <c r="AC567" s="344"/>
      <c r="AD567" s="344"/>
    </row>
    <row r="568">
      <c r="A568" s="344"/>
      <c r="B568" s="548"/>
      <c r="C568" s="548"/>
      <c r="D568" s="344"/>
      <c r="E568" s="344"/>
      <c r="F568" s="549"/>
      <c r="G568" s="545"/>
      <c r="H568" s="545"/>
      <c r="I568" s="344"/>
      <c r="J568" s="344"/>
      <c r="K568" s="344"/>
      <c r="L568" s="344"/>
      <c r="M568" s="344"/>
      <c r="N568" s="344"/>
      <c r="O568" s="344"/>
      <c r="P568" s="344"/>
      <c r="Q568" s="344"/>
      <c r="R568" s="344"/>
      <c r="S568" s="344"/>
      <c r="T568" s="344"/>
      <c r="U568" s="344"/>
      <c r="V568" s="344"/>
      <c r="W568" s="344"/>
      <c r="X568" s="344"/>
      <c r="Y568" s="344"/>
      <c r="Z568" s="344"/>
      <c r="AA568" s="344"/>
      <c r="AB568" s="344"/>
      <c r="AC568" s="344"/>
      <c r="AD568" s="344"/>
    </row>
    <row r="569">
      <c r="A569" s="344"/>
      <c r="B569" s="548"/>
      <c r="C569" s="548"/>
      <c r="D569" s="344"/>
      <c r="E569" s="344"/>
      <c r="F569" s="549"/>
      <c r="G569" s="545"/>
      <c r="H569" s="545"/>
      <c r="I569" s="344"/>
      <c r="J569" s="344"/>
      <c r="K569" s="344"/>
      <c r="L569" s="344"/>
      <c r="M569" s="344"/>
      <c r="N569" s="344"/>
      <c r="O569" s="344"/>
      <c r="P569" s="344"/>
      <c r="Q569" s="344"/>
      <c r="R569" s="344"/>
      <c r="S569" s="344"/>
      <c r="T569" s="344"/>
      <c r="U569" s="344"/>
      <c r="V569" s="344"/>
      <c r="W569" s="344"/>
      <c r="X569" s="344"/>
      <c r="Y569" s="344"/>
      <c r="Z569" s="344"/>
      <c r="AA569" s="344"/>
      <c r="AB569" s="344"/>
      <c r="AC569" s="344"/>
      <c r="AD569" s="344"/>
    </row>
    <row r="570">
      <c r="A570" s="344"/>
      <c r="B570" s="548"/>
      <c r="C570" s="548"/>
      <c r="D570" s="344"/>
      <c r="E570" s="344"/>
      <c r="F570" s="549"/>
      <c r="G570" s="545"/>
      <c r="H570" s="545"/>
      <c r="I570" s="344"/>
      <c r="J570" s="344"/>
      <c r="K570" s="344"/>
      <c r="L570" s="344"/>
      <c r="M570" s="344"/>
      <c r="N570" s="344"/>
      <c r="O570" s="344"/>
      <c r="P570" s="344"/>
      <c r="Q570" s="344"/>
      <c r="R570" s="344"/>
      <c r="S570" s="344"/>
      <c r="T570" s="344"/>
      <c r="U570" s="344"/>
      <c r="V570" s="344"/>
      <c r="W570" s="344"/>
      <c r="X570" s="344"/>
      <c r="Y570" s="344"/>
      <c r="Z570" s="344"/>
      <c r="AA570" s="344"/>
      <c r="AB570" s="344"/>
      <c r="AC570" s="344"/>
      <c r="AD570" s="344"/>
    </row>
    <row r="571">
      <c r="A571" s="344"/>
      <c r="B571" s="548"/>
      <c r="C571" s="548"/>
      <c r="D571" s="344"/>
      <c r="E571" s="344"/>
      <c r="F571" s="549"/>
      <c r="G571" s="545"/>
      <c r="H571" s="545"/>
      <c r="I571" s="344"/>
      <c r="J571" s="344"/>
      <c r="K571" s="344"/>
      <c r="L571" s="344"/>
      <c r="M571" s="344"/>
      <c r="N571" s="344"/>
      <c r="O571" s="344"/>
      <c r="P571" s="344"/>
      <c r="Q571" s="344"/>
      <c r="R571" s="344"/>
      <c r="S571" s="344"/>
      <c r="T571" s="344"/>
      <c r="U571" s="344"/>
      <c r="V571" s="344"/>
      <c r="W571" s="344"/>
      <c r="X571" s="344"/>
      <c r="Y571" s="344"/>
      <c r="Z571" s="344"/>
      <c r="AA571" s="344"/>
      <c r="AB571" s="344"/>
      <c r="AC571" s="344"/>
      <c r="AD571" s="344"/>
    </row>
    <row r="572">
      <c r="A572" s="344"/>
      <c r="B572" s="548"/>
      <c r="C572" s="548"/>
      <c r="D572" s="344"/>
      <c r="E572" s="344"/>
      <c r="F572" s="549"/>
      <c r="G572" s="545"/>
      <c r="H572" s="545"/>
      <c r="I572" s="344"/>
      <c r="J572" s="344"/>
      <c r="K572" s="344"/>
      <c r="L572" s="344"/>
      <c r="M572" s="344"/>
      <c r="N572" s="344"/>
      <c r="O572" s="344"/>
      <c r="P572" s="344"/>
      <c r="Q572" s="344"/>
      <c r="R572" s="344"/>
      <c r="S572" s="344"/>
      <c r="T572" s="344"/>
      <c r="U572" s="344"/>
      <c r="V572" s="344"/>
      <c r="W572" s="344"/>
      <c r="X572" s="344"/>
      <c r="Y572" s="344"/>
      <c r="Z572" s="344"/>
      <c r="AA572" s="344"/>
      <c r="AB572" s="344"/>
      <c r="AC572" s="344"/>
      <c r="AD572" s="344"/>
    </row>
    <row r="573">
      <c r="A573" s="344"/>
      <c r="B573" s="548"/>
      <c r="C573" s="548"/>
      <c r="D573" s="344"/>
      <c r="E573" s="344"/>
      <c r="F573" s="549"/>
      <c r="G573" s="545"/>
      <c r="H573" s="545"/>
      <c r="I573" s="344"/>
      <c r="J573" s="344"/>
      <c r="K573" s="344"/>
      <c r="L573" s="344"/>
      <c r="M573" s="344"/>
      <c r="N573" s="344"/>
      <c r="O573" s="344"/>
      <c r="P573" s="344"/>
      <c r="Q573" s="344"/>
      <c r="R573" s="344"/>
      <c r="S573" s="344"/>
      <c r="T573" s="344"/>
      <c r="U573" s="344"/>
      <c r="V573" s="344"/>
      <c r="W573" s="344"/>
      <c r="X573" s="344"/>
      <c r="Y573" s="344"/>
      <c r="Z573" s="344"/>
      <c r="AA573" s="344"/>
      <c r="AB573" s="344"/>
      <c r="AC573" s="344"/>
      <c r="AD573" s="344"/>
    </row>
    <row r="574">
      <c r="A574" s="344"/>
      <c r="B574" s="548"/>
      <c r="C574" s="548"/>
      <c r="D574" s="344"/>
      <c r="E574" s="344"/>
      <c r="F574" s="549"/>
      <c r="G574" s="545"/>
      <c r="H574" s="545"/>
      <c r="I574" s="344"/>
      <c r="J574" s="344"/>
      <c r="K574" s="344"/>
      <c r="L574" s="344"/>
      <c r="M574" s="344"/>
      <c r="N574" s="344"/>
      <c r="O574" s="344"/>
      <c r="P574" s="344"/>
      <c r="Q574" s="344"/>
      <c r="R574" s="344"/>
      <c r="S574" s="344"/>
      <c r="T574" s="344"/>
      <c r="U574" s="344"/>
      <c r="V574" s="344"/>
      <c r="W574" s="344"/>
      <c r="X574" s="344"/>
      <c r="Y574" s="344"/>
      <c r="Z574" s="344"/>
      <c r="AA574" s="344"/>
      <c r="AB574" s="344"/>
      <c r="AC574" s="344"/>
      <c r="AD574" s="344"/>
    </row>
    <row r="575">
      <c r="A575" s="344"/>
      <c r="B575" s="548"/>
      <c r="C575" s="548"/>
      <c r="D575" s="344"/>
      <c r="E575" s="344"/>
      <c r="F575" s="549"/>
      <c r="G575" s="545"/>
      <c r="H575" s="545"/>
      <c r="I575" s="344"/>
      <c r="J575" s="344"/>
      <c r="K575" s="344"/>
      <c r="L575" s="344"/>
      <c r="M575" s="344"/>
      <c r="N575" s="344"/>
      <c r="O575" s="344"/>
      <c r="P575" s="344"/>
      <c r="Q575" s="344"/>
      <c r="R575" s="344"/>
      <c r="S575" s="344"/>
      <c r="T575" s="344"/>
      <c r="U575" s="344"/>
      <c r="V575" s="344"/>
      <c r="W575" s="344"/>
      <c r="X575" s="344"/>
      <c r="Y575" s="344"/>
      <c r="Z575" s="344"/>
      <c r="AA575" s="344"/>
      <c r="AB575" s="344"/>
      <c r="AC575" s="344"/>
      <c r="AD575" s="344"/>
    </row>
    <row r="576">
      <c r="A576" s="344"/>
      <c r="B576" s="548"/>
      <c r="C576" s="548"/>
      <c r="D576" s="344"/>
      <c r="E576" s="344"/>
      <c r="F576" s="549"/>
      <c r="G576" s="545"/>
      <c r="H576" s="545"/>
      <c r="I576" s="344"/>
      <c r="J576" s="344"/>
      <c r="K576" s="344"/>
      <c r="L576" s="344"/>
      <c r="M576" s="344"/>
      <c r="N576" s="344"/>
      <c r="O576" s="344"/>
      <c r="P576" s="344"/>
      <c r="Q576" s="344"/>
      <c r="R576" s="344"/>
      <c r="S576" s="344"/>
      <c r="T576" s="344"/>
      <c r="U576" s="344"/>
      <c r="V576" s="344"/>
      <c r="W576" s="344"/>
      <c r="X576" s="344"/>
      <c r="Y576" s="344"/>
      <c r="Z576" s="344"/>
      <c r="AA576" s="344"/>
      <c r="AB576" s="344"/>
      <c r="AC576" s="344"/>
      <c r="AD576" s="344"/>
    </row>
    <row r="577">
      <c r="A577" s="344"/>
      <c r="B577" s="548"/>
      <c r="C577" s="548"/>
      <c r="D577" s="344"/>
      <c r="E577" s="344"/>
      <c r="F577" s="549"/>
      <c r="G577" s="545"/>
      <c r="H577" s="545"/>
      <c r="I577" s="344"/>
      <c r="J577" s="344"/>
      <c r="K577" s="344"/>
      <c r="L577" s="344"/>
      <c r="M577" s="344"/>
      <c r="N577" s="344"/>
      <c r="O577" s="344"/>
      <c r="P577" s="344"/>
      <c r="Q577" s="344"/>
      <c r="R577" s="344"/>
      <c r="S577" s="344"/>
      <c r="T577" s="344"/>
      <c r="U577" s="344"/>
      <c r="V577" s="344"/>
      <c r="W577" s="344"/>
      <c r="X577" s="344"/>
      <c r="Y577" s="344"/>
      <c r="Z577" s="344"/>
      <c r="AA577" s="344"/>
      <c r="AB577" s="344"/>
      <c r="AC577" s="344"/>
      <c r="AD577" s="344"/>
    </row>
    <row r="578">
      <c r="A578" s="344"/>
      <c r="B578" s="548"/>
      <c r="C578" s="548"/>
      <c r="D578" s="344"/>
      <c r="E578" s="344"/>
      <c r="F578" s="549"/>
      <c r="G578" s="545"/>
      <c r="H578" s="545"/>
      <c r="I578" s="344"/>
      <c r="J578" s="344"/>
      <c r="K578" s="344"/>
      <c r="L578" s="344"/>
      <c r="M578" s="344"/>
      <c r="N578" s="344"/>
      <c r="O578" s="344"/>
      <c r="P578" s="344"/>
      <c r="Q578" s="344"/>
      <c r="R578" s="344"/>
      <c r="S578" s="344"/>
      <c r="T578" s="344"/>
      <c r="U578" s="344"/>
      <c r="V578" s="344"/>
      <c r="W578" s="344"/>
      <c r="X578" s="344"/>
      <c r="Y578" s="344"/>
      <c r="Z578" s="344"/>
      <c r="AA578" s="344"/>
      <c r="AB578" s="344"/>
      <c r="AC578" s="344"/>
      <c r="AD578" s="344"/>
    </row>
    <row r="579">
      <c r="A579" s="344"/>
      <c r="B579" s="548"/>
      <c r="C579" s="548"/>
      <c r="D579" s="344"/>
      <c r="E579" s="344"/>
      <c r="F579" s="549"/>
      <c r="G579" s="545"/>
      <c r="H579" s="545"/>
      <c r="I579" s="344"/>
      <c r="J579" s="344"/>
      <c r="K579" s="344"/>
      <c r="L579" s="344"/>
      <c r="M579" s="344"/>
      <c r="N579" s="344"/>
      <c r="O579" s="344"/>
      <c r="P579" s="344"/>
      <c r="Q579" s="344"/>
      <c r="R579" s="344"/>
      <c r="S579" s="344"/>
      <c r="T579" s="344"/>
      <c r="U579" s="344"/>
      <c r="V579" s="344"/>
      <c r="W579" s="344"/>
      <c r="X579" s="344"/>
      <c r="Y579" s="344"/>
      <c r="Z579" s="344"/>
      <c r="AA579" s="344"/>
      <c r="AB579" s="344"/>
      <c r="AC579" s="344"/>
      <c r="AD579" s="344"/>
    </row>
    <row r="580">
      <c r="A580" s="344"/>
      <c r="B580" s="548"/>
      <c r="C580" s="548"/>
      <c r="D580" s="344"/>
      <c r="E580" s="344"/>
      <c r="F580" s="549"/>
      <c r="G580" s="545"/>
      <c r="H580" s="545"/>
      <c r="I580" s="344"/>
      <c r="J580" s="344"/>
      <c r="K580" s="344"/>
      <c r="L580" s="344"/>
      <c r="M580" s="344"/>
      <c r="N580" s="344"/>
      <c r="O580" s="344"/>
      <c r="P580" s="344"/>
      <c r="Q580" s="344"/>
      <c r="R580" s="344"/>
      <c r="S580" s="344"/>
      <c r="T580" s="344"/>
      <c r="U580" s="344"/>
      <c r="V580" s="344"/>
      <c r="W580" s="344"/>
      <c r="X580" s="344"/>
      <c r="Y580" s="344"/>
      <c r="Z580" s="344"/>
      <c r="AA580" s="344"/>
      <c r="AB580" s="344"/>
      <c r="AC580" s="344"/>
      <c r="AD580" s="344"/>
    </row>
    <row r="581">
      <c r="A581" s="344"/>
      <c r="B581" s="548"/>
      <c r="C581" s="548"/>
      <c r="D581" s="344"/>
      <c r="E581" s="344"/>
      <c r="F581" s="549"/>
      <c r="G581" s="545"/>
      <c r="H581" s="545"/>
      <c r="I581" s="344"/>
      <c r="J581" s="344"/>
      <c r="K581" s="344"/>
      <c r="L581" s="344"/>
      <c r="M581" s="344"/>
      <c r="N581" s="344"/>
      <c r="O581" s="344"/>
      <c r="P581" s="344"/>
      <c r="Q581" s="344"/>
      <c r="R581" s="344"/>
      <c r="S581" s="344"/>
      <c r="T581" s="344"/>
      <c r="U581" s="344"/>
      <c r="V581" s="344"/>
      <c r="W581" s="344"/>
      <c r="X581" s="344"/>
      <c r="Y581" s="344"/>
      <c r="Z581" s="344"/>
      <c r="AA581" s="344"/>
      <c r="AB581" s="344"/>
      <c r="AC581" s="344"/>
      <c r="AD581" s="344"/>
    </row>
    <row r="582">
      <c r="A582" s="344"/>
      <c r="B582" s="548"/>
      <c r="C582" s="548"/>
      <c r="D582" s="344"/>
      <c r="E582" s="344"/>
      <c r="F582" s="549"/>
      <c r="G582" s="545"/>
      <c r="H582" s="545"/>
      <c r="I582" s="344"/>
      <c r="J582" s="344"/>
      <c r="K582" s="344"/>
      <c r="L582" s="344"/>
      <c r="M582" s="344"/>
      <c r="N582" s="344"/>
      <c r="O582" s="344"/>
      <c r="P582" s="344"/>
      <c r="Q582" s="344"/>
      <c r="R582" s="344"/>
      <c r="S582" s="344"/>
      <c r="T582" s="344"/>
      <c r="U582" s="344"/>
      <c r="V582" s="344"/>
      <c r="W582" s="344"/>
      <c r="X582" s="344"/>
      <c r="Y582" s="344"/>
      <c r="Z582" s="344"/>
      <c r="AA582" s="344"/>
      <c r="AB582" s="344"/>
      <c r="AC582" s="344"/>
      <c r="AD582" s="344"/>
    </row>
    <row r="583">
      <c r="A583" s="344"/>
      <c r="B583" s="548"/>
      <c r="C583" s="548"/>
      <c r="D583" s="344"/>
      <c r="E583" s="344"/>
      <c r="F583" s="549"/>
      <c r="G583" s="545"/>
      <c r="H583" s="545"/>
      <c r="I583" s="344"/>
      <c r="J583" s="344"/>
      <c r="K583" s="344"/>
      <c r="L583" s="344"/>
      <c r="M583" s="344"/>
      <c r="N583" s="344"/>
      <c r="O583" s="344"/>
      <c r="P583" s="344"/>
      <c r="Q583" s="344"/>
      <c r="R583" s="344"/>
      <c r="S583" s="344"/>
      <c r="T583" s="344"/>
      <c r="U583" s="344"/>
      <c r="V583" s="344"/>
      <c r="W583" s="344"/>
      <c r="X583" s="344"/>
      <c r="Y583" s="344"/>
      <c r="Z583" s="344"/>
      <c r="AA583" s="344"/>
      <c r="AB583" s="344"/>
      <c r="AC583" s="344"/>
      <c r="AD583" s="344"/>
    </row>
    <row r="584">
      <c r="A584" s="344"/>
      <c r="B584" s="548"/>
      <c r="C584" s="548"/>
      <c r="D584" s="344"/>
      <c r="E584" s="344"/>
      <c r="F584" s="549"/>
      <c r="G584" s="545"/>
      <c r="H584" s="545"/>
      <c r="I584" s="344"/>
      <c r="J584" s="344"/>
      <c r="K584" s="344"/>
      <c r="L584" s="344"/>
      <c r="M584" s="344"/>
      <c r="N584" s="344"/>
      <c r="O584" s="344"/>
      <c r="P584" s="344"/>
      <c r="Q584" s="344"/>
      <c r="R584" s="344"/>
      <c r="S584" s="344"/>
      <c r="T584" s="344"/>
      <c r="U584" s="344"/>
      <c r="V584" s="344"/>
      <c r="W584" s="344"/>
      <c r="X584" s="344"/>
      <c r="Y584" s="344"/>
      <c r="Z584" s="344"/>
      <c r="AA584" s="344"/>
      <c r="AB584" s="344"/>
      <c r="AC584" s="344"/>
      <c r="AD584" s="344"/>
    </row>
    <row r="585">
      <c r="A585" s="344"/>
      <c r="B585" s="548"/>
      <c r="C585" s="548"/>
      <c r="D585" s="344"/>
      <c r="E585" s="344"/>
      <c r="F585" s="549"/>
      <c r="G585" s="545"/>
      <c r="H585" s="545"/>
      <c r="I585" s="344"/>
      <c r="J585" s="344"/>
      <c r="K585" s="344"/>
      <c r="L585" s="344"/>
      <c r="M585" s="344"/>
      <c r="N585" s="344"/>
      <c r="O585" s="344"/>
      <c r="P585" s="344"/>
      <c r="Q585" s="344"/>
      <c r="R585" s="344"/>
      <c r="S585" s="344"/>
      <c r="T585" s="344"/>
      <c r="U585" s="344"/>
      <c r="V585" s="344"/>
      <c r="W585" s="344"/>
      <c r="X585" s="344"/>
      <c r="Y585" s="344"/>
      <c r="Z585" s="344"/>
      <c r="AA585" s="344"/>
      <c r="AB585" s="344"/>
      <c r="AC585" s="344"/>
      <c r="AD585" s="344"/>
    </row>
    <row r="586">
      <c r="A586" s="344"/>
      <c r="B586" s="548"/>
      <c r="C586" s="548"/>
      <c r="D586" s="344"/>
      <c r="E586" s="344"/>
      <c r="F586" s="549"/>
      <c r="G586" s="545"/>
      <c r="H586" s="545"/>
      <c r="I586" s="344"/>
      <c r="J586" s="344"/>
      <c r="K586" s="344"/>
      <c r="L586" s="344"/>
      <c r="M586" s="344"/>
      <c r="N586" s="344"/>
      <c r="O586" s="344"/>
      <c r="P586" s="344"/>
      <c r="Q586" s="344"/>
      <c r="R586" s="344"/>
      <c r="S586" s="344"/>
      <c r="T586" s="344"/>
      <c r="U586" s="344"/>
      <c r="V586" s="344"/>
      <c r="W586" s="344"/>
      <c r="X586" s="344"/>
      <c r="Y586" s="344"/>
      <c r="Z586" s="344"/>
      <c r="AA586" s="344"/>
      <c r="AB586" s="344"/>
      <c r="AC586" s="344"/>
      <c r="AD586" s="344"/>
    </row>
    <row r="587">
      <c r="A587" s="344"/>
      <c r="B587" s="548"/>
      <c r="C587" s="548"/>
      <c r="D587" s="344"/>
      <c r="E587" s="344"/>
      <c r="F587" s="549"/>
      <c r="G587" s="545"/>
      <c r="H587" s="545"/>
      <c r="I587" s="344"/>
      <c r="J587" s="344"/>
      <c r="K587" s="344"/>
      <c r="L587" s="344"/>
      <c r="M587" s="344"/>
      <c r="N587" s="344"/>
      <c r="O587" s="344"/>
      <c r="P587" s="344"/>
      <c r="Q587" s="344"/>
      <c r="R587" s="344"/>
      <c r="S587" s="344"/>
      <c r="T587" s="344"/>
      <c r="U587" s="344"/>
      <c r="V587" s="344"/>
      <c r="W587" s="344"/>
      <c r="X587" s="344"/>
      <c r="Y587" s="344"/>
      <c r="Z587" s="344"/>
      <c r="AA587" s="344"/>
      <c r="AB587" s="344"/>
      <c r="AC587" s="344"/>
      <c r="AD587" s="344"/>
    </row>
    <row r="588">
      <c r="A588" s="344"/>
      <c r="B588" s="548"/>
      <c r="C588" s="548"/>
      <c r="D588" s="344"/>
      <c r="E588" s="344"/>
      <c r="F588" s="549"/>
      <c r="G588" s="545"/>
      <c r="H588" s="545"/>
      <c r="I588" s="344"/>
      <c r="J588" s="344"/>
      <c r="K588" s="344"/>
      <c r="L588" s="344"/>
      <c r="M588" s="344"/>
      <c r="N588" s="344"/>
      <c r="O588" s="344"/>
      <c r="P588" s="344"/>
      <c r="Q588" s="344"/>
      <c r="R588" s="344"/>
      <c r="S588" s="344"/>
      <c r="T588" s="344"/>
      <c r="U588" s="344"/>
      <c r="V588" s="344"/>
      <c r="W588" s="344"/>
      <c r="X588" s="344"/>
      <c r="Y588" s="344"/>
      <c r="Z588" s="344"/>
      <c r="AA588" s="344"/>
      <c r="AB588" s="344"/>
      <c r="AC588" s="344"/>
      <c r="AD588" s="344"/>
    </row>
    <row r="589">
      <c r="A589" s="344"/>
      <c r="B589" s="548"/>
      <c r="C589" s="548"/>
      <c r="D589" s="344"/>
      <c r="E589" s="344"/>
      <c r="F589" s="549"/>
      <c r="G589" s="545"/>
      <c r="H589" s="545"/>
      <c r="I589" s="344"/>
      <c r="J589" s="344"/>
      <c r="K589" s="344"/>
      <c r="L589" s="344"/>
      <c r="M589" s="344"/>
      <c r="N589" s="344"/>
      <c r="O589" s="344"/>
      <c r="P589" s="344"/>
      <c r="Q589" s="344"/>
      <c r="R589" s="344"/>
      <c r="S589" s="344"/>
      <c r="T589" s="344"/>
      <c r="U589" s="344"/>
      <c r="V589" s="344"/>
      <c r="W589" s="344"/>
      <c r="X589" s="344"/>
      <c r="Y589" s="344"/>
      <c r="Z589" s="344"/>
      <c r="AA589" s="344"/>
      <c r="AB589" s="344"/>
      <c r="AC589" s="344"/>
      <c r="AD589" s="344"/>
    </row>
    <row r="590">
      <c r="A590" s="344"/>
      <c r="B590" s="548"/>
      <c r="C590" s="548"/>
      <c r="D590" s="344"/>
      <c r="E590" s="344"/>
      <c r="F590" s="549"/>
      <c r="G590" s="545"/>
      <c r="H590" s="545"/>
      <c r="I590" s="344"/>
      <c r="J590" s="344"/>
      <c r="K590" s="344"/>
      <c r="L590" s="344"/>
      <c r="M590" s="344"/>
      <c r="N590" s="344"/>
      <c r="O590" s="344"/>
      <c r="P590" s="344"/>
      <c r="Q590" s="344"/>
      <c r="R590" s="344"/>
      <c r="S590" s="344"/>
      <c r="T590" s="344"/>
      <c r="U590" s="344"/>
      <c r="V590" s="344"/>
      <c r="W590" s="344"/>
      <c r="X590" s="344"/>
      <c r="Y590" s="344"/>
      <c r="Z590" s="344"/>
      <c r="AA590" s="344"/>
      <c r="AB590" s="344"/>
      <c r="AC590" s="344"/>
      <c r="AD590" s="344"/>
    </row>
    <row r="591">
      <c r="A591" s="344"/>
      <c r="B591" s="548"/>
      <c r="C591" s="548"/>
      <c r="D591" s="344"/>
      <c r="E591" s="344"/>
      <c r="F591" s="549"/>
      <c r="G591" s="545"/>
      <c r="H591" s="545"/>
      <c r="I591" s="344"/>
      <c r="J591" s="344"/>
      <c r="K591" s="344"/>
      <c r="L591" s="344"/>
      <c r="M591" s="344"/>
      <c r="N591" s="344"/>
      <c r="O591" s="344"/>
      <c r="P591" s="344"/>
      <c r="Q591" s="344"/>
      <c r="R591" s="344"/>
      <c r="S591" s="344"/>
      <c r="T591" s="344"/>
      <c r="U591" s="344"/>
      <c r="V591" s="344"/>
      <c r="W591" s="344"/>
      <c r="X591" s="344"/>
      <c r="Y591" s="344"/>
      <c r="Z591" s="344"/>
      <c r="AA591" s="344"/>
      <c r="AB591" s="344"/>
      <c r="AC591" s="344"/>
      <c r="AD591" s="344"/>
    </row>
    <row r="592">
      <c r="A592" s="344"/>
      <c r="B592" s="548"/>
      <c r="C592" s="548"/>
      <c r="D592" s="344"/>
      <c r="E592" s="344"/>
      <c r="F592" s="549"/>
      <c r="G592" s="545"/>
      <c r="H592" s="545"/>
      <c r="I592" s="344"/>
      <c r="J592" s="344"/>
      <c r="K592" s="344"/>
      <c r="L592" s="344"/>
      <c r="M592" s="344"/>
      <c r="N592" s="344"/>
      <c r="O592" s="344"/>
      <c r="P592" s="344"/>
      <c r="Q592" s="344"/>
      <c r="R592" s="344"/>
      <c r="S592" s="344"/>
      <c r="T592" s="344"/>
      <c r="U592" s="344"/>
      <c r="V592" s="344"/>
      <c r="W592" s="344"/>
      <c r="X592" s="344"/>
      <c r="Y592" s="344"/>
      <c r="Z592" s="344"/>
      <c r="AA592" s="344"/>
      <c r="AB592" s="344"/>
      <c r="AC592" s="344"/>
      <c r="AD592" s="344"/>
    </row>
    <row r="593">
      <c r="A593" s="344"/>
      <c r="B593" s="548"/>
      <c r="C593" s="548"/>
      <c r="D593" s="344"/>
      <c r="E593" s="344"/>
      <c r="F593" s="549"/>
      <c r="G593" s="545"/>
      <c r="H593" s="545"/>
      <c r="I593" s="344"/>
      <c r="J593" s="344"/>
      <c r="K593" s="344"/>
      <c r="L593" s="344"/>
      <c r="M593" s="344"/>
      <c r="N593" s="344"/>
      <c r="O593" s="344"/>
      <c r="P593" s="344"/>
      <c r="Q593" s="344"/>
      <c r="R593" s="344"/>
      <c r="S593" s="344"/>
      <c r="T593" s="344"/>
      <c r="U593" s="344"/>
      <c r="V593" s="344"/>
      <c r="W593" s="344"/>
      <c r="X593" s="344"/>
      <c r="Y593" s="344"/>
      <c r="Z593" s="344"/>
      <c r="AA593" s="344"/>
      <c r="AB593" s="344"/>
      <c r="AC593" s="344"/>
      <c r="AD593" s="344"/>
    </row>
    <row r="594">
      <c r="A594" s="344"/>
      <c r="B594" s="548"/>
      <c r="C594" s="548"/>
      <c r="D594" s="344"/>
      <c r="E594" s="344"/>
      <c r="F594" s="549"/>
      <c r="G594" s="545"/>
      <c r="H594" s="545"/>
      <c r="I594" s="344"/>
      <c r="J594" s="344"/>
      <c r="K594" s="344"/>
      <c r="L594" s="344"/>
      <c r="M594" s="344"/>
      <c r="N594" s="344"/>
      <c r="O594" s="344"/>
      <c r="P594" s="344"/>
      <c r="Q594" s="344"/>
      <c r="R594" s="344"/>
      <c r="S594" s="344"/>
      <c r="T594" s="344"/>
      <c r="U594" s="344"/>
      <c r="V594" s="344"/>
      <c r="W594" s="344"/>
      <c r="X594" s="344"/>
      <c r="Y594" s="344"/>
      <c r="Z594" s="344"/>
      <c r="AA594" s="344"/>
      <c r="AB594" s="344"/>
      <c r="AC594" s="344"/>
      <c r="AD594" s="344"/>
    </row>
    <row r="595">
      <c r="A595" s="344"/>
      <c r="B595" s="548"/>
      <c r="C595" s="548"/>
      <c r="D595" s="344"/>
      <c r="E595" s="344"/>
      <c r="F595" s="549"/>
      <c r="G595" s="545"/>
      <c r="H595" s="545"/>
      <c r="I595" s="344"/>
      <c r="J595" s="344"/>
      <c r="K595" s="344"/>
      <c r="L595" s="344"/>
      <c r="M595" s="344"/>
      <c r="N595" s="344"/>
      <c r="O595" s="344"/>
      <c r="P595" s="344"/>
      <c r="Q595" s="344"/>
      <c r="R595" s="344"/>
      <c r="S595" s="344"/>
      <c r="T595" s="344"/>
      <c r="U595" s="344"/>
      <c r="V595" s="344"/>
      <c r="W595" s="344"/>
      <c r="X595" s="344"/>
      <c r="Y595" s="344"/>
      <c r="Z595" s="344"/>
      <c r="AA595" s="344"/>
      <c r="AB595" s="344"/>
      <c r="AC595" s="344"/>
      <c r="AD595" s="344"/>
    </row>
    <row r="596">
      <c r="A596" s="344"/>
      <c r="B596" s="548"/>
      <c r="C596" s="548"/>
      <c r="D596" s="344"/>
      <c r="E596" s="344"/>
      <c r="F596" s="549"/>
      <c r="G596" s="545"/>
      <c r="H596" s="545"/>
      <c r="I596" s="344"/>
      <c r="J596" s="344"/>
      <c r="K596" s="344"/>
      <c r="L596" s="344"/>
      <c r="M596" s="344"/>
      <c r="N596" s="344"/>
      <c r="O596" s="344"/>
      <c r="P596" s="344"/>
      <c r="Q596" s="344"/>
      <c r="R596" s="344"/>
      <c r="S596" s="344"/>
      <c r="T596" s="344"/>
      <c r="U596" s="344"/>
      <c r="V596" s="344"/>
      <c r="W596" s="344"/>
      <c r="X596" s="344"/>
      <c r="Y596" s="344"/>
      <c r="Z596" s="344"/>
      <c r="AA596" s="344"/>
      <c r="AB596" s="344"/>
      <c r="AC596" s="344"/>
      <c r="AD596" s="344"/>
    </row>
    <row r="597">
      <c r="A597" s="344"/>
      <c r="B597" s="548"/>
      <c r="C597" s="548"/>
      <c r="D597" s="344"/>
      <c r="E597" s="344"/>
      <c r="F597" s="549"/>
      <c r="G597" s="545"/>
      <c r="H597" s="545"/>
      <c r="I597" s="344"/>
      <c r="J597" s="344"/>
      <c r="K597" s="344"/>
      <c r="L597" s="344"/>
      <c r="M597" s="344"/>
      <c r="N597" s="344"/>
      <c r="O597" s="344"/>
      <c r="P597" s="344"/>
      <c r="Q597" s="344"/>
      <c r="R597" s="344"/>
      <c r="S597" s="344"/>
      <c r="T597" s="344"/>
      <c r="U597" s="344"/>
      <c r="V597" s="344"/>
      <c r="W597" s="344"/>
      <c r="X597" s="344"/>
      <c r="Y597" s="344"/>
      <c r="Z597" s="344"/>
      <c r="AA597" s="344"/>
      <c r="AB597" s="344"/>
      <c r="AC597" s="344"/>
      <c r="AD597" s="344"/>
    </row>
    <row r="598">
      <c r="A598" s="344"/>
      <c r="B598" s="548"/>
      <c r="C598" s="548"/>
      <c r="D598" s="344"/>
      <c r="E598" s="344"/>
      <c r="F598" s="549"/>
      <c r="G598" s="545"/>
      <c r="H598" s="545"/>
      <c r="I598" s="344"/>
      <c r="J598" s="344"/>
      <c r="K598" s="344"/>
      <c r="L598" s="344"/>
      <c r="M598" s="344"/>
      <c r="N598" s="344"/>
      <c r="O598" s="344"/>
      <c r="P598" s="344"/>
      <c r="Q598" s="344"/>
      <c r="R598" s="344"/>
      <c r="S598" s="344"/>
      <c r="T598" s="344"/>
      <c r="U598" s="344"/>
      <c r="V598" s="344"/>
      <c r="W598" s="344"/>
      <c r="X598" s="344"/>
      <c r="Y598" s="344"/>
      <c r="Z598" s="344"/>
      <c r="AA598" s="344"/>
      <c r="AB598" s="344"/>
      <c r="AC598" s="344"/>
      <c r="AD598" s="344"/>
    </row>
    <row r="599">
      <c r="A599" s="344"/>
      <c r="B599" s="548"/>
      <c r="C599" s="548"/>
      <c r="D599" s="344"/>
      <c r="E599" s="344"/>
      <c r="F599" s="549"/>
      <c r="G599" s="545"/>
      <c r="H599" s="545"/>
      <c r="I599" s="344"/>
      <c r="J599" s="344"/>
      <c r="K599" s="344"/>
      <c r="L599" s="344"/>
      <c r="M599" s="344"/>
      <c r="N599" s="344"/>
      <c r="O599" s="344"/>
      <c r="P599" s="344"/>
      <c r="Q599" s="344"/>
      <c r="R599" s="344"/>
      <c r="S599" s="344"/>
      <c r="T599" s="344"/>
      <c r="U599" s="344"/>
      <c r="V599" s="344"/>
      <c r="W599" s="344"/>
      <c r="X599" s="344"/>
      <c r="Y599" s="344"/>
      <c r="Z599" s="344"/>
      <c r="AA599" s="344"/>
      <c r="AB599" s="344"/>
      <c r="AC599" s="344"/>
      <c r="AD599" s="344"/>
    </row>
    <row r="600">
      <c r="A600" s="344"/>
      <c r="B600" s="548"/>
      <c r="C600" s="548"/>
      <c r="D600" s="344"/>
      <c r="E600" s="344"/>
      <c r="F600" s="549"/>
      <c r="G600" s="545"/>
      <c r="H600" s="545"/>
      <c r="I600" s="344"/>
      <c r="J600" s="344"/>
      <c r="K600" s="344"/>
      <c r="L600" s="344"/>
      <c r="M600" s="344"/>
      <c r="N600" s="344"/>
      <c r="O600" s="344"/>
      <c r="P600" s="344"/>
      <c r="Q600" s="344"/>
      <c r="R600" s="344"/>
      <c r="S600" s="344"/>
      <c r="T600" s="344"/>
      <c r="U600" s="344"/>
      <c r="V600" s="344"/>
      <c r="W600" s="344"/>
      <c r="X600" s="344"/>
      <c r="Y600" s="344"/>
      <c r="Z600" s="344"/>
      <c r="AA600" s="344"/>
      <c r="AB600" s="344"/>
      <c r="AC600" s="344"/>
      <c r="AD600" s="344"/>
    </row>
    <row r="601">
      <c r="A601" s="344"/>
      <c r="B601" s="548"/>
      <c r="C601" s="548"/>
      <c r="D601" s="344"/>
      <c r="E601" s="344"/>
      <c r="F601" s="549"/>
      <c r="G601" s="545"/>
      <c r="H601" s="545"/>
      <c r="I601" s="344"/>
      <c r="J601" s="344"/>
      <c r="K601" s="344"/>
      <c r="L601" s="344"/>
      <c r="M601" s="344"/>
      <c r="N601" s="344"/>
      <c r="O601" s="344"/>
      <c r="P601" s="344"/>
      <c r="Q601" s="344"/>
      <c r="R601" s="344"/>
      <c r="S601" s="344"/>
      <c r="T601" s="344"/>
      <c r="U601" s="344"/>
      <c r="V601" s="344"/>
      <c r="W601" s="344"/>
      <c r="X601" s="344"/>
      <c r="Y601" s="344"/>
      <c r="Z601" s="344"/>
      <c r="AA601" s="344"/>
      <c r="AB601" s="344"/>
      <c r="AC601" s="344"/>
      <c r="AD601" s="344"/>
    </row>
    <row r="602">
      <c r="A602" s="344"/>
      <c r="B602" s="548"/>
      <c r="C602" s="548"/>
      <c r="D602" s="344"/>
      <c r="E602" s="344"/>
      <c r="F602" s="549"/>
      <c r="G602" s="545"/>
      <c r="H602" s="545"/>
      <c r="I602" s="344"/>
      <c r="J602" s="344"/>
      <c r="K602" s="344"/>
      <c r="L602" s="344"/>
      <c r="M602" s="344"/>
      <c r="N602" s="344"/>
      <c r="O602" s="344"/>
      <c r="P602" s="344"/>
      <c r="Q602" s="344"/>
      <c r="R602" s="344"/>
      <c r="S602" s="344"/>
      <c r="T602" s="344"/>
      <c r="U602" s="344"/>
      <c r="V602" s="344"/>
      <c r="W602" s="344"/>
      <c r="X602" s="344"/>
      <c r="Y602" s="344"/>
      <c r="Z602" s="344"/>
      <c r="AA602" s="344"/>
      <c r="AB602" s="344"/>
      <c r="AC602" s="344"/>
      <c r="AD602" s="344"/>
    </row>
    <row r="603">
      <c r="A603" s="344"/>
      <c r="B603" s="548"/>
      <c r="C603" s="548"/>
      <c r="D603" s="344"/>
      <c r="E603" s="344"/>
      <c r="F603" s="549"/>
      <c r="G603" s="545"/>
      <c r="H603" s="545"/>
      <c r="I603" s="344"/>
      <c r="J603" s="344"/>
      <c r="K603" s="344"/>
      <c r="L603" s="344"/>
      <c r="M603" s="344"/>
      <c r="N603" s="344"/>
      <c r="O603" s="344"/>
      <c r="P603" s="344"/>
      <c r="Q603" s="344"/>
      <c r="R603" s="344"/>
      <c r="S603" s="344"/>
      <c r="T603" s="344"/>
      <c r="U603" s="344"/>
      <c r="V603" s="344"/>
      <c r="W603" s="344"/>
      <c r="X603" s="344"/>
      <c r="Y603" s="344"/>
      <c r="Z603" s="344"/>
      <c r="AA603" s="344"/>
      <c r="AB603" s="344"/>
      <c r="AC603" s="344"/>
      <c r="AD603" s="344"/>
    </row>
    <row r="604">
      <c r="A604" s="344"/>
      <c r="B604" s="548"/>
      <c r="C604" s="548"/>
      <c r="D604" s="344"/>
      <c r="E604" s="344"/>
      <c r="F604" s="549"/>
      <c r="G604" s="545"/>
      <c r="H604" s="545"/>
      <c r="I604" s="344"/>
      <c r="J604" s="344"/>
      <c r="K604" s="344"/>
      <c r="L604" s="344"/>
      <c r="M604" s="344"/>
      <c r="N604" s="344"/>
      <c r="O604" s="344"/>
      <c r="P604" s="344"/>
      <c r="Q604" s="344"/>
      <c r="R604" s="344"/>
      <c r="S604" s="344"/>
      <c r="T604" s="344"/>
      <c r="U604" s="344"/>
      <c r="V604" s="344"/>
      <c r="W604" s="344"/>
      <c r="X604" s="344"/>
      <c r="Y604" s="344"/>
      <c r="Z604" s="344"/>
      <c r="AA604" s="344"/>
      <c r="AB604" s="344"/>
      <c r="AC604" s="344"/>
      <c r="AD604" s="344"/>
    </row>
    <row r="605">
      <c r="A605" s="344"/>
      <c r="B605" s="548"/>
      <c r="C605" s="548"/>
      <c r="D605" s="344"/>
      <c r="E605" s="344"/>
      <c r="F605" s="549"/>
      <c r="G605" s="545"/>
      <c r="H605" s="545"/>
      <c r="I605" s="344"/>
      <c r="J605" s="344"/>
      <c r="K605" s="344"/>
      <c r="L605" s="344"/>
      <c r="M605" s="344"/>
      <c r="N605" s="344"/>
      <c r="O605" s="344"/>
      <c r="P605" s="344"/>
      <c r="Q605" s="344"/>
      <c r="R605" s="344"/>
      <c r="S605" s="344"/>
      <c r="T605" s="344"/>
      <c r="U605" s="344"/>
      <c r="V605" s="344"/>
      <c r="W605" s="344"/>
      <c r="X605" s="344"/>
      <c r="Y605" s="344"/>
      <c r="Z605" s="344"/>
      <c r="AA605" s="344"/>
      <c r="AB605" s="344"/>
      <c r="AC605" s="344"/>
      <c r="AD605" s="344"/>
    </row>
    <row r="606">
      <c r="A606" s="344"/>
      <c r="B606" s="548"/>
      <c r="C606" s="548"/>
      <c r="D606" s="344"/>
      <c r="E606" s="344"/>
      <c r="F606" s="549"/>
      <c r="G606" s="545"/>
      <c r="H606" s="545"/>
      <c r="I606" s="344"/>
      <c r="J606" s="344"/>
      <c r="K606" s="344"/>
      <c r="L606" s="344"/>
      <c r="M606" s="344"/>
      <c r="N606" s="344"/>
      <c r="O606" s="344"/>
      <c r="P606" s="344"/>
      <c r="Q606" s="344"/>
      <c r="R606" s="344"/>
      <c r="S606" s="344"/>
      <c r="T606" s="344"/>
      <c r="U606" s="344"/>
      <c r="V606" s="344"/>
      <c r="W606" s="344"/>
      <c r="X606" s="344"/>
      <c r="Y606" s="344"/>
      <c r="Z606" s="344"/>
      <c r="AA606" s="344"/>
      <c r="AB606" s="344"/>
      <c r="AC606" s="344"/>
      <c r="AD606" s="344"/>
    </row>
    <row r="607">
      <c r="A607" s="344"/>
      <c r="B607" s="548"/>
      <c r="C607" s="548"/>
      <c r="D607" s="344"/>
      <c r="E607" s="344"/>
      <c r="F607" s="549"/>
      <c r="G607" s="545"/>
      <c r="H607" s="545"/>
      <c r="I607" s="344"/>
      <c r="J607" s="344"/>
      <c r="K607" s="344"/>
      <c r="L607" s="344"/>
      <c r="M607" s="344"/>
      <c r="N607" s="344"/>
      <c r="O607" s="344"/>
      <c r="P607" s="344"/>
      <c r="Q607" s="344"/>
      <c r="R607" s="344"/>
      <c r="S607" s="344"/>
      <c r="T607" s="344"/>
      <c r="U607" s="344"/>
      <c r="V607" s="344"/>
      <c r="W607" s="344"/>
      <c r="X607" s="344"/>
      <c r="Y607" s="344"/>
      <c r="Z607" s="344"/>
      <c r="AA607" s="344"/>
      <c r="AB607" s="344"/>
      <c r="AC607" s="344"/>
      <c r="AD607" s="344"/>
    </row>
    <row r="608">
      <c r="A608" s="344"/>
      <c r="B608" s="548"/>
      <c r="C608" s="548"/>
      <c r="D608" s="344"/>
      <c r="E608" s="344"/>
      <c r="F608" s="549"/>
      <c r="G608" s="545"/>
      <c r="H608" s="545"/>
      <c r="I608" s="344"/>
      <c r="J608" s="344"/>
      <c r="K608" s="344"/>
      <c r="L608" s="344"/>
      <c r="M608" s="344"/>
      <c r="N608" s="344"/>
      <c r="O608" s="344"/>
      <c r="P608" s="344"/>
      <c r="Q608" s="344"/>
      <c r="R608" s="344"/>
      <c r="S608" s="344"/>
      <c r="T608" s="344"/>
      <c r="U608" s="344"/>
      <c r="V608" s="344"/>
      <c r="W608" s="344"/>
      <c r="X608" s="344"/>
      <c r="Y608" s="344"/>
      <c r="Z608" s="344"/>
      <c r="AA608" s="344"/>
      <c r="AB608" s="344"/>
      <c r="AC608" s="344"/>
      <c r="AD608" s="344"/>
    </row>
    <row r="609">
      <c r="A609" s="344"/>
      <c r="B609" s="548"/>
      <c r="C609" s="548"/>
      <c r="D609" s="344"/>
      <c r="E609" s="344"/>
      <c r="F609" s="549"/>
      <c r="G609" s="545"/>
      <c r="H609" s="545"/>
      <c r="I609" s="344"/>
      <c r="J609" s="344"/>
      <c r="K609" s="344"/>
      <c r="L609" s="344"/>
      <c r="M609" s="344"/>
      <c r="N609" s="344"/>
      <c r="O609" s="344"/>
      <c r="P609" s="344"/>
      <c r="Q609" s="344"/>
      <c r="R609" s="344"/>
      <c r="S609" s="344"/>
      <c r="T609" s="344"/>
      <c r="U609" s="344"/>
      <c r="V609" s="344"/>
      <c r="W609" s="344"/>
      <c r="X609" s="344"/>
      <c r="Y609" s="344"/>
      <c r="Z609" s="344"/>
      <c r="AA609" s="344"/>
      <c r="AB609" s="344"/>
      <c r="AC609" s="344"/>
      <c r="AD609" s="344"/>
    </row>
    <row r="610">
      <c r="A610" s="344"/>
      <c r="B610" s="548"/>
      <c r="C610" s="548"/>
      <c r="D610" s="344"/>
      <c r="E610" s="344"/>
      <c r="F610" s="549"/>
      <c r="G610" s="545"/>
      <c r="H610" s="545"/>
      <c r="I610" s="344"/>
      <c r="J610" s="344"/>
      <c r="K610" s="344"/>
      <c r="L610" s="344"/>
      <c r="M610" s="344"/>
      <c r="N610" s="344"/>
      <c r="O610" s="344"/>
      <c r="P610" s="344"/>
      <c r="Q610" s="344"/>
      <c r="R610" s="344"/>
      <c r="S610" s="344"/>
      <c r="T610" s="344"/>
      <c r="U610" s="344"/>
      <c r="V610" s="344"/>
      <c r="W610" s="344"/>
      <c r="X610" s="344"/>
      <c r="Y610" s="344"/>
      <c r="Z610" s="344"/>
      <c r="AA610" s="344"/>
      <c r="AB610" s="344"/>
      <c r="AC610" s="344"/>
      <c r="AD610" s="344"/>
    </row>
    <row r="611">
      <c r="A611" s="344"/>
      <c r="B611" s="548"/>
      <c r="C611" s="548"/>
      <c r="D611" s="344"/>
      <c r="E611" s="344"/>
      <c r="F611" s="549"/>
      <c r="G611" s="545"/>
      <c r="H611" s="545"/>
      <c r="I611" s="344"/>
      <c r="J611" s="344"/>
      <c r="K611" s="344"/>
      <c r="L611" s="344"/>
      <c r="M611" s="344"/>
      <c r="N611" s="344"/>
      <c r="O611" s="344"/>
      <c r="P611" s="344"/>
      <c r="Q611" s="344"/>
      <c r="R611" s="344"/>
      <c r="S611" s="344"/>
      <c r="T611" s="344"/>
      <c r="U611" s="344"/>
      <c r="V611" s="344"/>
      <c r="W611" s="344"/>
      <c r="X611" s="344"/>
      <c r="Y611" s="344"/>
      <c r="Z611" s="344"/>
      <c r="AA611" s="344"/>
      <c r="AB611" s="344"/>
      <c r="AC611" s="344"/>
      <c r="AD611" s="344"/>
    </row>
    <row r="612">
      <c r="A612" s="344"/>
      <c r="B612" s="548"/>
      <c r="C612" s="548"/>
      <c r="D612" s="344"/>
      <c r="E612" s="344"/>
      <c r="F612" s="549"/>
      <c r="G612" s="545"/>
      <c r="H612" s="545"/>
      <c r="I612" s="344"/>
      <c r="J612" s="344"/>
      <c r="K612" s="344"/>
      <c r="L612" s="344"/>
      <c r="M612" s="344"/>
      <c r="N612" s="344"/>
      <c r="O612" s="344"/>
      <c r="P612" s="344"/>
      <c r="Q612" s="344"/>
      <c r="R612" s="344"/>
      <c r="S612" s="344"/>
      <c r="T612" s="344"/>
      <c r="U612" s="344"/>
      <c r="V612" s="344"/>
      <c r="W612" s="344"/>
      <c r="X612" s="344"/>
      <c r="Y612" s="344"/>
      <c r="Z612" s="344"/>
      <c r="AA612" s="344"/>
      <c r="AB612" s="344"/>
      <c r="AC612" s="344"/>
      <c r="AD612" s="344"/>
    </row>
    <row r="613">
      <c r="A613" s="344"/>
      <c r="B613" s="548"/>
      <c r="C613" s="548"/>
      <c r="D613" s="344"/>
      <c r="E613" s="344"/>
      <c r="F613" s="549"/>
      <c r="G613" s="545"/>
      <c r="H613" s="545"/>
      <c r="I613" s="344"/>
      <c r="J613" s="344"/>
      <c r="K613" s="344"/>
      <c r="L613" s="344"/>
      <c r="M613" s="344"/>
      <c r="N613" s="344"/>
      <c r="O613" s="344"/>
      <c r="P613" s="344"/>
      <c r="Q613" s="344"/>
      <c r="R613" s="344"/>
      <c r="S613" s="344"/>
      <c r="T613" s="344"/>
      <c r="U613" s="344"/>
      <c r="V613" s="344"/>
      <c r="W613" s="344"/>
      <c r="X613" s="344"/>
      <c r="Y613" s="344"/>
      <c r="Z613" s="344"/>
      <c r="AA613" s="344"/>
      <c r="AB613" s="344"/>
      <c r="AC613" s="344"/>
      <c r="AD613" s="344"/>
    </row>
    <row r="614">
      <c r="A614" s="344"/>
      <c r="B614" s="548"/>
      <c r="C614" s="548"/>
      <c r="D614" s="344"/>
      <c r="E614" s="344"/>
      <c r="F614" s="549"/>
      <c r="G614" s="545"/>
      <c r="H614" s="545"/>
      <c r="I614" s="344"/>
      <c r="J614" s="344"/>
      <c r="K614" s="344"/>
      <c r="L614" s="344"/>
      <c r="M614" s="344"/>
      <c r="N614" s="344"/>
      <c r="O614" s="344"/>
      <c r="P614" s="344"/>
      <c r="Q614" s="344"/>
      <c r="R614" s="344"/>
      <c r="S614" s="344"/>
      <c r="T614" s="344"/>
      <c r="U614" s="344"/>
      <c r="V614" s="344"/>
      <c r="W614" s="344"/>
      <c r="X614" s="344"/>
      <c r="Y614" s="344"/>
      <c r="Z614" s="344"/>
      <c r="AA614" s="344"/>
      <c r="AB614" s="344"/>
      <c r="AC614" s="344"/>
      <c r="AD614" s="344"/>
    </row>
    <row r="615">
      <c r="A615" s="344"/>
      <c r="B615" s="548"/>
      <c r="C615" s="548"/>
      <c r="D615" s="344"/>
      <c r="E615" s="344"/>
      <c r="F615" s="549"/>
      <c r="G615" s="545"/>
      <c r="H615" s="545"/>
      <c r="I615" s="344"/>
      <c r="J615" s="344"/>
      <c r="K615" s="344"/>
      <c r="L615" s="344"/>
      <c r="M615" s="344"/>
      <c r="N615" s="344"/>
      <c r="O615" s="344"/>
      <c r="P615" s="344"/>
      <c r="Q615" s="344"/>
      <c r="R615" s="344"/>
      <c r="S615" s="344"/>
      <c r="T615" s="344"/>
      <c r="U615" s="344"/>
      <c r="V615" s="344"/>
      <c r="W615" s="344"/>
      <c r="X615" s="344"/>
      <c r="Y615" s="344"/>
      <c r="Z615" s="344"/>
      <c r="AA615" s="344"/>
      <c r="AB615" s="344"/>
      <c r="AC615" s="344"/>
      <c r="AD615" s="344"/>
    </row>
    <row r="616">
      <c r="A616" s="344"/>
      <c r="B616" s="548"/>
      <c r="C616" s="548"/>
      <c r="D616" s="344"/>
      <c r="E616" s="344"/>
      <c r="F616" s="549"/>
      <c r="G616" s="545"/>
      <c r="H616" s="545"/>
      <c r="I616" s="344"/>
      <c r="J616" s="344"/>
      <c r="K616" s="344"/>
      <c r="L616" s="344"/>
      <c r="M616" s="344"/>
      <c r="N616" s="344"/>
      <c r="O616" s="344"/>
      <c r="P616" s="344"/>
      <c r="Q616" s="344"/>
      <c r="R616" s="344"/>
      <c r="S616" s="344"/>
      <c r="T616" s="344"/>
      <c r="U616" s="344"/>
      <c r="V616" s="344"/>
      <c r="W616" s="344"/>
      <c r="X616" s="344"/>
      <c r="Y616" s="344"/>
      <c r="Z616" s="344"/>
      <c r="AA616" s="344"/>
      <c r="AB616" s="344"/>
      <c r="AC616" s="344"/>
      <c r="AD616" s="344"/>
    </row>
    <row r="617">
      <c r="A617" s="344"/>
      <c r="B617" s="548"/>
      <c r="C617" s="548"/>
      <c r="D617" s="344"/>
      <c r="E617" s="344"/>
      <c r="F617" s="549"/>
      <c r="G617" s="545"/>
      <c r="H617" s="545"/>
      <c r="I617" s="344"/>
      <c r="J617" s="344"/>
      <c r="K617" s="344"/>
      <c r="L617" s="344"/>
      <c r="M617" s="344"/>
      <c r="N617" s="344"/>
      <c r="O617" s="344"/>
      <c r="P617" s="344"/>
      <c r="Q617" s="344"/>
      <c r="R617" s="344"/>
      <c r="S617" s="344"/>
      <c r="T617" s="344"/>
      <c r="U617" s="344"/>
      <c r="V617" s="344"/>
      <c r="W617" s="344"/>
      <c r="X617" s="344"/>
      <c r="Y617" s="344"/>
      <c r="Z617" s="344"/>
      <c r="AA617" s="344"/>
      <c r="AB617" s="344"/>
      <c r="AC617" s="344"/>
      <c r="AD617" s="344"/>
    </row>
    <row r="618">
      <c r="A618" s="344"/>
      <c r="B618" s="548"/>
      <c r="C618" s="548"/>
      <c r="D618" s="344"/>
      <c r="E618" s="344"/>
      <c r="F618" s="549"/>
      <c r="G618" s="545"/>
      <c r="H618" s="545"/>
      <c r="I618" s="344"/>
      <c r="J618" s="344"/>
      <c r="K618" s="344"/>
      <c r="L618" s="344"/>
      <c r="M618" s="344"/>
      <c r="N618" s="344"/>
      <c r="O618" s="344"/>
      <c r="P618" s="344"/>
      <c r="Q618" s="344"/>
      <c r="R618" s="344"/>
      <c r="S618" s="344"/>
      <c r="T618" s="344"/>
      <c r="U618" s="344"/>
      <c r="V618" s="344"/>
      <c r="W618" s="344"/>
      <c r="X618" s="344"/>
      <c r="Y618" s="344"/>
      <c r="Z618" s="344"/>
      <c r="AA618" s="344"/>
      <c r="AB618" s="344"/>
      <c r="AC618" s="344"/>
      <c r="AD618" s="344"/>
    </row>
    <row r="619">
      <c r="A619" s="344"/>
      <c r="B619" s="548"/>
      <c r="C619" s="548"/>
      <c r="D619" s="344"/>
      <c r="E619" s="344"/>
      <c r="F619" s="549"/>
      <c r="G619" s="545"/>
      <c r="H619" s="545"/>
      <c r="I619" s="344"/>
      <c r="J619" s="344"/>
      <c r="K619" s="344"/>
      <c r="L619" s="344"/>
      <c r="M619" s="344"/>
      <c r="N619" s="344"/>
      <c r="O619" s="344"/>
      <c r="P619" s="344"/>
      <c r="Q619" s="344"/>
      <c r="R619" s="344"/>
      <c r="S619" s="344"/>
      <c r="T619" s="344"/>
      <c r="U619" s="344"/>
      <c r="V619" s="344"/>
      <c r="W619" s="344"/>
      <c r="X619" s="344"/>
      <c r="Y619" s="344"/>
      <c r="Z619" s="344"/>
      <c r="AA619" s="344"/>
      <c r="AB619" s="344"/>
      <c r="AC619" s="344"/>
      <c r="AD619" s="344"/>
    </row>
    <row r="620">
      <c r="A620" s="344"/>
      <c r="B620" s="548"/>
      <c r="C620" s="548"/>
      <c r="D620" s="344"/>
      <c r="E620" s="344"/>
      <c r="F620" s="549"/>
      <c r="G620" s="545"/>
      <c r="H620" s="545"/>
      <c r="I620" s="344"/>
      <c r="J620" s="344"/>
      <c r="K620" s="344"/>
      <c r="L620" s="344"/>
      <c r="M620" s="344"/>
      <c r="N620" s="344"/>
      <c r="O620" s="344"/>
      <c r="P620" s="344"/>
      <c r="Q620" s="344"/>
      <c r="R620" s="344"/>
      <c r="S620" s="344"/>
      <c r="T620" s="344"/>
      <c r="U620" s="344"/>
      <c r="V620" s="344"/>
      <c r="W620" s="344"/>
      <c r="X620" s="344"/>
      <c r="Y620" s="344"/>
      <c r="Z620" s="344"/>
      <c r="AA620" s="344"/>
      <c r="AB620" s="344"/>
      <c r="AC620" s="344"/>
      <c r="AD620" s="344"/>
    </row>
    <row r="621">
      <c r="A621" s="344"/>
      <c r="B621" s="548"/>
      <c r="C621" s="548"/>
      <c r="D621" s="344"/>
      <c r="E621" s="344"/>
      <c r="F621" s="549"/>
      <c r="G621" s="545"/>
      <c r="H621" s="545"/>
      <c r="I621" s="344"/>
      <c r="J621" s="344"/>
      <c r="K621" s="344"/>
      <c r="L621" s="344"/>
      <c r="M621" s="344"/>
      <c r="N621" s="344"/>
      <c r="O621" s="344"/>
      <c r="P621" s="344"/>
      <c r="Q621" s="344"/>
      <c r="R621" s="344"/>
      <c r="S621" s="344"/>
      <c r="T621" s="344"/>
      <c r="U621" s="344"/>
      <c r="V621" s="344"/>
      <c r="W621" s="344"/>
      <c r="X621" s="344"/>
      <c r="Y621" s="344"/>
      <c r="Z621" s="344"/>
      <c r="AA621" s="344"/>
      <c r="AB621" s="344"/>
      <c r="AC621" s="344"/>
      <c r="AD621" s="344"/>
    </row>
    <row r="622">
      <c r="A622" s="344"/>
      <c r="B622" s="548"/>
      <c r="C622" s="548"/>
      <c r="D622" s="344"/>
      <c r="E622" s="344"/>
      <c r="F622" s="549"/>
      <c r="G622" s="545"/>
      <c r="H622" s="545"/>
      <c r="I622" s="344"/>
      <c r="J622" s="344"/>
      <c r="K622" s="344"/>
      <c r="L622" s="344"/>
      <c r="M622" s="344"/>
      <c r="N622" s="344"/>
      <c r="O622" s="344"/>
      <c r="P622" s="344"/>
      <c r="Q622" s="344"/>
      <c r="R622" s="344"/>
      <c r="S622" s="344"/>
      <c r="T622" s="344"/>
      <c r="U622" s="344"/>
      <c r="V622" s="344"/>
      <c r="W622" s="344"/>
      <c r="X622" s="344"/>
      <c r="Y622" s="344"/>
      <c r="Z622" s="344"/>
      <c r="AA622" s="344"/>
      <c r="AB622" s="344"/>
      <c r="AC622" s="344"/>
      <c r="AD622" s="344"/>
    </row>
    <row r="623">
      <c r="A623" s="344"/>
      <c r="B623" s="548"/>
      <c r="C623" s="548"/>
      <c r="D623" s="344"/>
      <c r="E623" s="344"/>
      <c r="F623" s="549"/>
      <c r="G623" s="545"/>
      <c r="H623" s="545"/>
      <c r="I623" s="344"/>
      <c r="J623" s="344"/>
      <c r="K623" s="344"/>
      <c r="L623" s="344"/>
      <c r="M623" s="344"/>
      <c r="N623" s="344"/>
      <c r="O623" s="344"/>
      <c r="P623" s="344"/>
      <c r="Q623" s="344"/>
      <c r="R623" s="344"/>
      <c r="S623" s="344"/>
      <c r="T623" s="344"/>
      <c r="U623" s="344"/>
      <c r="V623" s="344"/>
      <c r="W623" s="344"/>
      <c r="X623" s="344"/>
      <c r="Y623" s="344"/>
      <c r="Z623" s="344"/>
      <c r="AA623" s="344"/>
      <c r="AB623" s="344"/>
      <c r="AC623" s="344"/>
      <c r="AD623" s="344"/>
    </row>
    <row r="624">
      <c r="A624" s="344"/>
      <c r="B624" s="548"/>
      <c r="C624" s="548"/>
      <c r="D624" s="344"/>
      <c r="E624" s="344"/>
      <c r="F624" s="549"/>
      <c r="G624" s="545"/>
      <c r="H624" s="545"/>
      <c r="I624" s="344"/>
      <c r="J624" s="344"/>
      <c r="K624" s="344"/>
      <c r="L624" s="344"/>
      <c r="M624" s="344"/>
      <c r="N624" s="344"/>
      <c r="O624" s="344"/>
      <c r="P624" s="344"/>
      <c r="Q624" s="344"/>
      <c r="R624" s="344"/>
      <c r="S624" s="344"/>
      <c r="T624" s="344"/>
      <c r="U624" s="344"/>
      <c r="V624" s="344"/>
      <c r="W624" s="344"/>
      <c r="X624" s="344"/>
      <c r="Y624" s="344"/>
      <c r="Z624" s="344"/>
      <c r="AA624" s="344"/>
      <c r="AB624" s="344"/>
      <c r="AC624" s="344"/>
      <c r="AD624" s="344"/>
    </row>
    <row r="625">
      <c r="A625" s="344"/>
      <c r="B625" s="548"/>
      <c r="C625" s="548"/>
      <c r="D625" s="344"/>
      <c r="E625" s="344"/>
      <c r="F625" s="549"/>
      <c r="G625" s="545"/>
      <c r="H625" s="545"/>
      <c r="I625" s="344"/>
      <c r="J625" s="344"/>
      <c r="K625" s="344"/>
      <c r="L625" s="344"/>
      <c r="M625" s="344"/>
      <c r="N625" s="344"/>
      <c r="O625" s="344"/>
      <c r="P625" s="344"/>
      <c r="Q625" s="344"/>
      <c r="R625" s="344"/>
      <c r="S625" s="344"/>
      <c r="T625" s="344"/>
      <c r="U625" s="344"/>
      <c r="V625" s="344"/>
      <c r="W625" s="344"/>
      <c r="X625" s="344"/>
      <c r="Y625" s="344"/>
      <c r="Z625" s="344"/>
      <c r="AA625" s="344"/>
      <c r="AB625" s="344"/>
      <c r="AC625" s="344"/>
      <c r="AD625" s="344"/>
    </row>
    <row r="626">
      <c r="A626" s="344"/>
      <c r="B626" s="548"/>
      <c r="C626" s="548"/>
      <c r="D626" s="344"/>
      <c r="E626" s="344"/>
      <c r="F626" s="549"/>
      <c r="G626" s="545"/>
      <c r="H626" s="545"/>
      <c r="I626" s="344"/>
      <c r="J626" s="344"/>
      <c r="K626" s="344"/>
      <c r="L626" s="344"/>
      <c r="M626" s="344"/>
      <c r="N626" s="344"/>
      <c r="O626" s="344"/>
      <c r="P626" s="344"/>
      <c r="Q626" s="344"/>
      <c r="R626" s="344"/>
      <c r="S626" s="344"/>
      <c r="T626" s="344"/>
      <c r="U626" s="344"/>
      <c r="V626" s="344"/>
      <c r="W626" s="344"/>
      <c r="X626" s="344"/>
      <c r="Y626" s="344"/>
      <c r="Z626" s="344"/>
      <c r="AA626" s="344"/>
      <c r="AB626" s="344"/>
      <c r="AC626" s="344"/>
      <c r="AD626" s="344"/>
    </row>
    <row r="627">
      <c r="A627" s="344"/>
      <c r="B627" s="548"/>
      <c r="C627" s="548"/>
      <c r="D627" s="344"/>
      <c r="E627" s="344"/>
      <c r="F627" s="549"/>
      <c r="G627" s="545"/>
      <c r="H627" s="545"/>
      <c r="I627" s="344"/>
      <c r="J627" s="344"/>
      <c r="K627" s="344"/>
      <c r="L627" s="344"/>
      <c r="M627" s="344"/>
      <c r="N627" s="344"/>
      <c r="O627" s="344"/>
      <c r="P627" s="344"/>
      <c r="Q627" s="344"/>
      <c r="R627" s="344"/>
      <c r="S627" s="344"/>
      <c r="T627" s="344"/>
      <c r="U627" s="344"/>
      <c r="V627" s="344"/>
      <c r="W627" s="344"/>
      <c r="X627" s="344"/>
      <c r="Y627" s="344"/>
      <c r="Z627" s="344"/>
      <c r="AA627" s="344"/>
      <c r="AB627" s="344"/>
      <c r="AC627" s="344"/>
      <c r="AD627" s="344"/>
    </row>
    <row r="628">
      <c r="A628" s="344"/>
      <c r="B628" s="548"/>
      <c r="C628" s="548"/>
      <c r="D628" s="344"/>
      <c r="E628" s="344"/>
      <c r="F628" s="549"/>
      <c r="G628" s="545"/>
      <c r="H628" s="545"/>
      <c r="I628" s="344"/>
      <c r="J628" s="344"/>
      <c r="K628" s="344"/>
      <c r="L628" s="344"/>
      <c r="M628" s="344"/>
      <c r="N628" s="344"/>
      <c r="O628" s="344"/>
      <c r="P628" s="344"/>
      <c r="Q628" s="344"/>
      <c r="R628" s="344"/>
      <c r="S628" s="344"/>
      <c r="T628" s="344"/>
      <c r="U628" s="344"/>
      <c r="V628" s="344"/>
      <c r="W628" s="344"/>
      <c r="X628" s="344"/>
      <c r="Y628" s="344"/>
      <c r="Z628" s="344"/>
      <c r="AA628" s="344"/>
      <c r="AB628" s="344"/>
      <c r="AC628" s="344"/>
      <c r="AD628" s="344"/>
    </row>
    <row r="629">
      <c r="A629" s="344"/>
      <c r="B629" s="548"/>
      <c r="C629" s="548"/>
      <c r="D629" s="344"/>
      <c r="E629" s="344"/>
      <c r="F629" s="549"/>
      <c r="G629" s="545"/>
      <c r="H629" s="545"/>
      <c r="I629" s="344"/>
      <c r="J629" s="344"/>
      <c r="K629" s="344"/>
      <c r="L629" s="344"/>
      <c r="M629" s="344"/>
      <c r="N629" s="344"/>
      <c r="O629" s="344"/>
      <c r="P629" s="344"/>
      <c r="Q629" s="344"/>
      <c r="R629" s="344"/>
      <c r="S629" s="344"/>
      <c r="T629" s="344"/>
      <c r="U629" s="344"/>
      <c r="V629" s="344"/>
      <c r="W629" s="344"/>
      <c r="X629" s="344"/>
      <c r="Y629" s="344"/>
      <c r="Z629" s="344"/>
      <c r="AA629" s="344"/>
      <c r="AB629" s="344"/>
      <c r="AC629" s="344"/>
      <c r="AD629" s="344"/>
    </row>
    <row r="630">
      <c r="A630" s="344"/>
      <c r="B630" s="548"/>
      <c r="C630" s="548"/>
      <c r="D630" s="344"/>
      <c r="E630" s="344"/>
      <c r="F630" s="549"/>
      <c r="G630" s="545"/>
      <c r="H630" s="545"/>
      <c r="I630" s="344"/>
      <c r="J630" s="344"/>
      <c r="K630" s="344"/>
      <c r="L630" s="344"/>
      <c r="M630" s="344"/>
      <c r="N630" s="344"/>
      <c r="O630" s="344"/>
      <c r="P630" s="344"/>
      <c r="Q630" s="344"/>
      <c r="R630" s="344"/>
      <c r="S630" s="344"/>
      <c r="T630" s="344"/>
      <c r="U630" s="344"/>
      <c r="V630" s="344"/>
      <c r="W630" s="344"/>
      <c r="X630" s="344"/>
      <c r="Y630" s="344"/>
      <c r="Z630" s="344"/>
      <c r="AA630" s="344"/>
      <c r="AB630" s="344"/>
      <c r="AC630" s="344"/>
      <c r="AD630" s="344"/>
    </row>
    <row r="631">
      <c r="A631" s="344"/>
      <c r="B631" s="548"/>
      <c r="C631" s="548"/>
      <c r="D631" s="344"/>
      <c r="E631" s="344"/>
      <c r="F631" s="549"/>
      <c r="G631" s="545"/>
      <c r="H631" s="545"/>
      <c r="I631" s="344"/>
      <c r="J631" s="344"/>
      <c r="K631" s="344"/>
      <c r="L631" s="344"/>
      <c r="M631" s="344"/>
      <c r="N631" s="344"/>
      <c r="O631" s="344"/>
      <c r="P631" s="344"/>
      <c r="Q631" s="344"/>
      <c r="R631" s="344"/>
      <c r="S631" s="344"/>
      <c r="T631" s="344"/>
      <c r="U631" s="344"/>
      <c r="V631" s="344"/>
      <c r="W631" s="344"/>
      <c r="X631" s="344"/>
      <c r="Y631" s="344"/>
      <c r="Z631" s="344"/>
      <c r="AA631" s="344"/>
      <c r="AB631" s="344"/>
      <c r="AC631" s="344"/>
      <c r="AD631" s="344"/>
    </row>
    <row r="632">
      <c r="A632" s="344"/>
      <c r="B632" s="548"/>
      <c r="C632" s="548"/>
      <c r="D632" s="344"/>
      <c r="E632" s="344"/>
      <c r="F632" s="549"/>
      <c r="G632" s="545"/>
      <c r="H632" s="545"/>
      <c r="I632" s="344"/>
      <c r="J632" s="344"/>
      <c r="K632" s="344"/>
      <c r="L632" s="344"/>
      <c r="M632" s="344"/>
      <c r="N632" s="344"/>
      <c r="O632" s="344"/>
      <c r="P632" s="344"/>
      <c r="Q632" s="344"/>
      <c r="R632" s="344"/>
      <c r="S632" s="344"/>
      <c r="T632" s="344"/>
      <c r="U632" s="344"/>
      <c r="V632" s="344"/>
      <c r="W632" s="344"/>
      <c r="X632" s="344"/>
      <c r="Y632" s="344"/>
      <c r="Z632" s="344"/>
      <c r="AA632" s="344"/>
      <c r="AB632" s="344"/>
      <c r="AC632" s="344"/>
      <c r="AD632" s="344"/>
    </row>
    <row r="633">
      <c r="A633" s="344"/>
      <c r="B633" s="548"/>
      <c r="C633" s="548"/>
      <c r="D633" s="344"/>
      <c r="E633" s="344"/>
      <c r="F633" s="549"/>
      <c r="G633" s="545"/>
      <c r="H633" s="545"/>
      <c r="I633" s="344"/>
      <c r="J633" s="344"/>
      <c r="K633" s="344"/>
      <c r="L633" s="344"/>
      <c r="M633" s="344"/>
      <c r="N633" s="344"/>
      <c r="O633" s="344"/>
      <c r="P633" s="344"/>
      <c r="Q633" s="344"/>
      <c r="R633" s="344"/>
      <c r="S633" s="344"/>
      <c r="T633" s="344"/>
      <c r="U633" s="344"/>
      <c r="V633" s="344"/>
      <c r="W633" s="344"/>
      <c r="X633" s="344"/>
      <c r="Y633" s="344"/>
      <c r="Z633" s="344"/>
      <c r="AA633" s="344"/>
      <c r="AB633" s="344"/>
      <c r="AC633" s="344"/>
      <c r="AD633" s="344"/>
    </row>
    <row r="634">
      <c r="A634" s="344"/>
      <c r="B634" s="548"/>
      <c r="C634" s="548"/>
      <c r="D634" s="344"/>
      <c r="E634" s="344"/>
      <c r="F634" s="549"/>
      <c r="G634" s="545"/>
      <c r="H634" s="545"/>
      <c r="I634" s="344"/>
      <c r="J634" s="344"/>
      <c r="K634" s="344"/>
      <c r="L634" s="344"/>
      <c r="M634" s="344"/>
      <c r="N634" s="344"/>
      <c r="O634" s="344"/>
      <c r="P634" s="344"/>
      <c r="Q634" s="344"/>
      <c r="R634" s="344"/>
      <c r="S634" s="344"/>
      <c r="T634" s="344"/>
      <c r="U634" s="344"/>
      <c r="V634" s="344"/>
      <c r="W634" s="344"/>
      <c r="X634" s="344"/>
      <c r="Y634" s="344"/>
      <c r="Z634" s="344"/>
      <c r="AA634" s="344"/>
      <c r="AB634" s="344"/>
      <c r="AC634" s="344"/>
      <c r="AD634" s="344"/>
    </row>
    <row r="635">
      <c r="A635" s="344"/>
      <c r="B635" s="548"/>
      <c r="C635" s="548"/>
      <c r="D635" s="344"/>
      <c r="E635" s="344"/>
      <c r="F635" s="549"/>
      <c r="G635" s="545"/>
      <c r="H635" s="545"/>
      <c r="I635" s="344"/>
      <c r="J635" s="344"/>
      <c r="K635" s="344"/>
      <c r="L635" s="344"/>
      <c r="M635" s="344"/>
      <c r="N635" s="344"/>
      <c r="O635" s="344"/>
      <c r="P635" s="344"/>
      <c r="Q635" s="344"/>
      <c r="R635" s="344"/>
      <c r="S635" s="344"/>
      <c r="T635" s="344"/>
      <c r="U635" s="344"/>
      <c r="V635" s="344"/>
      <c r="W635" s="344"/>
      <c r="X635" s="344"/>
      <c r="Y635" s="344"/>
      <c r="Z635" s="344"/>
      <c r="AA635" s="344"/>
      <c r="AB635" s="344"/>
      <c r="AC635" s="344"/>
      <c r="AD635" s="344"/>
    </row>
    <row r="636">
      <c r="A636" s="344"/>
      <c r="B636" s="548"/>
      <c r="C636" s="548"/>
      <c r="D636" s="344"/>
      <c r="E636" s="344"/>
      <c r="F636" s="549"/>
      <c r="G636" s="545"/>
      <c r="H636" s="545"/>
      <c r="I636" s="344"/>
      <c r="J636" s="344"/>
      <c r="K636" s="344"/>
      <c r="L636" s="344"/>
      <c r="M636" s="344"/>
      <c r="N636" s="344"/>
      <c r="O636" s="344"/>
      <c r="P636" s="344"/>
      <c r="Q636" s="344"/>
      <c r="R636" s="344"/>
      <c r="S636" s="344"/>
      <c r="T636" s="344"/>
      <c r="U636" s="344"/>
      <c r="V636" s="344"/>
      <c r="W636" s="344"/>
      <c r="X636" s="344"/>
      <c r="Y636" s="344"/>
      <c r="Z636" s="344"/>
      <c r="AA636" s="344"/>
      <c r="AB636" s="344"/>
      <c r="AC636" s="344"/>
      <c r="AD636" s="344"/>
    </row>
    <row r="637">
      <c r="A637" s="344"/>
      <c r="B637" s="548"/>
      <c r="C637" s="548"/>
      <c r="D637" s="344"/>
      <c r="E637" s="344"/>
      <c r="F637" s="549"/>
      <c r="G637" s="545"/>
      <c r="H637" s="545"/>
      <c r="I637" s="344"/>
      <c r="J637" s="344"/>
      <c r="K637" s="344"/>
      <c r="L637" s="344"/>
      <c r="M637" s="344"/>
      <c r="N637" s="344"/>
      <c r="O637" s="344"/>
      <c r="P637" s="344"/>
      <c r="Q637" s="344"/>
      <c r="R637" s="344"/>
      <c r="S637" s="344"/>
      <c r="T637" s="344"/>
      <c r="U637" s="344"/>
      <c r="V637" s="344"/>
      <c r="W637" s="344"/>
      <c r="X637" s="344"/>
      <c r="Y637" s="344"/>
      <c r="Z637" s="344"/>
      <c r="AA637" s="344"/>
      <c r="AB637" s="344"/>
      <c r="AC637" s="344"/>
      <c r="AD637" s="344"/>
    </row>
    <row r="638">
      <c r="A638" s="344"/>
      <c r="B638" s="548"/>
      <c r="C638" s="548"/>
      <c r="D638" s="344"/>
      <c r="E638" s="344"/>
      <c r="F638" s="549"/>
      <c r="G638" s="545"/>
      <c r="H638" s="545"/>
      <c r="I638" s="344"/>
      <c r="J638" s="344"/>
      <c r="K638" s="344"/>
      <c r="L638" s="344"/>
      <c r="M638" s="344"/>
      <c r="N638" s="344"/>
      <c r="O638" s="344"/>
      <c r="P638" s="344"/>
      <c r="Q638" s="344"/>
      <c r="R638" s="344"/>
      <c r="S638" s="344"/>
      <c r="T638" s="344"/>
      <c r="U638" s="344"/>
      <c r="V638" s="344"/>
      <c r="W638" s="344"/>
      <c r="X638" s="344"/>
      <c r="Y638" s="344"/>
      <c r="Z638" s="344"/>
      <c r="AA638" s="344"/>
      <c r="AB638" s="344"/>
      <c r="AC638" s="344"/>
      <c r="AD638" s="344"/>
    </row>
    <row r="639">
      <c r="A639" s="344"/>
      <c r="B639" s="548"/>
      <c r="C639" s="548"/>
      <c r="D639" s="344"/>
      <c r="E639" s="344"/>
      <c r="F639" s="549"/>
      <c r="G639" s="545"/>
      <c r="H639" s="545"/>
      <c r="I639" s="344"/>
      <c r="J639" s="344"/>
      <c r="K639" s="344"/>
      <c r="L639" s="344"/>
      <c r="M639" s="344"/>
      <c r="N639" s="344"/>
      <c r="O639" s="344"/>
      <c r="P639" s="344"/>
      <c r="Q639" s="344"/>
      <c r="R639" s="344"/>
      <c r="S639" s="344"/>
      <c r="T639" s="344"/>
      <c r="U639" s="344"/>
      <c r="V639" s="344"/>
      <c r="W639" s="344"/>
      <c r="X639" s="344"/>
      <c r="Y639" s="344"/>
      <c r="Z639" s="344"/>
      <c r="AA639" s="344"/>
      <c r="AB639" s="344"/>
      <c r="AC639" s="344"/>
      <c r="AD639" s="344"/>
    </row>
    <row r="640">
      <c r="A640" s="344"/>
      <c r="B640" s="548"/>
      <c r="C640" s="548"/>
      <c r="D640" s="344"/>
      <c r="E640" s="344"/>
      <c r="F640" s="549"/>
      <c r="G640" s="545"/>
      <c r="H640" s="545"/>
      <c r="I640" s="344"/>
      <c r="J640" s="344"/>
      <c r="K640" s="344"/>
      <c r="L640" s="344"/>
      <c r="M640" s="344"/>
      <c r="N640" s="344"/>
      <c r="O640" s="344"/>
      <c r="P640" s="344"/>
      <c r="Q640" s="344"/>
      <c r="R640" s="344"/>
      <c r="S640" s="344"/>
      <c r="T640" s="344"/>
      <c r="U640" s="344"/>
      <c r="V640" s="344"/>
      <c r="W640" s="344"/>
      <c r="X640" s="344"/>
      <c r="Y640" s="344"/>
      <c r="Z640" s="344"/>
      <c r="AA640" s="344"/>
      <c r="AB640" s="344"/>
      <c r="AC640" s="344"/>
      <c r="AD640" s="344"/>
    </row>
    <row r="641">
      <c r="A641" s="344"/>
      <c r="B641" s="548"/>
      <c r="C641" s="548"/>
      <c r="D641" s="344"/>
      <c r="E641" s="344"/>
      <c r="F641" s="549"/>
      <c r="G641" s="545"/>
      <c r="H641" s="545"/>
      <c r="I641" s="344"/>
      <c r="J641" s="344"/>
      <c r="K641" s="344"/>
      <c r="L641" s="344"/>
      <c r="M641" s="344"/>
      <c r="N641" s="344"/>
      <c r="O641" s="344"/>
      <c r="P641" s="344"/>
      <c r="Q641" s="344"/>
      <c r="R641" s="344"/>
      <c r="S641" s="344"/>
      <c r="T641" s="344"/>
      <c r="U641" s="344"/>
      <c r="V641" s="344"/>
      <c r="W641" s="344"/>
      <c r="X641" s="344"/>
      <c r="Y641" s="344"/>
      <c r="Z641" s="344"/>
      <c r="AA641" s="344"/>
      <c r="AB641" s="344"/>
      <c r="AC641" s="344"/>
      <c r="AD641" s="344"/>
    </row>
    <row r="642">
      <c r="A642" s="344"/>
      <c r="B642" s="548"/>
      <c r="C642" s="548"/>
      <c r="D642" s="344"/>
      <c r="E642" s="344"/>
      <c r="F642" s="549"/>
      <c r="G642" s="545"/>
      <c r="H642" s="545"/>
      <c r="I642" s="344"/>
      <c r="J642" s="344"/>
      <c r="K642" s="344"/>
      <c r="L642" s="344"/>
      <c r="M642" s="344"/>
      <c r="N642" s="344"/>
      <c r="O642" s="344"/>
      <c r="P642" s="344"/>
      <c r="Q642" s="344"/>
      <c r="R642" s="344"/>
      <c r="S642" s="344"/>
      <c r="T642" s="344"/>
      <c r="U642" s="344"/>
      <c r="V642" s="344"/>
      <c r="W642" s="344"/>
      <c r="X642" s="344"/>
      <c r="Y642" s="344"/>
      <c r="Z642" s="344"/>
      <c r="AA642" s="344"/>
      <c r="AB642" s="344"/>
      <c r="AC642" s="344"/>
      <c r="AD642" s="344"/>
    </row>
    <row r="643">
      <c r="A643" s="344"/>
      <c r="B643" s="548"/>
      <c r="C643" s="548"/>
      <c r="D643" s="344"/>
      <c r="E643" s="344"/>
      <c r="F643" s="549"/>
      <c r="G643" s="545"/>
      <c r="H643" s="545"/>
      <c r="I643" s="344"/>
      <c r="J643" s="344"/>
      <c r="K643" s="344"/>
      <c r="L643" s="344"/>
      <c r="M643" s="344"/>
      <c r="N643" s="344"/>
      <c r="O643" s="344"/>
      <c r="P643" s="344"/>
      <c r="Q643" s="344"/>
      <c r="R643" s="344"/>
      <c r="S643" s="344"/>
      <c r="T643" s="344"/>
      <c r="U643" s="344"/>
      <c r="V643" s="344"/>
      <c r="W643" s="344"/>
      <c r="X643" s="344"/>
      <c r="Y643" s="344"/>
      <c r="Z643" s="344"/>
      <c r="AA643" s="344"/>
      <c r="AB643" s="344"/>
      <c r="AC643" s="344"/>
      <c r="AD643" s="344"/>
    </row>
    <row r="644">
      <c r="A644" s="344"/>
      <c r="B644" s="548"/>
      <c r="C644" s="548"/>
      <c r="D644" s="344"/>
      <c r="E644" s="344"/>
      <c r="F644" s="549"/>
      <c r="G644" s="545"/>
      <c r="H644" s="545"/>
      <c r="I644" s="344"/>
      <c r="J644" s="344"/>
      <c r="K644" s="344"/>
      <c r="L644" s="344"/>
      <c r="M644" s="344"/>
      <c r="N644" s="344"/>
      <c r="O644" s="344"/>
      <c r="P644" s="344"/>
      <c r="Q644" s="344"/>
      <c r="R644" s="344"/>
      <c r="S644" s="344"/>
      <c r="T644" s="344"/>
      <c r="U644" s="344"/>
      <c r="V644" s="344"/>
      <c r="W644" s="344"/>
      <c r="X644" s="344"/>
      <c r="Y644" s="344"/>
      <c r="Z644" s="344"/>
      <c r="AA644" s="344"/>
      <c r="AB644" s="344"/>
      <c r="AC644" s="344"/>
      <c r="AD644" s="344"/>
    </row>
    <row r="645">
      <c r="A645" s="344"/>
      <c r="B645" s="548"/>
      <c r="C645" s="548"/>
      <c r="D645" s="344"/>
      <c r="E645" s="344"/>
      <c r="F645" s="549"/>
      <c r="G645" s="545"/>
      <c r="H645" s="545"/>
      <c r="I645" s="344"/>
      <c r="J645" s="344"/>
      <c r="K645" s="344"/>
      <c r="L645" s="344"/>
      <c r="M645" s="344"/>
      <c r="N645" s="344"/>
      <c r="O645" s="344"/>
      <c r="P645" s="344"/>
      <c r="Q645" s="344"/>
      <c r="R645" s="344"/>
      <c r="S645" s="344"/>
      <c r="T645" s="344"/>
      <c r="U645" s="344"/>
      <c r="V645" s="344"/>
      <c r="W645" s="344"/>
      <c r="X645" s="344"/>
      <c r="Y645" s="344"/>
      <c r="Z645" s="344"/>
      <c r="AA645" s="344"/>
      <c r="AB645" s="344"/>
      <c r="AC645" s="344"/>
      <c r="AD645" s="344"/>
    </row>
    <row r="646">
      <c r="A646" s="344"/>
      <c r="B646" s="548"/>
      <c r="C646" s="548"/>
      <c r="D646" s="344"/>
      <c r="E646" s="344"/>
      <c r="F646" s="549"/>
      <c r="G646" s="545"/>
      <c r="H646" s="545"/>
      <c r="I646" s="344"/>
      <c r="J646" s="344"/>
      <c r="K646" s="344"/>
      <c r="L646" s="344"/>
      <c r="M646" s="344"/>
      <c r="N646" s="344"/>
      <c r="O646" s="344"/>
      <c r="P646" s="344"/>
      <c r="Q646" s="344"/>
      <c r="R646" s="344"/>
      <c r="S646" s="344"/>
      <c r="T646" s="344"/>
      <c r="U646" s="344"/>
      <c r="V646" s="344"/>
      <c r="W646" s="344"/>
      <c r="X646" s="344"/>
      <c r="Y646" s="344"/>
      <c r="Z646" s="344"/>
      <c r="AA646" s="344"/>
      <c r="AB646" s="344"/>
      <c r="AC646" s="344"/>
      <c r="AD646" s="344"/>
    </row>
    <row r="647">
      <c r="A647" s="344"/>
      <c r="B647" s="548"/>
      <c r="C647" s="548"/>
      <c r="D647" s="344"/>
      <c r="E647" s="344"/>
      <c r="F647" s="549"/>
      <c r="G647" s="545"/>
      <c r="H647" s="545"/>
      <c r="I647" s="344"/>
      <c r="J647" s="344"/>
      <c r="K647" s="344"/>
      <c r="L647" s="344"/>
      <c r="M647" s="344"/>
      <c r="N647" s="344"/>
      <c r="O647" s="344"/>
      <c r="P647" s="344"/>
      <c r="Q647" s="344"/>
      <c r="R647" s="344"/>
      <c r="S647" s="344"/>
      <c r="T647" s="344"/>
      <c r="U647" s="344"/>
      <c r="V647" s="344"/>
      <c r="W647" s="344"/>
      <c r="X647" s="344"/>
      <c r="Y647" s="344"/>
      <c r="Z647" s="344"/>
      <c r="AA647" s="344"/>
      <c r="AB647" s="344"/>
      <c r="AC647" s="344"/>
      <c r="AD647" s="344"/>
    </row>
    <row r="648">
      <c r="A648" s="344"/>
      <c r="B648" s="548"/>
      <c r="C648" s="548"/>
      <c r="D648" s="344"/>
      <c r="E648" s="344"/>
      <c r="F648" s="549"/>
      <c r="G648" s="545"/>
      <c r="H648" s="545"/>
      <c r="I648" s="344"/>
      <c r="J648" s="344"/>
      <c r="K648" s="344"/>
      <c r="L648" s="344"/>
      <c r="M648" s="344"/>
      <c r="N648" s="344"/>
      <c r="O648" s="344"/>
      <c r="P648" s="344"/>
      <c r="Q648" s="344"/>
      <c r="R648" s="344"/>
      <c r="S648" s="344"/>
      <c r="T648" s="344"/>
      <c r="U648" s="344"/>
      <c r="V648" s="344"/>
      <c r="W648" s="344"/>
      <c r="X648" s="344"/>
      <c r="Y648" s="344"/>
      <c r="Z648" s="344"/>
      <c r="AA648" s="344"/>
      <c r="AB648" s="344"/>
      <c r="AC648" s="344"/>
      <c r="AD648" s="344"/>
    </row>
    <row r="649">
      <c r="A649" s="344"/>
      <c r="B649" s="548"/>
      <c r="C649" s="548"/>
      <c r="D649" s="344"/>
      <c r="E649" s="344"/>
      <c r="F649" s="549"/>
      <c r="G649" s="545"/>
      <c r="H649" s="545"/>
      <c r="I649" s="344"/>
      <c r="J649" s="344"/>
      <c r="K649" s="344"/>
      <c r="L649" s="344"/>
      <c r="M649" s="344"/>
      <c r="N649" s="344"/>
      <c r="O649" s="344"/>
      <c r="P649" s="344"/>
      <c r="Q649" s="344"/>
      <c r="R649" s="344"/>
      <c r="S649" s="344"/>
      <c r="T649" s="344"/>
      <c r="U649" s="344"/>
      <c r="V649" s="344"/>
      <c r="W649" s="344"/>
      <c r="X649" s="344"/>
      <c r="Y649" s="344"/>
      <c r="Z649" s="344"/>
      <c r="AA649" s="344"/>
      <c r="AB649" s="344"/>
      <c r="AC649" s="344"/>
      <c r="AD649" s="344"/>
    </row>
    <row r="650">
      <c r="A650" s="344"/>
      <c r="B650" s="548"/>
      <c r="C650" s="548"/>
      <c r="D650" s="344"/>
      <c r="E650" s="344"/>
      <c r="F650" s="549"/>
      <c r="G650" s="545"/>
      <c r="H650" s="545"/>
      <c r="I650" s="344"/>
      <c r="J650" s="344"/>
      <c r="K650" s="344"/>
      <c r="L650" s="344"/>
      <c r="M650" s="344"/>
      <c r="N650" s="344"/>
      <c r="O650" s="344"/>
      <c r="P650" s="344"/>
      <c r="Q650" s="344"/>
      <c r="R650" s="344"/>
      <c r="S650" s="344"/>
      <c r="T650" s="344"/>
      <c r="U650" s="344"/>
      <c r="V650" s="344"/>
      <c r="W650" s="344"/>
      <c r="X650" s="344"/>
      <c r="Y650" s="344"/>
      <c r="Z650" s="344"/>
      <c r="AA650" s="344"/>
      <c r="AB650" s="344"/>
      <c r="AC650" s="344"/>
      <c r="AD650" s="344"/>
    </row>
    <row r="651">
      <c r="A651" s="344"/>
      <c r="B651" s="548"/>
      <c r="C651" s="548"/>
      <c r="D651" s="344"/>
      <c r="E651" s="344"/>
      <c r="F651" s="549"/>
      <c r="G651" s="545"/>
      <c r="H651" s="545"/>
      <c r="I651" s="344"/>
      <c r="J651" s="344"/>
      <c r="K651" s="344"/>
      <c r="L651" s="344"/>
      <c r="M651" s="344"/>
      <c r="N651" s="344"/>
      <c r="O651" s="344"/>
      <c r="P651" s="344"/>
      <c r="Q651" s="344"/>
      <c r="R651" s="344"/>
      <c r="S651" s="344"/>
      <c r="T651" s="344"/>
      <c r="U651" s="344"/>
      <c r="V651" s="344"/>
      <c r="W651" s="344"/>
      <c r="X651" s="344"/>
      <c r="Y651" s="344"/>
      <c r="Z651" s="344"/>
      <c r="AA651" s="344"/>
      <c r="AB651" s="344"/>
      <c r="AC651" s="344"/>
      <c r="AD651" s="344"/>
    </row>
    <row r="652">
      <c r="A652" s="344"/>
      <c r="B652" s="548"/>
      <c r="C652" s="548"/>
      <c r="D652" s="344"/>
      <c r="E652" s="344"/>
      <c r="F652" s="549"/>
      <c r="G652" s="545"/>
      <c r="H652" s="545"/>
      <c r="I652" s="344"/>
      <c r="J652" s="344"/>
      <c r="K652" s="344"/>
      <c r="L652" s="344"/>
      <c r="M652" s="344"/>
      <c r="N652" s="344"/>
      <c r="O652" s="344"/>
      <c r="P652" s="344"/>
      <c r="Q652" s="344"/>
      <c r="R652" s="344"/>
      <c r="S652" s="344"/>
      <c r="T652" s="344"/>
      <c r="U652" s="344"/>
      <c r="V652" s="344"/>
      <c r="W652" s="344"/>
      <c r="X652" s="344"/>
      <c r="Y652" s="344"/>
      <c r="Z652" s="344"/>
      <c r="AA652" s="344"/>
      <c r="AB652" s="344"/>
      <c r="AC652" s="344"/>
      <c r="AD652" s="344"/>
    </row>
    <row r="653">
      <c r="A653" s="344"/>
      <c r="B653" s="548"/>
      <c r="C653" s="548"/>
      <c r="D653" s="344"/>
      <c r="E653" s="344"/>
      <c r="F653" s="549"/>
      <c r="G653" s="545"/>
      <c r="H653" s="545"/>
      <c r="I653" s="344"/>
      <c r="J653" s="344"/>
      <c r="K653" s="344"/>
      <c r="L653" s="344"/>
      <c r="M653" s="344"/>
      <c r="N653" s="344"/>
      <c r="O653" s="344"/>
      <c r="P653" s="344"/>
      <c r="Q653" s="344"/>
      <c r="R653" s="344"/>
      <c r="S653" s="344"/>
      <c r="T653" s="344"/>
      <c r="U653" s="344"/>
      <c r="V653" s="344"/>
      <c r="W653" s="344"/>
      <c r="X653" s="344"/>
      <c r="Y653" s="344"/>
      <c r="Z653" s="344"/>
      <c r="AA653" s="344"/>
      <c r="AB653" s="344"/>
      <c r="AC653" s="344"/>
      <c r="AD653" s="344"/>
    </row>
    <row r="654">
      <c r="A654" s="344"/>
      <c r="B654" s="548"/>
      <c r="C654" s="548"/>
      <c r="D654" s="344"/>
      <c r="E654" s="344"/>
      <c r="F654" s="549"/>
      <c r="G654" s="545"/>
      <c r="H654" s="545"/>
      <c r="I654" s="344"/>
      <c r="J654" s="344"/>
      <c r="K654" s="344"/>
      <c r="L654" s="344"/>
      <c r="M654" s="344"/>
      <c r="N654" s="344"/>
      <c r="O654" s="344"/>
      <c r="P654" s="344"/>
      <c r="Q654" s="344"/>
      <c r="R654" s="344"/>
      <c r="S654" s="344"/>
      <c r="T654" s="344"/>
      <c r="U654" s="344"/>
      <c r="V654" s="344"/>
      <c r="W654" s="344"/>
      <c r="X654" s="344"/>
      <c r="Y654" s="344"/>
      <c r="Z654" s="344"/>
      <c r="AA654" s="344"/>
      <c r="AB654" s="344"/>
      <c r="AC654" s="344"/>
      <c r="AD654" s="344"/>
    </row>
    <row r="655">
      <c r="A655" s="344"/>
      <c r="B655" s="548"/>
      <c r="C655" s="548"/>
      <c r="D655" s="344"/>
      <c r="E655" s="344"/>
      <c r="F655" s="549"/>
      <c r="G655" s="545"/>
      <c r="H655" s="545"/>
      <c r="I655" s="344"/>
      <c r="J655" s="344"/>
      <c r="K655" s="344"/>
      <c r="L655" s="344"/>
      <c r="M655" s="344"/>
      <c r="N655" s="344"/>
      <c r="O655" s="344"/>
      <c r="P655" s="344"/>
      <c r="Q655" s="344"/>
      <c r="R655" s="344"/>
      <c r="S655" s="344"/>
      <c r="T655" s="344"/>
      <c r="U655" s="344"/>
      <c r="V655" s="344"/>
      <c r="W655" s="344"/>
      <c r="X655" s="344"/>
      <c r="Y655" s="344"/>
      <c r="Z655" s="344"/>
      <c r="AA655" s="344"/>
      <c r="AB655" s="344"/>
      <c r="AC655" s="344"/>
      <c r="AD655" s="344"/>
    </row>
    <row r="656">
      <c r="A656" s="344"/>
      <c r="B656" s="548"/>
      <c r="C656" s="548"/>
      <c r="D656" s="344"/>
      <c r="E656" s="344"/>
      <c r="F656" s="549"/>
      <c r="G656" s="545"/>
      <c r="H656" s="545"/>
      <c r="I656" s="344"/>
      <c r="J656" s="344"/>
      <c r="K656" s="344"/>
      <c r="L656" s="344"/>
      <c r="M656" s="344"/>
      <c r="N656" s="344"/>
      <c r="O656" s="344"/>
      <c r="P656" s="344"/>
      <c r="Q656" s="344"/>
      <c r="R656" s="344"/>
      <c r="S656" s="344"/>
      <c r="T656" s="344"/>
      <c r="U656" s="344"/>
      <c r="V656" s="344"/>
      <c r="W656" s="344"/>
      <c r="X656" s="344"/>
      <c r="Y656" s="344"/>
      <c r="Z656" s="344"/>
      <c r="AA656" s="344"/>
      <c r="AB656" s="344"/>
      <c r="AC656" s="344"/>
      <c r="AD656" s="344"/>
    </row>
    <row r="657">
      <c r="A657" s="344"/>
      <c r="B657" s="548"/>
      <c r="C657" s="548"/>
      <c r="D657" s="344"/>
      <c r="E657" s="344"/>
      <c r="F657" s="549"/>
      <c r="G657" s="545"/>
      <c r="H657" s="545"/>
      <c r="I657" s="344"/>
      <c r="J657" s="344"/>
      <c r="K657" s="344"/>
      <c r="L657" s="344"/>
      <c r="M657" s="344"/>
      <c r="N657" s="344"/>
      <c r="O657" s="344"/>
      <c r="P657" s="344"/>
      <c r="Q657" s="344"/>
      <c r="R657" s="344"/>
      <c r="S657" s="344"/>
      <c r="T657" s="344"/>
      <c r="U657" s="344"/>
      <c r="V657" s="344"/>
      <c r="W657" s="344"/>
      <c r="X657" s="344"/>
      <c r="Y657" s="344"/>
      <c r="Z657" s="344"/>
      <c r="AA657" s="344"/>
      <c r="AB657" s="344"/>
      <c r="AC657" s="344"/>
      <c r="AD657" s="344"/>
    </row>
    <row r="658">
      <c r="A658" s="344"/>
      <c r="B658" s="548"/>
      <c r="C658" s="548"/>
      <c r="D658" s="344"/>
      <c r="E658" s="344"/>
      <c r="F658" s="549"/>
      <c r="G658" s="545"/>
      <c r="H658" s="545"/>
      <c r="I658" s="344"/>
      <c r="J658" s="344"/>
      <c r="K658" s="344"/>
      <c r="L658" s="344"/>
      <c r="M658" s="344"/>
      <c r="N658" s="344"/>
      <c r="O658" s="344"/>
      <c r="P658" s="344"/>
      <c r="Q658" s="344"/>
      <c r="R658" s="344"/>
      <c r="S658" s="344"/>
      <c r="T658" s="344"/>
      <c r="U658" s="344"/>
      <c r="V658" s="344"/>
      <c r="W658" s="344"/>
      <c r="X658" s="344"/>
      <c r="Y658" s="344"/>
      <c r="Z658" s="344"/>
      <c r="AA658" s="344"/>
      <c r="AB658" s="344"/>
      <c r="AC658" s="344"/>
      <c r="AD658" s="344"/>
    </row>
    <row r="659">
      <c r="A659" s="344"/>
      <c r="B659" s="548"/>
      <c r="C659" s="548"/>
      <c r="D659" s="344"/>
      <c r="E659" s="344"/>
      <c r="F659" s="549"/>
      <c r="G659" s="545"/>
      <c r="H659" s="545"/>
      <c r="I659" s="344"/>
      <c r="J659" s="344"/>
      <c r="K659" s="344"/>
      <c r="L659" s="344"/>
      <c r="M659" s="344"/>
      <c r="N659" s="344"/>
      <c r="O659" s="344"/>
      <c r="P659" s="344"/>
      <c r="Q659" s="344"/>
      <c r="R659" s="344"/>
      <c r="S659" s="344"/>
      <c r="T659" s="344"/>
      <c r="U659" s="344"/>
      <c r="V659" s="344"/>
      <c r="W659" s="344"/>
      <c r="X659" s="344"/>
      <c r="Y659" s="344"/>
      <c r="Z659" s="344"/>
      <c r="AA659" s="344"/>
      <c r="AB659" s="344"/>
      <c r="AC659" s="344"/>
      <c r="AD659" s="344"/>
    </row>
    <row r="660">
      <c r="A660" s="344"/>
      <c r="B660" s="548"/>
      <c r="C660" s="548"/>
      <c r="D660" s="344"/>
      <c r="E660" s="344"/>
      <c r="F660" s="549"/>
      <c r="G660" s="545"/>
      <c r="H660" s="545"/>
      <c r="I660" s="344"/>
      <c r="J660" s="344"/>
      <c r="K660" s="344"/>
      <c r="L660" s="344"/>
      <c r="M660" s="344"/>
      <c r="N660" s="344"/>
      <c r="O660" s="344"/>
      <c r="P660" s="344"/>
      <c r="Q660" s="344"/>
      <c r="R660" s="344"/>
      <c r="S660" s="344"/>
      <c r="T660" s="344"/>
      <c r="U660" s="344"/>
      <c r="V660" s="344"/>
      <c r="W660" s="344"/>
      <c r="X660" s="344"/>
      <c r="Y660" s="344"/>
      <c r="Z660" s="344"/>
      <c r="AA660" s="344"/>
      <c r="AB660" s="344"/>
      <c r="AC660" s="344"/>
      <c r="AD660" s="344"/>
    </row>
    <row r="661">
      <c r="A661" s="344"/>
      <c r="B661" s="548"/>
      <c r="C661" s="548"/>
      <c r="D661" s="344"/>
      <c r="E661" s="344"/>
      <c r="F661" s="549"/>
      <c r="G661" s="545"/>
      <c r="H661" s="545"/>
      <c r="I661" s="344"/>
      <c r="J661" s="344"/>
      <c r="K661" s="344"/>
      <c r="L661" s="344"/>
      <c r="M661" s="344"/>
      <c r="N661" s="344"/>
      <c r="O661" s="344"/>
      <c r="P661" s="344"/>
      <c r="Q661" s="344"/>
      <c r="R661" s="344"/>
      <c r="S661" s="344"/>
      <c r="T661" s="344"/>
      <c r="U661" s="344"/>
      <c r="V661" s="344"/>
      <c r="W661" s="344"/>
      <c r="X661" s="344"/>
      <c r="Y661" s="344"/>
      <c r="Z661" s="344"/>
      <c r="AA661" s="344"/>
      <c r="AB661" s="344"/>
      <c r="AC661" s="344"/>
      <c r="AD661" s="344"/>
    </row>
    <row r="662">
      <c r="A662" s="344"/>
      <c r="B662" s="548"/>
      <c r="C662" s="548"/>
      <c r="D662" s="344"/>
      <c r="E662" s="344"/>
      <c r="F662" s="549"/>
      <c r="G662" s="545"/>
      <c r="H662" s="545"/>
      <c r="I662" s="344"/>
      <c r="J662" s="344"/>
      <c r="K662" s="344"/>
      <c r="L662" s="344"/>
      <c r="M662" s="344"/>
      <c r="N662" s="344"/>
      <c r="O662" s="344"/>
      <c r="P662" s="344"/>
      <c r="Q662" s="344"/>
      <c r="R662" s="344"/>
      <c r="S662" s="344"/>
      <c r="T662" s="344"/>
      <c r="U662" s="344"/>
      <c r="V662" s="344"/>
      <c r="W662" s="344"/>
      <c r="X662" s="344"/>
      <c r="Y662" s="344"/>
      <c r="Z662" s="344"/>
      <c r="AA662" s="344"/>
      <c r="AB662" s="344"/>
      <c r="AC662" s="344"/>
      <c r="AD662" s="344"/>
    </row>
    <row r="663">
      <c r="A663" s="344"/>
      <c r="B663" s="548"/>
      <c r="C663" s="548"/>
      <c r="D663" s="344"/>
      <c r="E663" s="344"/>
      <c r="F663" s="549"/>
      <c r="G663" s="545"/>
      <c r="H663" s="545"/>
      <c r="I663" s="344"/>
      <c r="J663" s="344"/>
      <c r="K663" s="344"/>
      <c r="L663" s="344"/>
      <c r="M663" s="344"/>
      <c r="N663" s="344"/>
      <c r="O663" s="344"/>
      <c r="P663" s="344"/>
      <c r="Q663" s="344"/>
      <c r="R663" s="344"/>
      <c r="S663" s="344"/>
      <c r="T663" s="344"/>
      <c r="U663" s="344"/>
      <c r="V663" s="344"/>
      <c r="W663" s="344"/>
      <c r="X663" s="344"/>
      <c r="Y663" s="344"/>
      <c r="Z663" s="344"/>
      <c r="AA663" s="344"/>
      <c r="AB663" s="344"/>
      <c r="AC663" s="344"/>
      <c r="AD663" s="344"/>
    </row>
    <row r="664">
      <c r="A664" s="344"/>
      <c r="B664" s="548"/>
      <c r="C664" s="548"/>
      <c r="D664" s="344"/>
      <c r="E664" s="344"/>
      <c r="F664" s="549"/>
      <c r="G664" s="545"/>
      <c r="H664" s="545"/>
      <c r="I664" s="344"/>
      <c r="J664" s="344"/>
      <c r="K664" s="344"/>
      <c r="L664" s="344"/>
      <c r="M664" s="344"/>
      <c r="N664" s="344"/>
      <c r="O664" s="344"/>
      <c r="P664" s="344"/>
      <c r="Q664" s="344"/>
      <c r="R664" s="344"/>
      <c r="S664" s="344"/>
      <c r="T664" s="344"/>
      <c r="U664" s="344"/>
      <c r="V664" s="344"/>
      <c r="W664" s="344"/>
      <c r="X664" s="344"/>
      <c r="Y664" s="344"/>
      <c r="Z664" s="344"/>
      <c r="AA664" s="344"/>
      <c r="AB664" s="344"/>
      <c r="AC664" s="344"/>
      <c r="AD664" s="344"/>
    </row>
    <row r="665">
      <c r="A665" s="344"/>
      <c r="B665" s="548"/>
      <c r="C665" s="548"/>
      <c r="D665" s="344"/>
      <c r="E665" s="344"/>
      <c r="F665" s="549"/>
      <c r="G665" s="545"/>
      <c r="H665" s="545"/>
      <c r="I665" s="344"/>
      <c r="J665" s="344"/>
      <c r="K665" s="344"/>
      <c r="L665" s="344"/>
      <c r="M665" s="344"/>
      <c r="N665" s="344"/>
      <c r="O665" s="344"/>
      <c r="P665" s="344"/>
      <c r="Q665" s="344"/>
      <c r="R665" s="344"/>
      <c r="S665" s="344"/>
      <c r="T665" s="344"/>
      <c r="U665" s="344"/>
      <c r="V665" s="344"/>
      <c r="W665" s="344"/>
      <c r="X665" s="344"/>
      <c r="Y665" s="344"/>
      <c r="Z665" s="344"/>
      <c r="AA665" s="344"/>
      <c r="AB665" s="344"/>
      <c r="AC665" s="344"/>
      <c r="AD665" s="344"/>
    </row>
    <row r="666">
      <c r="A666" s="344"/>
      <c r="B666" s="548"/>
      <c r="C666" s="548"/>
      <c r="D666" s="344"/>
      <c r="E666" s="344"/>
      <c r="F666" s="549"/>
      <c r="G666" s="545"/>
      <c r="H666" s="545"/>
      <c r="I666" s="344"/>
      <c r="J666" s="344"/>
      <c r="K666" s="344"/>
      <c r="L666" s="344"/>
      <c r="M666" s="344"/>
      <c r="N666" s="344"/>
      <c r="O666" s="344"/>
      <c r="P666" s="344"/>
      <c r="Q666" s="344"/>
      <c r="R666" s="344"/>
      <c r="S666" s="344"/>
      <c r="T666" s="344"/>
      <c r="U666" s="344"/>
      <c r="V666" s="344"/>
      <c r="W666" s="344"/>
      <c r="X666" s="344"/>
      <c r="Y666" s="344"/>
      <c r="Z666" s="344"/>
      <c r="AA666" s="344"/>
      <c r="AB666" s="344"/>
      <c r="AC666" s="344"/>
      <c r="AD666" s="344"/>
    </row>
    <row r="667">
      <c r="A667" s="344"/>
      <c r="B667" s="548"/>
      <c r="C667" s="548"/>
      <c r="D667" s="344"/>
      <c r="E667" s="344"/>
      <c r="F667" s="549"/>
      <c r="G667" s="545"/>
      <c r="H667" s="545"/>
      <c r="I667" s="344"/>
      <c r="J667" s="344"/>
      <c r="K667" s="344"/>
      <c r="L667" s="344"/>
      <c r="M667" s="344"/>
      <c r="N667" s="344"/>
      <c r="O667" s="344"/>
      <c r="P667" s="344"/>
      <c r="Q667" s="344"/>
      <c r="R667" s="344"/>
      <c r="S667" s="344"/>
      <c r="T667" s="344"/>
      <c r="U667" s="344"/>
      <c r="V667" s="344"/>
      <c r="W667" s="344"/>
      <c r="X667" s="344"/>
      <c r="Y667" s="344"/>
      <c r="Z667" s="344"/>
      <c r="AA667" s="344"/>
      <c r="AB667" s="344"/>
      <c r="AC667" s="344"/>
      <c r="AD667" s="344"/>
    </row>
    <row r="668">
      <c r="A668" s="344"/>
      <c r="B668" s="548"/>
      <c r="C668" s="548"/>
      <c r="D668" s="344"/>
      <c r="E668" s="344"/>
      <c r="F668" s="549"/>
      <c r="G668" s="545"/>
      <c r="H668" s="545"/>
      <c r="I668" s="344"/>
      <c r="J668" s="344"/>
      <c r="K668" s="344"/>
      <c r="L668" s="344"/>
      <c r="M668" s="344"/>
      <c r="N668" s="344"/>
      <c r="O668" s="344"/>
      <c r="P668" s="344"/>
      <c r="Q668" s="344"/>
      <c r="R668" s="344"/>
      <c r="S668" s="344"/>
      <c r="T668" s="344"/>
      <c r="U668" s="344"/>
      <c r="V668" s="344"/>
      <c r="W668" s="344"/>
      <c r="X668" s="344"/>
      <c r="Y668" s="344"/>
      <c r="Z668" s="344"/>
      <c r="AA668" s="344"/>
      <c r="AB668" s="344"/>
      <c r="AC668" s="344"/>
      <c r="AD668" s="344"/>
    </row>
    <row r="669">
      <c r="A669" s="344"/>
      <c r="B669" s="548"/>
      <c r="C669" s="548"/>
      <c r="D669" s="344"/>
      <c r="E669" s="344"/>
      <c r="F669" s="549"/>
      <c r="G669" s="545"/>
      <c r="H669" s="545"/>
      <c r="I669" s="344"/>
      <c r="J669" s="344"/>
      <c r="K669" s="344"/>
      <c r="L669" s="344"/>
      <c r="M669" s="344"/>
      <c r="N669" s="344"/>
      <c r="O669" s="344"/>
      <c r="P669" s="344"/>
      <c r="Q669" s="344"/>
      <c r="R669" s="344"/>
      <c r="S669" s="344"/>
      <c r="T669" s="344"/>
      <c r="U669" s="344"/>
      <c r="V669" s="344"/>
      <c r="W669" s="344"/>
      <c r="X669" s="344"/>
      <c r="Y669" s="344"/>
      <c r="Z669" s="344"/>
      <c r="AA669" s="344"/>
      <c r="AB669" s="344"/>
      <c r="AC669" s="344"/>
      <c r="AD669" s="344"/>
    </row>
    <row r="670">
      <c r="A670" s="344"/>
      <c r="B670" s="548"/>
      <c r="C670" s="548"/>
      <c r="D670" s="344"/>
      <c r="E670" s="344"/>
      <c r="F670" s="549"/>
      <c r="G670" s="545"/>
      <c r="H670" s="545"/>
      <c r="I670" s="344"/>
      <c r="J670" s="344"/>
      <c r="K670" s="344"/>
      <c r="L670" s="344"/>
      <c r="M670" s="344"/>
      <c r="N670" s="344"/>
      <c r="O670" s="344"/>
      <c r="P670" s="344"/>
      <c r="Q670" s="344"/>
      <c r="R670" s="344"/>
      <c r="S670" s="344"/>
      <c r="T670" s="344"/>
      <c r="U670" s="344"/>
      <c r="V670" s="344"/>
      <c r="W670" s="344"/>
      <c r="X670" s="344"/>
      <c r="Y670" s="344"/>
      <c r="Z670" s="344"/>
      <c r="AA670" s="344"/>
      <c r="AB670" s="344"/>
      <c r="AC670" s="344"/>
      <c r="AD670" s="344"/>
    </row>
    <row r="671">
      <c r="A671" s="344"/>
      <c r="B671" s="548"/>
      <c r="C671" s="548"/>
      <c r="D671" s="344"/>
      <c r="E671" s="344"/>
      <c r="F671" s="549"/>
      <c r="G671" s="545"/>
      <c r="H671" s="545"/>
      <c r="I671" s="344"/>
      <c r="J671" s="344"/>
      <c r="K671" s="344"/>
      <c r="L671" s="344"/>
      <c r="M671" s="344"/>
      <c r="N671" s="344"/>
      <c r="O671" s="344"/>
      <c r="P671" s="344"/>
      <c r="Q671" s="344"/>
      <c r="R671" s="344"/>
      <c r="S671" s="344"/>
      <c r="T671" s="344"/>
      <c r="U671" s="344"/>
      <c r="V671" s="344"/>
      <c r="W671" s="344"/>
      <c r="X671" s="344"/>
      <c r="Y671" s="344"/>
      <c r="Z671" s="344"/>
      <c r="AA671" s="344"/>
      <c r="AB671" s="344"/>
      <c r="AC671" s="344"/>
      <c r="AD671" s="344"/>
    </row>
    <row r="672">
      <c r="A672" s="344"/>
      <c r="B672" s="548"/>
      <c r="C672" s="548"/>
      <c r="D672" s="344"/>
      <c r="E672" s="344"/>
      <c r="F672" s="549"/>
      <c r="G672" s="545"/>
      <c r="H672" s="545"/>
      <c r="I672" s="344"/>
      <c r="J672" s="344"/>
      <c r="K672" s="344"/>
      <c r="L672" s="344"/>
      <c r="M672" s="344"/>
      <c r="N672" s="344"/>
      <c r="O672" s="344"/>
      <c r="P672" s="344"/>
      <c r="Q672" s="344"/>
      <c r="R672" s="344"/>
      <c r="S672" s="344"/>
      <c r="T672" s="344"/>
      <c r="U672" s="344"/>
      <c r="V672" s="344"/>
      <c r="W672" s="344"/>
      <c r="X672" s="344"/>
      <c r="Y672" s="344"/>
      <c r="Z672" s="344"/>
      <c r="AA672" s="344"/>
      <c r="AB672" s="344"/>
      <c r="AC672" s="344"/>
      <c r="AD672" s="344"/>
    </row>
    <row r="673">
      <c r="A673" s="344"/>
      <c r="B673" s="548"/>
      <c r="C673" s="548"/>
      <c r="D673" s="344"/>
      <c r="E673" s="344"/>
      <c r="F673" s="549"/>
      <c r="G673" s="545"/>
      <c r="H673" s="545"/>
      <c r="I673" s="344"/>
      <c r="J673" s="344"/>
      <c r="K673" s="344"/>
      <c r="L673" s="344"/>
      <c r="M673" s="344"/>
      <c r="N673" s="344"/>
      <c r="O673" s="344"/>
      <c r="P673" s="344"/>
      <c r="Q673" s="344"/>
      <c r="R673" s="344"/>
      <c r="S673" s="344"/>
      <c r="T673" s="344"/>
      <c r="U673" s="344"/>
      <c r="V673" s="344"/>
      <c r="W673" s="344"/>
      <c r="X673" s="344"/>
      <c r="Y673" s="344"/>
      <c r="Z673" s="344"/>
      <c r="AA673" s="344"/>
      <c r="AB673" s="344"/>
      <c r="AC673" s="344"/>
      <c r="AD673" s="344"/>
    </row>
    <row r="674">
      <c r="A674" s="344"/>
      <c r="B674" s="548"/>
      <c r="C674" s="548"/>
      <c r="D674" s="344"/>
      <c r="E674" s="344"/>
      <c r="F674" s="549"/>
      <c r="G674" s="545"/>
      <c r="H674" s="545"/>
      <c r="I674" s="344"/>
      <c r="J674" s="344"/>
      <c r="K674" s="344"/>
      <c r="L674" s="344"/>
      <c r="M674" s="344"/>
      <c r="N674" s="344"/>
      <c r="O674" s="344"/>
      <c r="P674" s="344"/>
      <c r="Q674" s="344"/>
      <c r="R674" s="344"/>
      <c r="S674" s="344"/>
      <c r="T674" s="344"/>
      <c r="U674" s="344"/>
      <c r="V674" s="344"/>
      <c r="W674" s="344"/>
      <c r="X674" s="344"/>
      <c r="Y674" s="344"/>
      <c r="Z674" s="344"/>
      <c r="AA674" s="344"/>
      <c r="AB674" s="344"/>
      <c r="AC674" s="344"/>
      <c r="AD674" s="344"/>
    </row>
    <row r="675">
      <c r="A675" s="344"/>
      <c r="B675" s="548"/>
      <c r="C675" s="548"/>
      <c r="D675" s="344"/>
      <c r="E675" s="344"/>
      <c r="F675" s="549"/>
      <c r="G675" s="545"/>
      <c r="H675" s="545"/>
      <c r="I675" s="344"/>
      <c r="J675" s="344"/>
      <c r="K675" s="344"/>
      <c r="L675" s="344"/>
      <c r="M675" s="344"/>
      <c r="N675" s="344"/>
      <c r="O675" s="344"/>
      <c r="P675" s="344"/>
      <c r="Q675" s="344"/>
      <c r="R675" s="344"/>
      <c r="S675" s="344"/>
      <c r="T675" s="344"/>
      <c r="U675" s="344"/>
      <c r="V675" s="344"/>
      <c r="W675" s="344"/>
      <c r="X675" s="344"/>
      <c r="Y675" s="344"/>
      <c r="Z675" s="344"/>
      <c r="AA675" s="344"/>
      <c r="AB675" s="344"/>
      <c r="AC675" s="344"/>
      <c r="AD675" s="344"/>
    </row>
    <row r="676">
      <c r="A676" s="344"/>
      <c r="B676" s="548"/>
      <c r="C676" s="548"/>
      <c r="D676" s="344"/>
      <c r="E676" s="344"/>
      <c r="F676" s="549"/>
      <c r="G676" s="545"/>
      <c r="H676" s="545"/>
      <c r="I676" s="344"/>
      <c r="J676" s="344"/>
      <c r="K676" s="344"/>
      <c r="L676" s="344"/>
      <c r="M676" s="344"/>
      <c r="N676" s="344"/>
      <c r="O676" s="344"/>
      <c r="P676" s="344"/>
      <c r="Q676" s="344"/>
      <c r="R676" s="344"/>
      <c r="S676" s="344"/>
      <c r="T676" s="344"/>
      <c r="U676" s="344"/>
      <c r="V676" s="344"/>
      <c r="W676" s="344"/>
      <c r="X676" s="344"/>
      <c r="Y676" s="344"/>
      <c r="Z676" s="344"/>
      <c r="AA676" s="344"/>
      <c r="AB676" s="344"/>
      <c r="AC676" s="344"/>
      <c r="AD676" s="344"/>
    </row>
    <row r="677">
      <c r="A677" s="344"/>
      <c r="B677" s="548"/>
      <c r="C677" s="548"/>
      <c r="D677" s="344"/>
      <c r="E677" s="344"/>
      <c r="F677" s="549"/>
      <c r="G677" s="545"/>
      <c r="H677" s="545"/>
      <c r="I677" s="344"/>
      <c r="J677" s="344"/>
      <c r="K677" s="344"/>
      <c r="L677" s="344"/>
      <c r="M677" s="344"/>
      <c r="N677" s="344"/>
      <c r="O677" s="344"/>
      <c r="P677" s="344"/>
      <c r="Q677" s="344"/>
      <c r="R677" s="344"/>
      <c r="S677" s="344"/>
      <c r="T677" s="344"/>
      <c r="U677" s="344"/>
      <c r="V677" s="344"/>
      <c r="W677" s="344"/>
      <c r="X677" s="344"/>
      <c r="Y677" s="344"/>
      <c r="Z677" s="344"/>
      <c r="AA677" s="344"/>
      <c r="AB677" s="344"/>
      <c r="AC677" s="344"/>
      <c r="AD677" s="344"/>
    </row>
    <row r="678">
      <c r="A678" s="344"/>
      <c r="B678" s="548"/>
      <c r="C678" s="548"/>
      <c r="D678" s="344"/>
      <c r="E678" s="344"/>
      <c r="F678" s="549"/>
      <c r="G678" s="545"/>
      <c r="H678" s="545"/>
      <c r="I678" s="344"/>
      <c r="J678" s="344"/>
      <c r="K678" s="344"/>
      <c r="L678" s="344"/>
      <c r="M678" s="344"/>
      <c r="N678" s="344"/>
      <c r="O678" s="344"/>
      <c r="P678" s="344"/>
      <c r="Q678" s="344"/>
      <c r="R678" s="344"/>
      <c r="S678" s="344"/>
      <c r="T678" s="344"/>
      <c r="U678" s="344"/>
      <c r="V678" s="344"/>
      <c r="W678" s="344"/>
      <c r="X678" s="344"/>
      <c r="Y678" s="344"/>
      <c r="Z678" s="344"/>
      <c r="AA678" s="344"/>
      <c r="AB678" s="344"/>
      <c r="AC678" s="344"/>
      <c r="AD678" s="344"/>
    </row>
    <row r="679">
      <c r="A679" s="344"/>
      <c r="B679" s="548"/>
      <c r="C679" s="548"/>
      <c r="D679" s="344"/>
      <c r="E679" s="344"/>
      <c r="F679" s="549"/>
      <c r="G679" s="545"/>
      <c r="H679" s="545"/>
      <c r="I679" s="344"/>
      <c r="J679" s="344"/>
      <c r="K679" s="344"/>
      <c r="L679" s="344"/>
      <c r="M679" s="344"/>
      <c r="N679" s="344"/>
      <c r="O679" s="344"/>
      <c r="P679" s="344"/>
      <c r="Q679" s="344"/>
      <c r="R679" s="344"/>
      <c r="S679" s="344"/>
      <c r="T679" s="344"/>
      <c r="U679" s="344"/>
      <c r="V679" s="344"/>
      <c r="W679" s="344"/>
      <c r="X679" s="344"/>
      <c r="Y679" s="344"/>
      <c r="Z679" s="344"/>
      <c r="AA679" s="344"/>
      <c r="AB679" s="344"/>
      <c r="AC679" s="344"/>
      <c r="AD679" s="344"/>
    </row>
    <row r="680">
      <c r="A680" s="344"/>
      <c r="B680" s="548"/>
      <c r="C680" s="548"/>
      <c r="D680" s="344"/>
      <c r="E680" s="344"/>
      <c r="F680" s="549"/>
      <c r="G680" s="545"/>
      <c r="H680" s="545"/>
      <c r="I680" s="344"/>
      <c r="J680" s="344"/>
      <c r="K680" s="344"/>
      <c r="L680" s="344"/>
      <c r="M680" s="344"/>
      <c r="N680" s="344"/>
      <c r="O680" s="344"/>
      <c r="P680" s="344"/>
      <c r="Q680" s="344"/>
      <c r="R680" s="344"/>
      <c r="S680" s="344"/>
      <c r="T680" s="344"/>
      <c r="U680" s="344"/>
      <c r="V680" s="344"/>
      <c r="W680" s="344"/>
      <c r="X680" s="344"/>
      <c r="Y680" s="344"/>
      <c r="Z680" s="344"/>
      <c r="AA680" s="344"/>
      <c r="AB680" s="344"/>
      <c r="AC680" s="344"/>
      <c r="AD680" s="344"/>
    </row>
    <row r="681">
      <c r="A681" s="344"/>
      <c r="B681" s="548"/>
      <c r="C681" s="548"/>
      <c r="D681" s="344"/>
      <c r="E681" s="344"/>
      <c r="F681" s="549"/>
      <c r="G681" s="545"/>
      <c r="H681" s="545"/>
      <c r="I681" s="344"/>
      <c r="J681" s="344"/>
      <c r="K681" s="344"/>
      <c r="L681" s="344"/>
      <c r="M681" s="344"/>
      <c r="N681" s="344"/>
      <c r="O681" s="344"/>
      <c r="P681" s="344"/>
      <c r="Q681" s="344"/>
      <c r="R681" s="344"/>
      <c r="S681" s="344"/>
      <c r="T681" s="344"/>
      <c r="U681" s="344"/>
      <c r="V681" s="344"/>
      <c r="W681" s="344"/>
      <c r="X681" s="344"/>
      <c r="Y681" s="344"/>
      <c r="Z681" s="344"/>
      <c r="AA681" s="344"/>
      <c r="AB681" s="344"/>
      <c r="AC681" s="344"/>
      <c r="AD681" s="344"/>
    </row>
    <row r="682">
      <c r="A682" s="344"/>
      <c r="B682" s="548"/>
      <c r="C682" s="548"/>
      <c r="D682" s="344"/>
      <c r="E682" s="344"/>
      <c r="F682" s="549"/>
      <c r="G682" s="545"/>
      <c r="H682" s="545"/>
      <c r="I682" s="344"/>
      <c r="J682" s="344"/>
      <c r="K682" s="344"/>
      <c r="L682" s="344"/>
      <c r="M682" s="344"/>
      <c r="N682" s="344"/>
      <c r="O682" s="344"/>
      <c r="P682" s="344"/>
      <c r="Q682" s="344"/>
      <c r="R682" s="344"/>
      <c r="S682" s="344"/>
      <c r="T682" s="344"/>
      <c r="U682" s="344"/>
      <c r="V682" s="344"/>
      <c r="W682" s="344"/>
      <c r="X682" s="344"/>
      <c r="Y682" s="344"/>
      <c r="Z682" s="344"/>
      <c r="AA682" s="344"/>
      <c r="AB682" s="344"/>
      <c r="AC682" s="344"/>
      <c r="AD682" s="344"/>
    </row>
    <row r="683">
      <c r="A683" s="344"/>
      <c r="B683" s="548"/>
      <c r="C683" s="548"/>
      <c r="D683" s="344"/>
      <c r="E683" s="344"/>
      <c r="F683" s="549"/>
      <c r="G683" s="545"/>
      <c r="H683" s="545"/>
      <c r="I683" s="344"/>
      <c r="J683" s="344"/>
      <c r="K683" s="344"/>
      <c r="L683" s="344"/>
      <c r="M683" s="344"/>
      <c r="N683" s="344"/>
      <c r="O683" s="344"/>
      <c r="P683" s="344"/>
      <c r="Q683" s="344"/>
      <c r="R683" s="344"/>
      <c r="S683" s="344"/>
      <c r="T683" s="344"/>
      <c r="U683" s="344"/>
      <c r="V683" s="344"/>
      <c r="W683" s="344"/>
      <c r="X683" s="344"/>
      <c r="Y683" s="344"/>
      <c r="Z683" s="344"/>
      <c r="AA683" s="344"/>
      <c r="AB683" s="344"/>
      <c r="AC683" s="344"/>
      <c r="AD683" s="344"/>
    </row>
    <row r="684">
      <c r="A684" s="344"/>
      <c r="B684" s="548"/>
      <c r="C684" s="548"/>
      <c r="D684" s="344"/>
      <c r="E684" s="344"/>
      <c r="F684" s="549"/>
      <c r="G684" s="545"/>
      <c r="H684" s="545"/>
      <c r="I684" s="344"/>
      <c r="J684" s="344"/>
      <c r="K684" s="344"/>
      <c r="L684" s="344"/>
      <c r="M684" s="344"/>
      <c r="N684" s="344"/>
      <c r="O684" s="344"/>
      <c r="P684" s="344"/>
      <c r="Q684" s="344"/>
      <c r="R684" s="344"/>
      <c r="S684" s="344"/>
      <c r="T684" s="344"/>
      <c r="U684" s="344"/>
      <c r="V684" s="344"/>
      <c r="W684" s="344"/>
      <c r="X684" s="344"/>
      <c r="Y684" s="344"/>
      <c r="Z684" s="344"/>
      <c r="AA684" s="344"/>
      <c r="AB684" s="344"/>
      <c r="AC684" s="344"/>
      <c r="AD684" s="344"/>
    </row>
    <row r="685">
      <c r="A685" s="344"/>
      <c r="B685" s="548"/>
      <c r="C685" s="548"/>
      <c r="D685" s="344"/>
      <c r="E685" s="344"/>
      <c r="F685" s="549"/>
      <c r="G685" s="545"/>
      <c r="H685" s="545"/>
      <c r="I685" s="344"/>
      <c r="J685" s="344"/>
      <c r="K685" s="344"/>
      <c r="L685" s="344"/>
      <c r="M685" s="344"/>
      <c r="N685" s="344"/>
      <c r="O685" s="344"/>
      <c r="P685" s="344"/>
      <c r="Q685" s="344"/>
      <c r="R685" s="344"/>
      <c r="S685" s="344"/>
      <c r="T685" s="344"/>
      <c r="U685" s="344"/>
      <c r="V685" s="344"/>
      <c r="W685" s="344"/>
      <c r="X685" s="344"/>
      <c r="Y685" s="344"/>
      <c r="Z685" s="344"/>
      <c r="AA685" s="344"/>
      <c r="AB685" s="344"/>
      <c r="AC685" s="344"/>
      <c r="AD685" s="344"/>
    </row>
    <row r="686">
      <c r="A686" s="344"/>
      <c r="B686" s="548"/>
      <c r="C686" s="548"/>
      <c r="D686" s="344"/>
      <c r="E686" s="344"/>
      <c r="F686" s="549"/>
      <c r="G686" s="545"/>
      <c r="H686" s="545"/>
      <c r="I686" s="344"/>
      <c r="J686" s="344"/>
      <c r="K686" s="344"/>
      <c r="L686" s="344"/>
      <c r="M686" s="344"/>
      <c r="N686" s="344"/>
      <c r="O686" s="344"/>
      <c r="P686" s="344"/>
      <c r="Q686" s="344"/>
      <c r="R686" s="344"/>
      <c r="S686" s="344"/>
      <c r="T686" s="344"/>
      <c r="U686" s="344"/>
      <c r="V686" s="344"/>
      <c r="W686" s="344"/>
      <c r="X686" s="344"/>
      <c r="Y686" s="344"/>
      <c r="Z686" s="344"/>
      <c r="AA686" s="344"/>
      <c r="AB686" s="344"/>
      <c r="AC686" s="344"/>
      <c r="AD686" s="344"/>
    </row>
    <row r="687">
      <c r="A687" s="344"/>
      <c r="B687" s="548"/>
      <c r="C687" s="548"/>
      <c r="D687" s="344"/>
      <c r="E687" s="344"/>
      <c r="F687" s="549"/>
      <c r="G687" s="545"/>
      <c r="H687" s="545"/>
      <c r="I687" s="344"/>
      <c r="J687" s="344"/>
      <c r="K687" s="344"/>
      <c r="L687" s="344"/>
      <c r="M687" s="344"/>
      <c r="N687" s="344"/>
      <c r="O687" s="344"/>
      <c r="P687" s="344"/>
      <c r="Q687" s="344"/>
      <c r="R687" s="344"/>
      <c r="S687" s="344"/>
      <c r="T687" s="344"/>
      <c r="U687" s="344"/>
      <c r="V687" s="344"/>
      <c r="W687" s="344"/>
      <c r="X687" s="344"/>
      <c r="Y687" s="344"/>
      <c r="Z687" s="344"/>
      <c r="AA687" s="344"/>
      <c r="AB687" s="344"/>
      <c r="AC687" s="344"/>
      <c r="AD687" s="344"/>
    </row>
    <row r="688">
      <c r="A688" s="344"/>
      <c r="B688" s="548"/>
      <c r="C688" s="548"/>
      <c r="D688" s="344"/>
      <c r="E688" s="344"/>
      <c r="F688" s="549"/>
      <c r="G688" s="545"/>
      <c r="H688" s="545"/>
      <c r="I688" s="344"/>
      <c r="J688" s="344"/>
      <c r="K688" s="344"/>
      <c r="L688" s="344"/>
      <c r="M688" s="344"/>
      <c r="N688" s="344"/>
      <c r="O688" s="344"/>
      <c r="P688" s="344"/>
      <c r="Q688" s="344"/>
      <c r="R688" s="344"/>
      <c r="S688" s="344"/>
      <c r="T688" s="344"/>
      <c r="U688" s="344"/>
      <c r="V688" s="344"/>
      <c r="W688" s="344"/>
      <c r="X688" s="344"/>
      <c r="Y688" s="344"/>
      <c r="Z688" s="344"/>
      <c r="AA688" s="344"/>
      <c r="AB688" s="344"/>
      <c r="AC688" s="344"/>
      <c r="AD688" s="344"/>
    </row>
    <row r="689">
      <c r="A689" s="344"/>
      <c r="B689" s="548"/>
      <c r="C689" s="548"/>
      <c r="D689" s="344"/>
      <c r="E689" s="344"/>
      <c r="F689" s="549"/>
      <c r="G689" s="545"/>
      <c r="H689" s="545"/>
      <c r="I689" s="344"/>
      <c r="J689" s="344"/>
      <c r="K689" s="344"/>
      <c r="L689" s="344"/>
      <c r="M689" s="344"/>
      <c r="N689" s="344"/>
      <c r="O689" s="344"/>
      <c r="P689" s="344"/>
      <c r="Q689" s="344"/>
      <c r="R689" s="344"/>
      <c r="S689" s="344"/>
      <c r="T689" s="344"/>
      <c r="U689" s="344"/>
      <c r="V689" s="344"/>
      <c r="W689" s="344"/>
      <c r="X689" s="344"/>
      <c r="Y689" s="344"/>
      <c r="Z689" s="344"/>
      <c r="AA689" s="344"/>
      <c r="AB689" s="344"/>
      <c r="AC689" s="344"/>
      <c r="AD689" s="344"/>
    </row>
    <row r="690">
      <c r="A690" s="344"/>
      <c r="B690" s="548"/>
      <c r="C690" s="548"/>
      <c r="D690" s="344"/>
      <c r="E690" s="344"/>
      <c r="F690" s="549"/>
      <c r="G690" s="545"/>
      <c r="H690" s="545"/>
      <c r="I690" s="344"/>
      <c r="J690" s="344"/>
      <c r="K690" s="344"/>
      <c r="L690" s="344"/>
      <c r="M690" s="344"/>
      <c r="N690" s="344"/>
      <c r="O690" s="344"/>
      <c r="P690" s="344"/>
      <c r="Q690" s="344"/>
      <c r="R690" s="344"/>
      <c r="S690" s="344"/>
      <c r="T690" s="344"/>
      <c r="U690" s="344"/>
      <c r="V690" s="344"/>
      <c r="W690" s="344"/>
      <c r="X690" s="344"/>
      <c r="Y690" s="344"/>
      <c r="Z690" s="344"/>
      <c r="AA690" s="344"/>
      <c r="AB690" s="344"/>
      <c r="AC690" s="344"/>
      <c r="AD690" s="344"/>
    </row>
    <row r="691">
      <c r="A691" s="344"/>
      <c r="B691" s="548"/>
      <c r="C691" s="548"/>
      <c r="D691" s="344"/>
      <c r="E691" s="344"/>
      <c r="F691" s="549"/>
      <c r="G691" s="545"/>
      <c r="H691" s="545"/>
      <c r="I691" s="344"/>
      <c r="J691" s="344"/>
      <c r="K691" s="344"/>
      <c r="L691" s="344"/>
      <c r="M691" s="344"/>
      <c r="N691" s="344"/>
      <c r="O691" s="344"/>
      <c r="P691" s="344"/>
      <c r="Q691" s="344"/>
      <c r="R691" s="344"/>
      <c r="S691" s="344"/>
      <c r="T691" s="344"/>
      <c r="U691" s="344"/>
      <c r="V691" s="344"/>
      <c r="W691" s="344"/>
      <c r="X691" s="344"/>
      <c r="Y691" s="344"/>
      <c r="Z691" s="344"/>
      <c r="AA691" s="344"/>
      <c r="AB691" s="344"/>
      <c r="AC691" s="344"/>
      <c r="AD691" s="344"/>
    </row>
    <row r="692">
      <c r="A692" s="344"/>
      <c r="B692" s="548"/>
      <c r="C692" s="548"/>
      <c r="D692" s="344"/>
      <c r="E692" s="344"/>
      <c r="F692" s="549"/>
      <c r="G692" s="545"/>
      <c r="H692" s="545"/>
      <c r="I692" s="344"/>
      <c r="J692" s="344"/>
      <c r="K692" s="344"/>
      <c r="L692" s="344"/>
      <c r="M692" s="344"/>
      <c r="N692" s="344"/>
      <c r="O692" s="344"/>
      <c r="P692" s="344"/>
      <c r="Q692" s="344"/>
      <c r="R692" s="344"/>
      <c r="S692" s="344"/>
      <c r="T692" s="344"/>
      <c r="U692" s="344"/>
      <c r="V692" s="344"/>
      <c r="W692" s="344"/>
      <c r="X692" s="344"/>
      <c r="Y692" s="344"/>
      <c r="Z692" s="344"/>
      <c r="AA692" s="344"/>
      <c r="AB692" s="344"/>
      <c r="AC692" s="344"/>
      <c r="AD692" s="344"/>
    </row>
    <row r="693">
      <c r="A693" s="344"/>
      <c r="B693" s="548"/>
      <c r="C693" s="548"/>
      <c r="D693" s="344"/>
      <c r="E693" s="344"/>
      <c r="F693" s="549"/>
      <c r="G693" s="545"/>
      <c r="H693" s="545"/>
      <c r="I693" s="344"/>
      <c r="J693" s="344"/>
      <c r="K693" s="344"/>
      <c r="L693" s="344"/>
      <c r="M693" s="344"/>
      <c r="N693" s="344"/>
      <c r="O693" s="344"/>
      <c r="P693" s="344"/>
      <c r="Q693" s="344"/>
      <c r="R693" s="344"/>
      <c r="S693" s="344"/>
      <c r="T693" s="344"/>
      <c r="U693" s="344"/>
      <c r="V693" s="344"/>
      <c r="W693" s="344"/>
      <c r="X693" s="344"/>
      <c r="Y693" s="344"/>
      <c r="Z693" s="344"/>
      <c r="AA693" s="344"/>
      <c r="AB693" s="344"/>
      <c r="AC693" s="344"/>
      <c r="AD693" s="344"/>
    </row>
    <row r="694">
      <c r="A694" s="344"/>
      <c r="B694" s="548"/>
      <c r="C694" s="548"/>
      <c r="D694" s="344"/>
      <c r="E694" s="344"/>
      <c r="F694" s="549"/>
      <c r="G694" s="545"/>
      <c r="H694" s="545"/>
      <c r="I694" s="344"/>
      <c r="J694" s="344"/>
      <c r="K694" s="344"/>
      <c r="L694" s="344"/>
      <c r="M694" s="344"/>
      <c r="N694" s="344"/>
      <c r="O694" s="344"/>
      <c r="P694" s="344"/>
      <c r="Q694" s="344"/>
      <c r="R694" s="344"/>
      <c r="S694" s="344"/>
      <c r="T694" s="344"/>
      <c r="U694" s="344"/>
      <c r="V694" s="344"/>
      <c r="W694" s="344"/>
      <c r="X694" s="344"/>
      <c r="Y694" s="344"/>
      <c r="Z694" s="344"/>
      <c r="AA694" s="344"/>
      <c r="AB694" s="344"/>
      <c r="AC694" s="344"/>
      <c r="AD694" s="344"/>
    </row>
    <row r="695">
      <c r="A695" s="344"/>
      <c r="B695" s="548"/>
      <c r="C695" s="548"/>
      <c r="D695" s="344"/>
      <c r="E695" s="344"/>
      <c r="F695" s="549"/>
      <c r="G695" s="545"/>
      <c r="H695" s="545"/>
      <c r="I695" s="344"/>
      <c r="J695" s="344"/>
      <c r="K695" s="344"/>
      <c r="L695" s="344"/>
      <c r="M695" s="344"/>
      <c r="N695" s="344"/>
      <c r="O695" s="344"/>
      <c r="P695" s="344"/>
      <c r="Q695" s="344"/>
      <c r="R695" s="344"/>
      <c r="S695" s="344"/>
      <c r="T695" s="344"/>
      <c r="U695" s="344"/>
      <c r="V695" s="344"/>
      <c r="W695" s="344"/>
      <c r="X695" s="344"/>
      <c r="Y695" s="344"/>
      <c r="Z695" s="344"/>
      <c r="AA695" s="344"/>
      <c r="AB695" s="344"/>
      <c r="AC695" s="344"/>
      <c r="AD695" s="344"/>
    </row>
    <row r="696">
      <c r="A696" s="344"/>
      <c r="B696" s="548"/>
      <c r="C696" s="548"/>
      <c r="D696" s="344"/>
      <c r="E696" s="344"/>
      <c r="F696" s="549"/>
      <c r="G696" s="545"/>
      <c r="H696" s="545"/>
      <c r="I696" s="344"/>
      <c r="J696" s="344"/>
      <c r="K696" s="344"/>
      <c r="L696" s="344"/>
      <c r="M696" s="344"/>
      <c r="N696" s="344"/>
      <c r="O696" s="344"/>
      <c r="P696" s="344"/>
      <c r="Q696" s="344"/>
      <c r="R696" s="344"/>
      <c r="S696" s="344"/>
      <c r="T696" s="344"/>
      <c r="U696" s="344"/>
      <c r="V696" s="344"/>
      <c r="W696" s="344"/>
      <c r="X696" s="344"/>
      <c r="Y696" s="344"/>
      <c r="Z696" s="344"/>
      <c r="AA696" s="344"/>
      <c r="AB696" s="344"/>
      <c r="AC696" s="344"/>
      <c r="AD696" s="344"/>
    </row>
    <row r="697">
      <c r="A697" s="344"/>
      <c r="B697" s="548"/>
      <c r="C697" s="548"/>
      <c r="D697" s="344"/>
      <c r="E697" s="344"/>
      <c r="F697" s="549"/>
      <c r="G697" s="545"/>
      <c r="H697" s="545"/>
      <c r="I697" s="344"/>
      <c r="J697" s="344"/>
      <c r="K697" s="344"/>
      <c r="L697" s="344"/>
      <c r="M697" s="344"/>
      <c r="N697" s="344"/>
      <c r="O697" s="344"/>
      <c r="P697" s="344"/>
      <c r="Q697" s="344"/>
      <c r="R697" s="344"/>
      <c r="S697" s="344"/>
      <c r="T697" s="344"/>
      <c r="U697" s="344"/>
      <c r="V697" s="344"/>
      <c r="W697" s="344"/>
      <c r="X697" s="344"/>
      <c r="Y697" s="344"/>
      <c r="Z697" s="344"/>
      <c r="AA697" s="344"/>
      <c r="AB697" s="344"/>
      <c r="AC697" s="344"/>
      <c r="AD697" s="344"/>
    </row>
    <row r="698">
      <c r="A698" s="344"/>
      <c r="B698" s="548"/>
      <c r="C698" s="548"/>
      <c r="D698" s="344"/>
      <c r="E698" s="344"/>
      <c r="F698" s="549"/>
      <c r="G698" s="545"/>
      <c r="H698" s="545"/>
      <c r="I698" s="344"/>
      <c r="J698" s="344"/>
      <c r="K698" s="344"/>
      <c r="L698" s="344"/>
      <c r="M698" s="344"/>
      <c r="N698" s="344"/>
      <c r="O698" s="344"/>
      <c r="P698" s="344"/>
      <c r="Q698" s="344"/>
      <c r="R698" s="344"/>
      <c r="S698" s="344"/>
      <c r="T698" s="344"/>
      <c r="U698" s="344"/>
      <c r="V698" s="344"/>
      <c r="W698" s="344"/>
      <c r="X698" s="344"/>
      <c r="Y698" s="344"/>
      <c r="Z698" s="344"/>
      <c r="AA698" s="344"/>
      <c r="AB698" s="344"/>
      <c r="AC698" s="344"/>
      <c r="AD698" s="344"/>
    </row>
    <row r="699">
      <c r="A699" s="344"/>
      <c r="B699" s="548"/>
      <c r="C699" s="548"/>
      <c r="D699" s="344"/>
      <c r="E699" s="344"/>
      <c r="F699" s="549"/>
      <c r="G699" s="545"/>
      <c r="H699" s="545"/>
      <c r="I699" s="344"/>
      <c r="J699" s="344"/>
      <c r="K699" s="344"/>
      <c r="L699" s="344"/>
      <c r="M699" s="344"/>
      <c r="N699" s="344"/>
      <c r="O699" s="344"/>
      <c r="P699" s="344"/>
      <c r="Q699" s="344"/>
      <c r="R699" s="344"/>
      <c r="S699" s="344"/>
      <c r="T699" s="344"/>
      <c r="U699" s="344"/>
      <c r="V699" s="344"/>
      <c r="W699" s="344"/>
      <c r="X699" s="344"/>
      <c r="Y699" s="344"/>
      <c r="Z699" s="344"/>
      <c r="AA699" s="344"/>
      <c r="AB699" s="344"/>
      <c r="AC699" s="344"/>
      <c r="AD699" s="344"/>
    </row>
    <row r="700">
      <c r="A700" s="344"/>
      <c r="B700" s="548"/>
      <c r="C700" s="548"/>
      <c r="D700" s="344"/>
      <c r="E700" s="344"/>
      <c r="F700" s="549"/>
      <c r="G700" s="545"/>
      <c r="H700" s="545"/>
      <c r="I700" s="344"/>
      <c r="J700" s="344"/>
      <c r="K700" s="344"/>
      <c r="L700" s="344"/>
      <c r="M700" s="344"/>
      <c r="N700" s="344"/>
      <c r="O700" s="344"/>
      <c r="P700" s="344"/>
      <c r="Q700" s="344"/>
      <c r="R700" s="344"/>
      <c r="S700" s="344"/>
      <c r="T700" s="344"/>
      <c r="U700" s="344"/>
      <c r="V700" s="344"/>
      <c r="W700" s="344"/>
      <c r="X700" s="344"/>
      <c r="Y700" s="344"/>
      <c r="Z700" s="344"/>
      <c r="AA700" s="344"/>
      <c r="AB700" s="344"/>
      <c r="AC700" s="344"/>
      <c r="AD700" s="344"/>
    </row>
    <row r="701">
      <c r="A701" s="344"/>
      <c r="B701" s="548"/>
      <c r="C701" s="548"/>
      <c r="D701" s="344"/>
      <c r="E701" s="344"/>
      <c r="F701" s="549"/>
      <c r="G701" s="545"/>
      <c r="H701" s="545"/>
      <c r="I701" s="344"/>
      <c r="J701" s="344"/>
      <c r="K701" s="344"/>
      <c r="L701" s="344"/>
      <c r="M701" s="344"/>
      <c r="N701" s="344"/>
      <c r="O701" s="344"/>
      <c r="P701" s="344"/>
      <c r="Q701" s="344"/>
      <c r="R701" s="344"/>
      <c r="S701" s="344"/>
      <c r="T701" s="344"/>
      <c r="U701" s="344"/>
      <c r="V701" s="344"/>
      <c r="W701" s="344"/>
      <c r="X701" s="344"/>
      <c r="Y701" s="344"/>
      <c r="Z701" s="344"/>
      <c r="AA701" s="344"/>
      <c r="AB701" s="344"/>
      <c r="AC701" s="344"/>
      <c r="AD701" s="344"/>
    </row>
    <row r="702">
      <c r="A702" s="344"/>
      <c r="B702" s="548"/>
      <c r="C702" s="548"/>
      <c r="D702" s="344"/>
      <c r="E702" s="344"/>
      <c r="F702" s="549"/>
      <c r="G702" s="545"/>
      <c r="H702" s="545"/>
      <c r="I702" s="344"/>
      <c r="J702" s="344"/>
      <c r="K702" s="344"/>
      <c r="L702" s="344"/>
      <c r="M702" s="344"/>
      <c r="N702" s="344"/>
      <c r="O702" s="344"/>
      <c r="P702" s="344"/>
      <c r="Q702" s="344"/>
      <c r="R702" s="344"/>
      <c r="S702" s="344"/>
      <c r="T702" s="344"/>
      <c r="U702" s="344"/>
      <c r="V702" s="344"/>
      <c r="W702" s="344"/>
      <c r="X702" s="344"/>
      <c r="Y702" s="344"/>
      <c r="Z702" s="344"/>
      <c r="AA702" s="344"/>
      <c r="AB702" s="344"/>
      <c r="AC702" s="344"/>
      <c r="AD702" s="344"/>
    </row>
    <row r="703">
      <c r="A703" s="344"/>
      <c r="B703" s="548"/>
      <c r="C703" s="548"/>
      <c r="D703" s="344"/>
      <c r="E703" s="344"/>
      <c r="F703" s="549"/>
      <c r="G703" s="545"/>
      <c r="H703" s="545"/>
      <c r="I703" s="344"/>
      <c r="J703" s="344"/>
      <c r="K703" s="344"/>
      <c r="L703" s="344"/>
      <c r="M703" s="344"/>
      <c r="N703" s="344"/>
      <c r="O703" s="344"/>
      <c r="P703" s="344"/>
      <c r="Q703" s="344"/>
      <c r="R703" s="344"/>
      <c r="S703" s="344"/>
      <c r="T703" s="344"/>
      <c r="U703" s="344"/>
      <c r="V703" s="344"/>
      <c r="W703" s="344"/>
      <c r="X703" s="344"/>
      <c r="Y703" s="344"/>
      <c r="Z703" s="344"/>
      <c r="AA703" s="344"/>
      <c r="AB703" s="344"/>
      <c r="AC703" s="344"/>
      <c r="AD703" s="344"/>
    </row>
    <row r="704">
      <c r="A704" s="344"/>
      <c r="B704" s="548"/>
      <c r="C704" s="548"/>
      <c r="D704" s="344"/>
      <c r="E704" s="344"/>
      <c r="F704" s="549"/>
      <c r="G704" s="545"/>
      <c r="H704" s="545"/>
      <c r="I704" s="344"/>
      <c r="J704" s="344"/>
      <c r="K704" s="344"/>
      <c r="L704" s="344"/>
      <c r="M704" s="344"/>
      <c r="N704" s="344"/>
      <c r="O704" s="344"/>
      <c r="P704" s="344"/>
      <c r="Q704" s="344"/>
      <c r="R704" s="344"/>
      <c r="S704" s="344"/>
      <c r="T704" s="344"/>
      <c r="U704" s="344"/>
      <c r="V704" s="344"/>
      <c r="W704" s="344"/>
      <c r="X704" s="344"/>
      <c r="Y704" s="344"/>
      <c r="Z704" s="344"/>
      <c r="AA704" s="344"/>
      <c r="AB704" s="344"/>
      <c r="AC704" s="344"/>
      <c r="AD704" s="344"/>
    </row>
    <row r="705">
      <c r="A705" s="344"/>
      <c r="B705" s="548"/>
      <c r="C705" s="548"/>
      <c r="D705" s="344"/>
      <c r="E705" s="344"/>
      <c r="F705" s="549"/>
      <c r="G705" s="545"/>
      <c r="H705" s="545"/>
      <c r="I705" s="344"/>
      <c r="J705" s="344"/>
      <c r="K705" s="344"/>
      <c r="L705" s="344"/>
      <c r="M705" s="344"/>
      <c r="N705" s="344"/>
      <c r="O705" s="344"/>
      <c r="P705" s="344"/>
      <c r="Q705" s="344"/>
      <c r="R705" s="344"/>
      <c r="S705" s="344"/>
      <c r="T705" s="344"/>
      <c r="U705" s="344"/>
      <c r="V705" s="344"/>
      <c r="W705" s="344"/>
      <c r="X705" s="344"/>
      <c r="Y705" s="344"/>
      <c r="Z705" s="344"/>
      <c r="AA705" s="344"/>
      <c r="AB705" s="344"/>
      <c r="AC705" s="344"/>
      <c r="AD705" s="344"/>
    </row>
    <row r="706">
      <c r="A706" s="344"/>
      <c r="B706" s="548"/>
      <c r="C706" s="548"/>
      <c r="D706" s="344"/>
      <c r="E706" s="344"/>
      <c r="F706" s="549"/>
      <c r="G706" s="545"/>
      <c r="H706" s="545"/>
      <c r="I706" s="344"/>
      <c r="J706" s="344"/>
      <c r="K706" s="344"/>
      <c r="L706" s="344"/>
      <c r="M706" s="344"/>
      <c r="N706" s="344"/>
      <c r="O706" s="344"/>
      <c r="P706" s="344"/>
      <c r="Q706" s="344"/>
      <c r="R706" s="344"/>
      <c r="S706" s="344"/>
      <c r="T706" s="344"/>
      <c r="U706" s="344"/>
      <c r="V706" s="344"/>
      <c r="W706" s="344"/>
      <c r="X706" s="344"/>
      <c r="Y706" s="344"/>
      <c r="Z706" s="344"/>
      <c r="AA706" s="344"/>
      <c r="AB706" s="344"/>
      <c r="AC706" s="344"/>
      <c r="AD706" s="344"/>
    </row>
    <row r="707">
      <c r="A707" s="344"/>
      <c r="B707" s="548"/>
      <c r="C707" s="548"/>
      <c r="D707" s="344"/>
      <c r="E707" s="344"/>
      <c r="F707" s="549"/>
      <c r="G707" s="545"/>
      <c r="H707" s="545"/>
      <c r="I707" s="344"/>
      <c r="J707" s="344"/>
      <c r="K707" s="344"/>
      <c r="L707" s="344"/>
      <c r="M707" s="344"/>
      <c r="N707" s="344"/>
      <c r="O707" s="344"/>
      <c r="P707" s="344"/>
      <c r="Q707" s="344"/>
      <c r="R707" s="344"/>
      <c r="S707" s="344"/>
      <c r="T707" s="344"/>
      <c r="U707" s="344"/>
      <c r="V707" s="344"/>
      <c r="W707" s="344"/>
      <c r="X707" s="344"/>
      <c r="Y707" s="344"/>
      <c r="Z707" s="344"/>
      <c r="AA707" s="344"/>
      <c r="AB707" s="344"/>
      <c r="AC707" s="344"/>
      <c r="AD707" s="344"/>
    </row>
    <row r="708">
      <c r="A708" s="344"/>
      <c r="B708" s="548"/>
      <c r="C708" s="548"/>
      <c r="D708" s="344"/>
      <c r="E708" s="344"/>
      <c r="F708" s="549"/>
      <c r="G708" s="545"/>
      <c r="H708" s="545"/>
      <c r="I708" s="344"/>
      <c r="J708" s="344"/>
      <c r="K708" s="344"/>
      <c r="L708" s="344"/>
      <c r="M708" s="344"/>
      <c r="N708" s="344"/>
      <c r="O708" s="344"/>
      <c r="P708" s="344"/>
      <c r="Q708" s="344"/>
      <c r="R708" s="344"/>
      <c r="S708" s="344"/>
      <c r="T708" s="344"/>
      <c r="U708" s="344"/>
      <c r="V708" s="344"/>
      <c r="W708" s="344"/>
      <c r="X708" s="344"/>
      <c r="Y708" s="344"/>
      <c r="Z708" s="344"/>
      <c r="AA708" s="344"/>
      <c r="AB708" s="344"/>
      <c r="AC708" s="344"/>
      <c r="AD708" s="344"/>
    </row>
    <row r="709">
      <c r="A709" s="344"/>
      <c r="B709" s="548"/>
      <c r="C709" s="548"/>
      <c r="D709" s="344"/>
      <c r="E709" s="344"/>
      <c r="F709" s="549"/>
      <c r="G709" s="545"/>
      <c r="H709" s="545"/>
      <c r="I709" s="344"/>
      <c r="J709" s="344"/>
      <c r="K709" s="344"/>
      <c r="L709" s="344"/>
      <c r="M709" s="344"/>
      <c r="N709" s="344"/>
      <c r="O709" s="344"/>
      <c r="P709" s="344"/>
      <c r="Q709" s="344"/>
      <c r="R709" s="344"/>
      <c r="S709" s="344"/>
      <c r="T709" s="344"/>
      <c r="U709" s="344"/>
      <c r="V709" s="344"/>
      <c r="W709" s="344"/>
      <c r="X709" s="344"/>
      <c r="Y709" s="344"/>
      <c r="Z709" s="344"/>
      <c r="AA709" s="344"/>
      <c r="AB709" s="344"/>
      <c r="AC709" s="344"/>
      <c r="AD709" s="344"/>
    </row>
    <row r="710">
      <c r="A710" s="344"/>
      <c r="B710" s="548"/>
      <c r="C710" s="548"/>
      <c r="D710" s="344"/>
      <c r="E710" s="344"/>
      <c r="F710" s="549"/>
      <c r="G710" s="545"/>
      <c r="H710" s="545"/>
      <c r="I710" s="344"/>
      <c r="J710" s="344"/>
      <c r="K710" s="344"/>
      <c r="L710" s="344"/>
      <c r="M710" s="344"/>
      <c r="N710" s="344"/>
      <c r="O710" s="344"/>
      <c r="P710" s="344"/>
      <c r="Q710" s="344"/>
      <c r="R710" s="344"/>
      <c r="S710" s="344"/>
      <c r="T710" s="344"/>
      <c r="U710" s="344"/>
      <c r="V710" s="344"/>
      <c r="W710" s="344"/>
      <c r="X710" s="344"/>
      <c r="Y710" s="344"/>
      <c r="Z710" s="344"/>
      <c r="AA710" s="344"/>
      <c r="AB710" s="344"/>
      <c r="AC710" s="344"/>
      <c r="AD710" s="344"/>
    </row>
    <row r="711">
      <c r="A711" s="344"/>
      <c r="B711" s="548"/>
      <c r="C711" s="548"/>
      <c r="D711" s="344"/>
      <c r="E711" s="344"/>
      <c r="F711" s="549"/>
      <c r="G711" s="545"/>
      <c r="H711" s="545"/>
      <c r="I711" s="344"/>
      <c r="J711" s="344"/>
      <c r="K711" s="344"/>
      <c r="L711" s="344"/>
      <c r="M711" s="344"/>
      <c r="N711" s="344"/>
      <c r="O711" s="344"/>
      <c r="P711" s="344"/>
      <c r="Q711" s="344"/>
      <c r="R711" s="344"/>
      <c r="S711" s="344"/>
      <c r="T711" s="344"/>
      <c r="U711" s="344"/>
      <c r="V711" s="344"/>
      <c r="W711" s="344"/>
      <c r="X711" s="344"/>
      <c r="Y711" s="344"/>
      <c r="Z711" s="344"/>
      <c r="AA711" s="344"/>
      <c r="AB711" s="344"/>
      <c r="AC711" s="344"/>
      <c r="AD711" s="344"/>
    </row>
    <row r="712">
      <c r="A712" s="344"/>
      <c r="B712" s="548"/>
      <c r="C712" s="548"/>
      <c r="D712" s="344"/>
      <c r="E712" s="344"/>
      <c r="F712" s="549"/>
      <c r="G712" s="545"/>
      <c r="H712" s="545"/>
      <c r="I712" s="344"/>
      <c r="J712" s="344"/>
      <c r="K712" s="344"/>
      <c r="L712" s="344"/>
      <c r="M712" s="344"/>
      <c r="N712" s="344"/>
      <c r="O712" s="344"/>
      <c r="P712" s="344"/>
      <c r="Q712" s="344"/>
      <c r="R712" s="344"/>
      <c r="S712" s="344"/>
      <c r="T712" s="344"/>
      <c r="U712" s="344"/>
      <c r="V712" s="344"/>
      <c r="W712" s="344"/>
      <c r="X712" s="344"/>
      <c r="Y712" s="344"/>
      <c r="Z712" s="344"/>
      <c r="AA712" s="344"/>
      <c r="AB712" s="344"/>
      <c r="AC712" s="344"/>
      <c r="AD712" s="344"/>
    </row>
    <row r="713">
      <c r="A713" s="344"/>
      <c r="B713" s="548"/>
      <c r="C713" s="548"/>
      <c r="D713" s="344"/>
      <c r="E713" s="344"/>
      <c r="F713" s="549"/>
      <c r="G713" s="545"/>
      <c r="H713" s="545"/>
      <c r="I713" s="344"/>
      <c r="J713" s="344"/>
      <c r="K713" s="344"/>
      <c r="L713" s="344"/>
      <c r="M713" s="344"/>
      <c r="N713" s="344"/>
      <c r="O713" s="344"/>
      <c r="P713" s="344"/>
      <c r="Q713" s="344"/>
      <c r="R713" s="344"/>
      <c r="S713" s="344"/>
      <c r="T713" s="344"/>
      <c r="U713" s="344"/>
      <c r="V713" s="344"/>
      <c r="W713" s="344"/>
      <c r="X713" s="344"/>
      <c r="Y713" s="344"/>
      <c r="Z713" s="344"/>
      <c r="AA713" s="344"/>
      <c r="AB713" s="344"/>
      <c r="AC713" s="344"/>
      <c r="AD713" s="344"/>
    </row>
    <row r="714">
      <c r="A714" s="344"/>
      <c r="B714" s="548"/>
      <c r="C714" s="548"/>
      <c r="D714" s="344"/>
      <c r="E714" s="344"/>
      <c r="F714" s="549"/>
      <c r="G714" s="545"/>
      <c r="H714" s="545"/>
      <c r="I714" s="344"/>
      <c r="J714" s="344"/>
      <c r="K714" s="344"/>
      <c r="L714" s="344"/>
      <c r="M714" s="344"/>
      <c r="N714" s="344"/>
      <c r="O714" s="344"/>
      <c r="P714" s="344"/>
      <c r="Q714" s="344"/>
      <c r="R714" s="344"/>
      <c r="S714" s="344"/>
      <c r="T714" s="344"/>
      <c r="U714" s="344"/>
      <c r="V714" s="344"/>
      <c r="W714" s="344"/>
      <c r="X714" s="344"/>
      <c r="Y714" s="344"/>
      <c r="Z714" s="344"/>
      <c r="AA714" s="344"/>
      <c r="AB714" s="344"/>
      <c r="AC714" s="344"/>
      <c r="AD714" s="344"/>
    </row>
    <row r="715">
      <c r="A715" s="344"/>
      <c r="B715" s="548"/>
      <c r="C715" s="548"/>
      <c r="D715" s="344"/>
      <c r="E715" s="344"/>
      <c r="F715" s="549"/>
      <c r="G715" s="545"/>
      <c r="H715" s="545"/>
      <c r="I715" s="344"/>
      <c r="J715" s="344"/>
      <c r="K715" s="344"/>
      <c r="L715" s="344"/>
      <c r="M715" s="344"/>
      <c r="N715" s="344"/>
      <c r="O715" s="344"/>
      <c r="P715" s="344"/>
      <c r="Q715" s="344"/>
      <c r="R715" s="344"/>
      <c r="S715" s="344"/>
      <c r="T715" s="344"/>
      <c r="U715" s="344"/>
      <c r="V715" s="344"/>
      <c r="W715" s="344"/>
      <c r="X715" s="344"/>
      <c r="Y715" s="344"/>
      <c r="Z715" s="344"/>
      <c r="AA715" s="344"/>
      <c r="AB715" s="344"/>
      <c r="AC715" s="344"/>
      <c r="AD715" s="344"/>
    </row>
    <row r="716">
      <c r="A716" s="344"/>
      <c r="B716" s="548"/>
      <c r="C716" s="548"/>
      <c r="D716" s="344"/>
      <c r="E716" s="344"/>
      <c r="F716" s="549"/>
      <c r="G716" s="545"/>
      <c r="H716" s="545"/>
      <c r="I716" s="344"/>
      <c r="J716" s="344"/>
      <c r="K716" s="344"/>
      <c r="L716" s="344"/>
      <c r="M716" s="344"/>
      <c r="N716" s="344"/>
      <c r="O716" s="344"/>
      <c r="P716" s="344"/>
      <c r="Q716" s="344"/>
      <c r="R716" s="344"/>
      <c r="S716" s="344"/>
      <c r="T716" s="344"/>
      <c r="U716" s="344"/>
      <c r="V716" s="344"/>
      <c r="W716" s="344"/>
      <c r="X716" s="344"/>
      <c r="Y716" s="344"/>
      <c r="Z716" s="344"/>
      <c r="AA716" s="344"/>
      <c r="AB716" s="344"/>
      <c r="AC716" s="344"/>
      <c r="AD716" s="344"/>
    </row>
    <row r="717">
      <c r="A717" s="344"/>
      <c r="B717" s="548"/>
      <c r="C717" s="548"/>
      <c r="D717" s="344"/>
      <c r="E717" s="344"/>
      <c r="F717" s="549"/>
      <c r="G717" s="545"/>
      <c r="H717" s="545"/>
      <c r="I717" s="344"/>
      <c r="J717" s="344"/>
      <c r="K717" s="344"/>
      <c r="L717" s="344"/>
      <c r="M717" s="344"/>
      <c r="N717" s="344"/>
      <c r="O717" s="344"/>
      <c r="P717" s="344"/>
      <c r="Q717" s="344"/>
      <c r="R717" s="344"/>
      <c r="S717" s="344"/>
      <c r="T717" s="344"/>
      <c r="U717" s="344"/>
      <c r="V717" s="344"/>
      <c r="W717" s="344"/>
      <c r="X717" s="344"/>
      <c r="Y717" s="344"/>
      <c r="Z717" s="344"/>
      <c r="AA717" s="344"/>
      <c r="AB717" s="344"/>
      <c r="AC717" s="344"/>
      <c r="AD717" s="344"/>
    </row>
    <row r="718">
      <c r="A718" s="344"/>
      <c r="B718" s="548"/>
      <c r="C718" s="548"/>
      <c r="D718" s="344"/>
      <c r="E718" s="344"/>
      <c r="F718" s="549"/>
      <c r="G718" s="545"/>
      <c r="H718" s="545"/>
      <c r="I718" s="344"/>
      <c r="J718" s="344"/>
      <c r="K718" s="344"/>
      <c r="L718" s="344"/>
      <c r="M718" s="344"/>
      <c r="N718" s="344"/>
      <c r="O718" s="344"/>
      <c r="P718" s="344"/>
      <c r="Q718" s="344"/>
      <c r="R718" s="344"/>
      <c r="S718" s="344"/>
      <c r="T718" s="344"/>
      <c r="U718" s="344"/>
      <c r="V718" s="344"/>
      <c r="W718" s="344"/>
      <c r="X718" s="344"/>
      <c r="Y718" s="344"/>
      <c r="Z718" s="344"/>
      <c r="AA718" s="344"/>
      <c r="AB718" s="344"/>
      <c r="AC718" s="344"/>
      <c r="AD718" s="344"/>
    </row>
    <row r="719">
      <c r="A719" s="344"/>
      <c r="B719" s="548"/>
      <c r="C719" s="548"/>
      <c r="D719" s="344"/>
      <c r="E719" s="344"/>
      <c r="F719" s="549"/>
      <c r="G719" s="545"/>
      <c r="H719" s="545"/>
      <c r="I719" s="344"/>
      <c r="J719" s="344"/>
      <c r="K719" s="344"/>
      <c r="L719" s="344"/>
      <c r="M719" s="344"/>
      <c r="N719" s="344"/>
      <c r="O719" s="344"/>
      <c r="P719" s="344"/>
      <c r="Q719" s="344"/>
      <c r="R719" s="344"/>
      <c r="S719" s="344"/>
      <c r="T719" s="344"/>
      <c r="U719" s="344"/>
      <c r="V719" s="344"/>
      <c r="W719" s="344"/>
      <c r="X719" s="344"/>
      <c r="Y719" s="344"/>
      <c r="Z719" s="344"/>
      <c r="AA719" s="344"/>
      <c r="AB719" s="344"/>
      <c r="AC719" s="344"/>
      <c r="AD719" s="344"/>
    </row>
    <row r="720">
      <c r="A720" s="344"/>
      <c r="B720" s="548"/>
      <c r="C720" s="548"/>
      <c r="D720" s="344"/>
      <c r="E720" s="344"/>
      <c r="F720" s="549"/>
      <c r="G720" s="545"/>
      <c r="H720" s="545"/>
      <c r="I720" s="344"/>
      <c r="J720" s="344"/>
      <c r="K720" s="344"/>
      <c r="L720" s="344"/>
      <c r="M720" s="344"/>
      <c r="N720" s="344"/>
      <c r="O720" s="344"/>
      <c r="P720" s="344"/>
      <c r="Q720" s="344"/>
      <c r="R720" s="344"/>
      <c r="S720" s="344"/>
      <c r="T720" s="344"/>
      <c r="U720" s="344"/>
      <c r="V720" s="344"/>
      <c r="W720" s="344"/>
      <c r="X720" s="344"/>
      <c r="Y720" s="344"/>
      <c r="Z720" s="344"/>
      <c r="AA720" s="344"/>
      <c r="AB720" s="344"/>
      <c r="AC720" s="344"/>
      <c r="AD720" s="344"/>
    </row>
    <row r="721">
      <c r="A721" s="344"/>
      <c r="B721" s="548"/>
      <c r="C721" s="548"/>
      <c r="D721" s="344"/>
      <c r="E721" s="344"/>
      <c r="F721" s="549"/>
      <c r="G721" s="545"/>
      <c r="H721" s="545"/>
      <c r="I721" s="344"/>
      <c r="J721" s="344"/>
      <c r="K721" s="344"/>
      <c r="L721" s="344"/>
      <c r="M721" s="344"/>
      <c r="N721" s="344"/>
      <c r="O721" s="344"/>
      <c r="P721" s="344"/>
      <c r="Q721" s="344"/>
      <c r="R721" s="344"/>
      <c r="S721" s="344"/>
      <c r="T721" s="344"/>
      <c r="U721" s="344"/>
      <c r="V721" s="344"/>
      <c r="W721" s="344"/>
      <c r="X721" s="344"/>
      <c r="Y721" s="344"/>
      <c r="Z721" s="344"/>
      <c r="AA721" s="344"/>
      <c r="AB721" s="344"/>
      <c r="AC721" s="344"/>
      <c r="AD721" s="344"/>
    </row>
    <row r="722">
      <c r="A722" s="344"/>
      <c r="B722" s="548"/>
      <c r="C722" s="548"/>
      <c r="D722" s="344"/>
      <c r="E722" s="344"/>
      <c r="F722" s="549"/>
      <c r="G722" s="545"/>
      <c r="H722" s="545"/>
      <c r="I722" s="344"/>
      <c r="J722" s="344"/>
      <c r="K722" s="344"/>
      <c r="L722" s="344"/>
      <c r="M722" s="344"/>
      <c r="N722" s="344"/>
      <c r="O722" s="344"/>
      <c r="P722" s="344"/>
      <c r="Q722" s="344"/>
      <c r="R722" s="344"/>
      <c r="S722" s="344"/>
      <c r="T722" s="344"/>
      <c r="U722" s="344"/>
      <c r="V722" s="344"/>
      <c r="W722" s="344"/>
      <c r="X722" s="344"/>
      <c r="Y722" s="344"/>
      <c r="Z722" s="344"/>
      <c r="AA722" s="344"/>
      <c r="AB722" s="344"/>
      <c r="AC722" s="344"/>
      <c r="AD722" s="344"/>
    </row>
    <row r="723">
      <c r="A723" s="344"/>
      <c r="B723" s="548"/>
      <c r="C723" s="548"/>
      <c r="D723" s="344"/>
      <c r="E723" s="344"/>
      <c r="F723" s="549"/>
      <c r="G723" s="545"/>
      <c r="H723" s="545"/>
      <c r="I723" s="344"/>
      <c r="J723" s="344"/>
      <c r="K723" s="344"/>
      <c r="L723" s="344"/>
      <c r="M723" s="344"/>
      <c r="N723" s="344"/>
      <c r="O723" s="344"/>
      <c r="P723" s="344"/>
      <c r="Q723" s="344"/>
      <c r="R723" s="344"/>
      <c r="S723" s="344"/>
      <c r="T723" s="344"/>
      <c r="U723" s="344"/>
      <c r="V723" s="344"/>
      <c r="W723" s="344"/>
      <c r="X723" s="344"/>
      <c r="Y723" s="344"/>
      <c r="Z723" s="344"/>
      <c r="AA723" s="344"/>
      <c r="AB723" s="344"/>
      <c r="AC723" s="344"/>
      <c r="AD723" s="344"/>
    </row>
    <row r="724">
      <c r="A724" s="344"/>
      <c r="B724" s="548"/>
      <c r="C724" s="548"/>
      <c r="D724" s="344"/>
      <c r="E724" s="344"/>
      <c r="F724" s="549"/>
      <c r="G724" s="545"/>
      <c r="H724" s="545"/>
      <c r="I724" s="344"/>
      <c r="J724" s="344"/>
      <c r="K724" s="344"/>
      <c r="L724" s="344"/>
      <c r="M724" s="344"/>
      <c r="N724" s="344"/>
      <c r="O724" s="344"/>
      <c r="P724" s="344"/>
      <c r="Q724" s="344"/>
      <c r="R724" s="344"/>
      <c r="S724" s="344"/>
      <c r="T724" s="344"/>
      <c r="U724" s="344"/>
      <c r="V724" s="344"/>
      <c r="W724" s="344"/>
      <c r="X724" s="344"/>
      <c r="Y724" s="344"/>
      <c r="Z724" s="344"/>
      <c r="AA724" s="344"/>
      <c r="AB724" s="344"/>
      <c r="AC724" s="344"/>
      <c r="AD724" s="344"/>
    </row>
    <row r="725">
      <c r="A725" s="344"/>
      <c r="B725" s="548"/>
      <c r="C725" s="548"/>
      <c r="D725" s="344"/>
      <c r="E725" s="344"/>
      <c r="F725" s="549"/>
      <c r="G725" s="545"/>
      <c r="H725" s="545"/>
      <c r="I725" s="344"/>
      <c r="J725" s="344"/>
      <c r="K725" s="344"/>
      <c r="L725" s="344"/>
      <c r="M725" s="344"/>
      <c r="N725" s="344"/>
      <c r="O725" s="344"/>
      <c r="P725" s="344"/>
      <c r="Q725" s="344"/>
      <c r="R725" s="344"/>
      <c r="S725" s="344"/>
      <c r="T725" s="344"/>
      <c r="U725" s="344"/>
      <c r="V725" s="344"/>
      <c r="W725" s="344"/>
      <c r="X725" s="344"/>
      <c r="Y725" s="344"/>
      <c r="Z725" s="344"/>
      <c r="AA725" s="344"/>
      <c r="AB725" s="344"/>
      <c r="AC725" s="344"/>
      <c r="AD725" s="344"/>
    </row>
    <row r="726">
      <c r="A726" s="344"/>
      <c r="B726" s="548"/>
      <c r="C726" s="548"/>
      <c r="D726" s="344"/>
      <c r="E726" s="344"/>
      <c r="F726" s="549"/>
      <c r="G726" s="545"/>
      <c r="H726" s="545"/>
      <c r="I726" s="344"/>
      <c r="J726" s="344"/>
      <c r="K726" s="344"/>
      <c r="L726" s="344"/>
      <c r="M726" s="344"/>
      <c r="N726" s="344"/>
      <c r="O726" s="344"/>
      <c r="P726" s="344"/>
      <c r="Q726" s="344"/>
      <c r="R726" s="344"/>
      <c r="S726" s="344"/>
      <c r="T726" s="344"/>
      <c r="U726" s="344"/>
      <c r="V726" s="344"/>
      <c r="W726" s="344"/>
      <c r="X726" s="344"/>
      <c r="Y726" s="344"/>
      <c r="Z726" s="344"/>
      <c r="AA726" s="344"/>
      <c r="AB726" s="344"/>
      <c r="AC726" s="344"/>
      <c r="AD726" s="344"/>
    </row>
    <row r="727">
      <c r="A727" s="344"/>
      <c r="B727" s="548"/>
      <c r="C727" s="548"/>
      <c r="D727" s="344"/>
      <c r="E727" s="344"/>
      <c r="F727" s="549"/>
      <c r="G727" s="545"/>
      <c r="H727" s="545"/>
      <c r="I727" s="344"/>
      <c r="J727" s="344"/>
      <c r="K727" s="344"/>
      <c r="L727" s="344"/>
      <c r="M727" s="344"/>
      <c r="N727" s="344"/>
      <c r="O727" s="344"/>
      <c r="P727" s="344"/>
      <c r="Q727" s="344"/>
      <c r="R727" s="344"/>
      <c r="S727" s="344"/>
      <c r="T727" s="344"/>
      <c r="U727" s="344"/>
      <c r="V727" s="344"/>
      <c r="W727" s="344"/>
      <c r="X727" s="344"/>
      <c r="Y727" s="344"/>
      <c r="Z727" s="344"/>
      <c r="AA727" s="344"/>
      <c r="AB727" s="344"/>
      <c r="AC727" s="344"/>
      <c r="AD727" s="344"/>
    </row>
    <row r="728">
      <c r="A728" s="344"/>
      <c r="B728" s="548"/>
      <c r="C728" s="548"/>
      <c r="D728" s="344"/>
      <c r="E728" s="344"/>
      <c r="F728" s="549"/>
      <c r="G728" s="545"/>
      <c r="H728" s="545"/>
      <c r="I728" s="344"/>
      <c r="J728" s="344"/>
      <c r="K728" s="344"/>
      <c r="L728" s="344"/>
      <c r="M728" s="344"/>
      <c r="N728" s="344"/>
      <c r="O728" s="344"/>
      <c r="P728" s="344"/>
      <c r="Q728" s="344"/>
      <c r="R728" s="344"/>
      <c r="S728" s="344"/>
      <c r="T728" s="344"/>
      <c r="U728" s="344"/>
      <c r="V728" s="344"/>
      <c r="W728" s="344"/>
      <c r="X728" s="344"/>
      <c r="Y728" s="344"/>
      <c r="Z728" s="344"/>
      <c r="AA728" s="344"/>
      <c r="AB728" s="344"/>
      <c r="AC728" s="344"/>
      <c r="AD728" s="344"/>
    </row>
    <row r="729">
      <c r="A729" s="344"/>
      <c r="B729" s="548"/>
      <c r="C729" s="548"/>
      <c r="D729" s="344"/>
      <c r="E729" s="344"/>
      <c r="F729" s="549"/>
      <c r="G729" s="545"/>
      <c r="H729" s="545"/>
      <c r="I729" s="344"/>
      <c r="J729" s="344"/>
      <c r="K729" s="344"/>
      <c r="L729" s="344"/>
      <c r="M729" s="344"/>
      <c r="N729" s="344"/>
      <c r="O729" s="344"/>
      <c r="P729" s="344"/>
      <c r="Q729" s="344"/>
      <c r="R729" s="344"/>
      <c r="S729" s="344"/>
      <c r="T729" s="344"/>
      <c r="U729" s="344"/>
      <c r="V729" s="344"/>
      <c r="W729" s="344"/>
      <c r="X729" s="344"/>
      <c r="Y729" s="344"/>
      <c r="Z729" s="344"/>
      <c r="AA729" s="344"/>
      <c r="AB729" s="344"/>
      <c r="AC729" s="344"/>
      <c r="AD729" s="344"/>
    </row>
    <row r="730">
      <c r="A730" s="344"/>
      <c r="B730" s="548"/>
      <c r="C730" s="548"/>
      <c r="D730" s="344"/>
      <c r="E730" s="344"/>
      <c r="F730" s="549"/>
      <c r="G730" s="545"/>
      <c r="H730" s="545"/>
      <c r="I730" s="344"/>
      <c r="J730" s="344"/>
      <c r="K730" s="344"/>
      <c r="L730" s="344"/>
      <c r="M730" s="344"/>
      <c r="N730" s="344"/>
      <c r="O730" s="344"/>
      <c r="P730" s="344"/>
      <c r="Q730" s="344"/>
      <c r="R730" s="344"/>
      <c r="S730" s="344"/>
      <c r="T730" s="344"/>
      <c r="U730" s="344"/>
      <c r="V730" s="344"/>
      <c r="W730" s="344"/>
      <c r="X730" s="344"/>
      <c r="Y730" s="344"/>
      <c r="Z730" s="344"/>
      <c r="AA730" s="344"/>
      <c r="AB730" s="344"/>
      <c r="AC730" s="344"/>
      <c r="AD730" s="344"/>
    </row>
    <row r="731">
      <c r="A731" s="344"/>
      <c r="B731" s="548"/>
      <c r="C731" s="548"/>
      <c r="D731" s="344"/>
      <c r="E731" s="344"/>
      <c r="F731" s="549"/>
      <c r="G731" s="545"/>
      <c r="H731" s="545"/>
      <c r="I731" s="344"/>
      <c r="J731" s="344"/>
      <c r="K731" s="344"/>
      <c r="L731" s="344"/>
      <c r="M731" s="344"/>
      <c r="N731" s="344"/>
      <c r="O731" s="344"/>
      <c r="P731" s="344"/>
      <c r="Q731" s="344"/>
      <c r="R731" s="344"/>
      <c r="S731" s="344"/>
      <c r="T731" s="344"/>
      <c r="U731" s="344"/>
      <c r="V731" s="344"/>
      <c r="W731" s="344"/>
      <c r="X731" s="344"/>
      <c r="Y731" s="344"/>
      <c r="Z731" s="344"/>
      <c r="AA731" s="344"/>
      <c r="AB731" s="344"/>
      <c r="AC731" s="344"/>
      <c r="AD731" s="344"/>
    </row>
    <row r="732">
      <c r="A732" s="344"/>
      <c r="B732" s="548"/>
      <c r="C732" s="548"/>
      <c r="D732" s="344"/>
      <c r="E732" s="344"/>
      <c r="F732" s="549"/>
      <c r="G732" s="545"/>
      <c r="H732" s="545"/>
      <c r="I732" s="344"/>
      <c r="J732" s="344"/>
      <c r="K732" s="344"/>
      <c r="L732" s="344"/>
      <c r="M732" s="344"/>
      <c r="N732" s="344"/>
      <c r="O732" s="344"/>
      <c r="P732" s="344"/>
      <c r="Q732" s="344"/>
      <c r="R732" s="344"/>
      <c r="S732" s="344"/>
      <c r="T732" s="344"/>
      <c r="U732" s="344"/>
      <c r="V732" s="344"/>
      <c r="W732" s="344"/>
      <c r="X732" s="344"/>
      <c r="Y732" s="344"/>
      <c r="Z732" s="344"/>
      <c r="AA732" s="344"/>
      <c r="AB732" s="344"/>
      <c r="AC732" s="344"/>
      <c r="AD732" s="344"/>
    </row>
    <row r="733">
      <c r="A733" s="344"/>
      <c r="B733" s="548"/>
      <c r="C733" s="548"/>
      <c r="D733" s="344"/>
      <c r="E733" s="344"/>
      <c r="F733" s="549"/>
      <c r="G733" s="545"/>
      <c r="H733" s="545"/>
      <c r="I733" s="344"/>
      <c r="J733" s="344"/>
      <c r="K733" s="344"/>
      <c r="L733" s="344"/>
      <c r="M733" s="344"/>
      <c r="N733" s="344"/>
      <c r="O733" s="344"/>
      <c r="P733" s="344"/>
      <c r="Q733" s="344"/>
      <c r="R733" s="344"/>
      <c r="S733" s="344"/>
      <c r="T733" s="344"/>
      <c r="U733" s="344"/>
      <c r="V733" s="344"/>
      <c r="W733" s="344"/>
      <c r="X733" s="344"/>
      <c r="Y733" s="344"/>
      <c r="Z733" s="344"/>
      <c r="AA733" s="344"/>
      <c r="AB733" s="344"/>
      <c r="AC733" s="344"/>
      <c r="AD733" s="344"/>
    </row>
    <row r="734">
      <c r="A734" s="344"/>
      <c r="B734" s="548"/>
      <c r="C734" s="548"/>
      <c r="D734" s="344"/>
      <c r="E734" s="344"/>
      <c r="F734" s="549"/>
      <c r="G734" s="545"/>
      <c r="H734" s="545"/>
      <c r="I734" s="344"/>
      <c r="J734" s="344"/>
      <c r="K734" s="344"/>
      <c r="L734" s="344"/>
      <c r="M734" s="344"/>
      <c r="N734" s="344"/>
      <c r="O734" s="344"/>
      <c r="P734" s="344"/>
      <c r="Q734" s="344"/>
      <c r="R734" s="344"/>
      <c r="S734" s="344"/>
      <c r="T734" s="344"/>
      <c r="U734" s="344"/>
      <c r="V734" s="344"/>
      <c r="W734" s="344"/>
      <c r="X734" s="344"/>
      <c r="Y734" s="344"/>
      <c r="Z734" s="344"/>
      <c r="AA734" s="344"/>
      <c r="AB734" s="344"/>
      <c r="AC734" s="344"/>
      <c r="AD734" s="344"/>
    </row>
    <row r="735">
      <c r="A735" s="344"/>
      <c r="B735" s="548"/>
      <c r="C735" s="548"/>
      <c r="D735" s="344"/>
      <c r="E735" s="344"/>
      <c r="F735" s="549"/>
      <c r="G735" s="545"/>
      <c r="H735" s="545"/>
      <c r="I735" s="344"/>
      <c r="J735" s="344"/>
      <c r="K735" s="344"/>
      <c r="L735" s="344"/>
      <c r="M735" s="344"/>
      <c r="N735" s="344"/>
      <c r="O735" s="344"/>
      <c r="P735" s="344"/>
      <c r="Q735" s="344"/>
      <c r="R735" s="344"/>
      <c r="S735" s="344"/>
      <c r="T735" s="344"/>
      <c r="U735" s="344"/>
      <c r="V735" s="344"/>
      <c r="W735" s="344"/>
      <c r="X735" s="344"/>
      <c r="Y735" s="344"/>
      <c r="Z735" s="344"/>
      <c r="AA735" s="344"/>
      <c r="AB735" s="344"/>
      <c r="AC735" s="344"/>
      <c r="AD735" s="344"/>
    </row>
    <row r="736">
      <c r="A736" s="344"/>
      <c r="B736" s="548"/>
      <c r="C736" s="548"/>
      <c r="D736" s="344"/>
      <c r="E736" s="344"/>
      <c r="F736" s="549"/>
      <c r="G736" s="545"/>
      <c r="H736" s="545"/>
      <c r="I736" s="344"/>
      <c r="J736" s="344"/>
      <c r="K736" s="344"/>
      <c r="L736" s="344"/>
      <c r="M736" s="344"/>
      <c r="N736" s="344"/>
      <c r="O736" s="344"/>
      <c r="P736" s="344"/>
      <c r="Q736" s="344"/>
      <c r="R736" s="344"/>
      <c r="S736" s="344"/>
      <c r="T736" s="344"/>
      <c r="U736" s="344"/>
      <c r="V736" s="344"/>
      <c r="W736" s="344"/>
      <c r="X736" s="344"/>
      <c r="Y736" s="344"/>
      <c r="Z736" s="344"/>
      <c r="AA736" s="344"/>
      <c r="AB736" s="344"/>
      <c r="AC736" s="344"/>
      <c r="AD736" s="344"/>
    </row>
    <row r="737">
      <c r="A737" s="344"/>
      <c r="B737" s="548"/>
      <c r="C737" s="548"/>
      <c r="D737" s="344"/>
      <c r="E737" s="344"/>
      <c r="F737" s="549"/>
      <c r="G737" s="545"/>
      <c r="H737" s="545"/>
      <c r="I737" s="344"/>
      <c r="J737" s="344"/>
      <c r="K737" s="344"/>
      <c r="L737" s="344"/>
      <c r="M737" s="344"/>
      <c r="N737" s="344"/>
      <c r="O737" s="344"/>
      <c r="P737" s="344"/>
      <c r="Q737" s="344"/>
      <c r="R737" s="344"/>
      <c r="S737" s="344"/>
      <c r="T737" s="344"/>
      <c r="U737" s="344"/>
      <c r="V737" s="344"/>
      <c r="W737" s="344"/>
      <c r="X737" s="344"/>
      <c r="Y737" s="344"/>
      <c r="Z737" s="344"/>
      <c r="AA737" s="344"/>
      <c r="AB737" s="344"/>
      <c r="AC737" s="344"/>
      <c r="AD737" s="344"/>
    </row>
    <row r="738">
      <c r="A738" s="344"/>
      <c r="B738" s="548"/>
      <c r="C738" s="548"/>
      <c r="D738" s="344"/>
      <c r="E738" s="344"/>
      <c r="F738" s="549"/>
      <c r="G738" s="545"/>
      <c r="H738" s="545"/>
      <c r="I738" s="344"/>
      <c r="J738" s="344"/>
      <c r="K738" s="344"/>
      <c r="L738" s="344"/>
      <c r="M738" s="344"/>
      <c r="N738" s="344"/>
      <c r="O738" s="344"/>
      <c r="P738" s="344"/>
      <c r="Q738" s="344"/>
      <c r="R738" s="344"/>
      <c r="S738" s="344"/>
      <c r="T738" s="344"/>
      <c r="U738" s="344"/>
      <c r="V738" s="344"/>
      <c r="W738" s="344"/>
      <c r="X738" s="344"/>
      <c r="Y738" s="344"/>
      <c r="Z738" s="344"/>
      <c r="AA738" s="344"/>
      <c r="AB738" s="344"/>
      <c r="AC738" s="344"/>
      <c r="AD738" s="344"/>
    </row>
    <row r="739">
      <c r="A739" s="344"/>
      <c r="B739" s="548"/>
      <c r="C739" s="548"/>
      <c r="D739" s="344"/>
      <c r="E739" s="344"/>
      <c r="F739" s="549"/>
      <c r="G739" s="545"/>
      <c r="H739" s="545"/>
      <c r="I739" s="344"/>
      <c r="J739" s="344"/>
      <c r="K739" s="344"/>
      <c r="L739" s="344"/>
      <c r="M739" s="344"/>
      <c r="N739" s="344"/>
      <c r="O739" s="344"/>
      <c r="P739" s="344"/>
      <c r="Q739" s="344"/>
      <c r="R739" s="344"/>
      <c r="S739" s="344"/>
      <c r="T739" s="344"/>
      <c r="U739" s="344"/>
      <c r="V739" s="344"/>
      <c r="W739" s="344"/>
      <c r="X739" s="344"/>
      <c r="Y739" s="344"/>
      <c r="Z739" s="344"/>
      <c r="AA739" s="344"/>
      <c r="AB739" s="344"/>
      <c r="AC739" s="344"/>
      <c r="AD739" s="344"/>
    </row>
    <row r="740">
      <c r="A740" s="344"/>
      <c r="B740" s="548"/>
      <c r="C740" s="548"/>
      <c r="D740" s="344"/>
      <c r="E740" s="344"/>
      <c r="F740" s="549"/>
      <c r="G740" s="545"/>
      <c r="H740" s="545"/>
      <c r="I740" s="344"/>
      <c r="J740" s="344"/>
      <c r="K740" s="344"/>
      <c r="L740" s="344"/>
      <c r="M740" s="344"/>
      <c r="N740" s="344"/>
      <c r="O740" s="344"/>
      <c r="P740" s="344"/>
      <c r="Q740" s="344"/>
      <c r="R740" s="344"/>
      <c r="S740" s="344"/>
      <c r="T740" s="344"/>
      <c r="U740" s="344"/>
      <c r="V740" s="344"/>
      <c r="W740" s="344"/>
      <c r="X740" s="344"/>
      <c r="Y740" s="344"/>
      <c r="Z740" s="344"/>
      <c r="AA740" s="344"/>
      <c r="AB740" s="344"/>
      <c r="AC740" s="344"/>
      <c r="AD740" s="344"/>
    </row>
    <row r="741">
      <c r="A741" s="344"/>
      <c r="B741" s="548"/>
      <c r="C741" s="548"/>
      <c r="D741" s="344"/>
      <c r="E741" s="344"/>
      <c r="F741" s="549"/>
      <c r="G741" s="545"/>
      <c r="H741" s="545"/>
      <c r="I741" s="344"/>
      <c r="J741" s="344"/>
      <c r="K741" s="344"/>
      <c r="L741" s="344"/>
      <c r="M741" s="344"/>
      <c r="N741" s="344"/>
      <c r="O741" s="344"/>
      <c r="P741" s="344"/>
      <c r="Q741" s="344"/>
      <c r="R741" s="344"/>
      <c r="S741" s="344"/>
      <c r="T741" s="344"/>
      <c r="U741" s="344"/>
      <c r="V741" s="344"/>
      <c r="W741" s="344"/>
      <c r="X741" s="344"/>
      <c r="Y741" s="344"/>
      <c r="Z741" s="344"/>
      <c r="AA741" s="344"/>
      <c r="AB741" s="344"/>
      <c r="AC741" s="344"/>
      <c r="AD741" s="344"/>
    </row>
    <row r="742">
      <c r="A742" s="344"/>
      <c r="B742" s="548"/>
      <c r="C742" s="548"/>
      <c r="D742" s="344"/>
      <c r="E742" s="344"/>
      <c r="F742" s="549"/>
      <c r="G742" s="545"/>
      <c r="H742" s="545"/>
      <c r="I742" s="344"/>
      <c r="J742" s="344"/>
      <c r="K742" s="344"/>
      <c r="L742" s="344"/>
      <c r="M742" s="344"/>
      <c r="N742" s="344"/>
      <c r="O742" s="344"/>
      <c r="P742" s="344"/>
      <c r="Q742" s="344"/>
      <c r="R742" s="344"/>
      <c r="S742" s="344"/>
      <c r="T742" s="344"/>
      <c r="U742" s="344"/>
      <c r="V742" s="344"/>
      <c r="W742" s="344"/>
      <c r="X742" s="344"/>
      <c r="Y742" s="344"/>
      <c r="Z742" s="344"/>
      <c r="AA742" s="344"/>
      <c r="AB742" s="344"/>
      <c r="AC742" s="344"/>
      <c r="AD742" s="344"/>
    </row>
    <row r="743">
      <c r="A743" s="344"/>
      <c r="B743" s="548"/>
      <c r="C743" s="548"/>
      <c r="D743" s="344"/>
      <c r="E743" s="344"/>
      <c r="F743" s="549"/>
      <c r="G743" s="545"/>
      <c r="H743" s="545"/>
      <c r="I743" s="344"/>
      <c r="J743" s="344"/>
      <c r="K743" s="344"/>
      <c r="L743" s="344"/>
      <c r="M743" s="344"/>
      <c r="N743" s="344"/>
      <c r="O743" s="344"/>
      <c r="P743" s="344"/>
      <c r="Q743" s="344"/>
      <c r="R743" s="344"/>
      <c r="S743" s="344"/>
      <c r="T743" s="344"/>
      <c r="U743" s="344"/>
      <c r="V743" s="344"/>
      <c r="W743" s="344"/>
      <c r="X743" s="344"/>
      <c r="Y743" s="344"/>
      <c r="Z743" s="344"/>
      <c r="AA743" s="344"/>
      <c r="AB743" s="344"/>
      <c r="AC743" s="344"/>
      <c r="AD743" s="344"/>
    </row>
    <row r="744">
      <c r="A744" s="344"/>
      <c r="B744" s="548"/>
      <c r="C744" s="548"/>
      <c r="D744" s="344"/>
      <c r="E744" s="344"/>
      <c r="F744" s="549"/>
      <c r="G744" s="545"/>
      <c r="H744" s="545"/>
      <c r="I744" s="344"/>
      <c r="J744" s="344"/>
      <c r="K744" s="344"/>
      <c r="L744" s="344"/>
      <c r="M744" s="344"/>
      <c r="N744" s="344"/>
      <c r="O744" s="344"/>
      <c r="P744" s="344"/>
      <c r="Q744" s="344"/>
      <c r="R744" s="344"/>
      <c r="S744" s="344"/>
      <c r="T744" s="344"/>
      <c r="U744" s="344"/>
      <c r="V744" s="344"/>
      <c r="W744" s="344"/>
      <c r="X744" s="344"/>
      <c r="Y744" s="344"/>
      <c r="Z744" s="344"/>
      <c r="AA744" s="344"/>
      <c r="AB744" s="344"/>
      <c r="AC744" s="344"/>
      <c r="AD744" s="344"/>
    </row>
    <row r="745">
      <c r="A745" s="344"/>
      <c r="B745" s="548"/>
      <c r="C745" s="548"/>
      <c r="D745" s="344"/>
      <c r="E745" s="344"/>
      <c r="F745" s="549"/>
      <c r="G745" s="545"/>
      <c r="H745" s="545"/>
      <c r="I745" s="344"/>
      <c r="J745" s="344"/>
      <c r="K745" s="344"/>
      <c r="L745" s="344"/>
      <c r="M745" s="344"/>
      <c r="N745" s="344"/>
      <c r="O745" s="344"/>
      <c r="P745" s="344"/>
      <c r="Q745" s="344"/>
      <c r="R745" s="344"/>
      <c r="S745" s="344"/>
      <c r="T745" s="344"/>
      <c r="U745" s="344"/>
      <c r="V745" s="344"/>
      <c r="W745" s="344"/>
      <c r="X745" s="344"/>
      <c r="Y745" s="344"/>
      <c r="Z745" s="344"/>
      <c r="AA745" s="344"/>
      <c r="AB745" s="344"/>
      <c r="AC745" s="344"/>
      <c r="AD745" s="344"/>
    </row>
    <row r="746">
      <c r="A746" s="344"/>
      <c r="B746" s="548"/>
      <c r="C746" s="548"/>
      <c r="D746" s="344"/>
      <c r="E746" s="344"/>
      <c r="F746" s="549"/>
      <c r="G746" s="545"/>
      <c r="H746" s="545"/>
      <c r="I746" s="344"/>
      <c r="J746" s="344"/>
      <c r="K746" s="344"/>
      <c r="L746" s="344"/>
      <c r="M746" s="344"/>
      <c r="N746" s="344"/>
      <c r="O746" s="344"/>
      <c r="P746" s="344"/>
      <c r="Q746" s="344"/>
      <c r="R746" s="344"/>
      <c r="S746" s="344"/>
      <c r="T746" s="344"/>
      <c r="U746" s="344"/>
      <c r="V746" s="344"/>
      <c r="W746" s="344"/>
      <c r="X746" s="344"/>
      <c r="Y746" s="344"/>
      <c r="Z746" s="344"/>
      <c r="AA746" s="344"/>
      <c r="AB746" s="344"/>
      <c r="AC746" s="344"/>
      <c r="AD746" s="344"/>
    </row>
    <row r="747">
      <c r="A747" s="344"/>
      <c r="B747" s="548"/>
      <c r="C747" s="548"/>
      <c r="D747" s="344"/>
      <c r="E747" s="344"/>
      <c r="F747" s="549"/>
      <c r="G747" s="545"/>
      <c r="H747" s="545"/>
      <c r="I747" s="344"/>
      <c r="J747" s="344"/>
      <c r="K747" s="344"/>
      <c r="L747" s="344"/>
      <c r="M747" s="344"/>
      <c r="N747" s="344"/>
      <c r="O747" s="344"/>
      <c r="P747" s="344"/>
      <c r="Q747" s="344"/>
      <c r="R747" s="344"/>
      <c r="S747" s="344"/>
      <c r="T747" s="344"/>
      <c r="U747" s="344"/>
      <c r="V747" s="344"/>
      <c r="W747" s="344"/>
      <c r="X747" s="344"/>
      <c r="Y747" s="344"/>
      <c r="Z747" s="344"/>
      <c r="AA747" s="344"/>
      <c r="AB747" s="344"/>
      <c r="AC747" s="344"/>
      <c r="AD747" s="344"/>
    </row>
    <row r="748">
      <c r="A748" s="344"/>
      <c r="B748" s="548"/>
      <c r="C748" s="548"/>
      <c r="D748" s="344"/>
      <c r="E748" s="344"/>
      <c r="F748" s="549"/>
      <c r="G748" s="545"/>
      <c r="H748" s="545"/>
      <c r="I748" s="344"/>
      <c r="J748" s="344"/>
      <c r="K748" s="344"/>
      <c r="L748" s="344"/>
      <c r="M748" s="344"/>
      <c r="N748" s="344"/>
      <c r="O748" s="344"/>
      <c r="P748" s="344"/>
      <c r="Q748" s="344"/>
      <c r="R748" s="344"/>
      <c r="S748" s="344"/>
      <c r="T748" s="344"/>
      <c r="U748" s="344"/>
      <c r="V748" s="344"/>
      <c r="W748" s="344"/>
      <c r="X748" s="344"/>
      <c r="Y748" s="344"/>
      <c r="Z748" s="344"/>
      <c r="AA748" s="344"/>
      <c r="AB748" s="344"/>
      <c r="AC748" s="344"/>
      <c r="AD748" s="344"/>
    </row>
    <row r="749">
      <c r="A749" s="344"/>
      <c r="B749" s="548"/>
      <c r="C749" s="548"/>
      <c r="D749" s="344"/>
      <c r="E749" s="344"/>
      <c r="F749" s="549"/>
      <c r="G749" s="545"/>
      <c r="H749" s="545"/>
      <c r="I749" s="344"/>
      <c r="J749" s="344"/>
      <c r="K749" s="344"/>
      <c r="L749" s="344"/>
      <c r="M749" s="344"/>
      <c r="N749" s="344"/>
      <c r="O749" s="344"/>
      <c r="P749" s="344"/>
      <c r="Q749" s="344"/>
      <c r="R749" s="344"/>
      <c r="S749" s="344"/>
      <c r="T749" s="344"/>
      <c r="U749" s="344"/>
      <c r="V749" s="344"/>
      <c r="W749" s="344"/>
      <c r="X749" s="344"/>
      <c r="Y749" s="344"/>
      <c r="Z749" s="344"/>
      <c r="AA749" s="344"/>
      <c r="AB749" s="344"/>
      <c r="AC749" s="344"/>
      <c r="AD749" s="344"/>
    </row>
    <row r="750">
      <c r="A750" s="344"/>
      <c r="B750" s="548"/>
      <c r="C750" s="548"/>
      <c r="D750" s="344"/>
      <c r="E750" s="344"/>
      <c r="F750" s="549"/>
      <c r="G750" s="545"/>
      <c r="H750" s="545"/>
      <c r="I750" s="344"/>
      <c r="J750" s="344"/>
      <c r="K750" s="344"/>
      <c r="L750" s="344"/>
      <c r="M750" s="344"/>
      <c r="N750" s="344"/>
      <c r="O750" s="344"/>
      <c r="P750" s="344"/>
      <c r="Q750" s="344"/>
      <c r="R750" s="344"/>
      <c r="S750" s="344"/>
      <c r="T750" s="344"/>
      <c r="U750" s="344"/>
      <c r="V750" s="344"/>
      <c r="W750" s="344"/>
      <c r="X750" s="344"/>
      <c r="Y750" s="344"/>
      <c r="Z750" s="344"/>
      <c r="AA750" s="344"/>
      <c r="AB750" s="344"/>
      <c r="AC750" s="344"/>
      <c r="AD750" s="344"/>
    </row>
    <row r="751">
      <c r="A751" s="344"/>
      <c r="B751" s="548"/>
      <c r="C751" s="548"/>
      <c r="D751" s="344"/>
      <c r="E751" s="344"/>
      <c r="F751" s="549"/>
      <c r="G751" s="545"/>
      <c r="H751" s="545"/>
      <c r="I751" s="344"/>
      <c r="J751" s="344"/>
      <c r="K751" s="344"/>
      <c r="L751" s="344"/>
      <c r="M751" s="344"/>
      <c r="N751" s="344"/>
      <c r="O751" s="344"/>
      <c r="P751" s="344"/>
      <c r="Q751" s="344"/>
      <c r="R751" s="344"/>
      <c r="S751" s="344"/>
      <c r="T751" s="344"/>
      <c r="U751" s="344"/>
      <c r="V751" s="344"/>
      <c r="W751" s="344"/>
      <c r="X751" s="344"/>
      <c r="Y751" s="344"/>
      <c r="Z751" s="344"/>
      <c r="AA751" s="344"/>
      <c r="AB751" s="344"/>
      <c r="AC751" s="344"/>
      <c r="AD751" s="344"/>
    </row>
    <row r="752">
      <c r="A752" s="344"/>
      <c r="B752" s="548"/>
      <c r="C752" s="548"/>
      <c r="D752" s="344"/>
      <c r="E752" s="344"/>
      <c r="F752" s="549"/>
      <c r="G752" s="545"/>
      <c r="H752" s="545"/>
      <c r="I752" s="344"/>
      <c r="J752" s="344"/>
      <c r="K752" s="344"/>
      <c r="L752" s="344"/>
      <c r="M752" s="344"/>
      <c r="N752" s="344"/>
      <c r="O752" s="344"/>
      <c r="P752" s="344"/>
      <c r="Q752" s="344"/>
      <c r="R752" s="344"/>
      <c r="S752" s="344"/>
      <c r="T752" s="344"/>
      <c r="U752" s="344"/>
      <c r="V752" s="344"/>
      <c r="W752" s="344"/>
      <c r="X752" s="344"/>
      <c r="Y752" s="344"/>
      <c r="Z752" s="344"/>
      <c r="AA752" s="344"/>
      <c r="AB752" s="344"/>
      <c r="AC752" s="344"/>
      <c r="AD752" s="344"/>
    </row>
    <row r="753">
      <c r="A753" s="344"/>
      <c r="B753" s="548"/>
      <c r="C753" s="548"/>
      <c r="D753" s="344"/>
      <c r="E753" s="344"/>
      <c r="F753" s="549"/>
      <c r="G753" s="545"/>
      <c r="H753" s="545"/>
      <c r="I753" s="344"/>
      <c r="J753" s="344"/>
      <c r="K753" s="344"/>
      <c r="L753" s="344"/>
      <c r="M753" s="344"/>
      <c r="N753" s="344"/>
      <c r="O753" s="344"/>
      <c r="P753" s="344"/>
      <c r="Q753" s="344"/>
      <c r="R753" s="344"/>
      <c r="S753" s="344"/>
      <c r="T753" s="344"/>
      <c r="U753" s="344"/>
      <c r="V753" s="344"/>
      <c r="W753" s="344"/>
      <c r="X753" s="344"/>
      <c r="Y753" s="344"/>
      <c r="Z753" s="344"/>
      <c r="AA753" s="344"/>
      <c r="AB753" s="344"/>
      <c r="AC753" s="344"/>
      <c r="AD753" s="344"/>
    </row>
    <row r="754">
      <c r="A754" s="344"/>
      <c r="B754" s="548"/>
      <c r="C754" s="548"/>
      <c r="D754" s="344"/>
      <c r="E754" s="344"/>
      <c r="F754" s="549"/>
      <c r="G754" s="545"/>
      <c r="H754" s="545"/>
      <c r="I754" s="344"/>
      <c r="J754" s="344"/>
      <c r="K754" s="344"/>
      <c r="L754" s="344"/>
      <c r="M754" s="344"/>
      <c r="N754" s="344"/>
      <c r="O754" s="344"/>
      <c r="P754" s="344"/>
      <c r="Q754" s="344"/>
      <c r="R754" s="344"/>
      <c r="S754" s="344"/>
      <c r="T754" s="344"/>
      <c r="U754" s="344"/>
      <c r="V754" s="344"/>
      <c r="W754" s="344"/>
      <c r="X754" s="344"/>
      <c r="Y754" s="344"/>
      <c r="Z754" s="344"/>
      <c r="AA754" s="344"/>
      <c r="AB754" s="344"/>
      <c r="AC754" s="344"/>
      <c r="AD754" s="344"/>
    </row>
    <row r="755">
      <c r="A755" s="344"/>
      <c r="B755" s="548"/>
      <c r="C755" s="548"/>
      <c r="D755" s="344"/>
      <c r="E755" s="344"/>
      <c r="F755" s="549"/>
      <c r="G755" s="545"/>
      <c r="H755" s="545"/>
      <c r="I755" s="344"/>
      <c r="J755" s="344"/>
      <c r="K755" s="344"/>
      <c r="L755" s="344"/>
      <c r="M755" s="344"/>
      <c r="N755" s="344"/>
      <c r="O755" s="344"/>
      <c r="P755" s="344"/>
      <c r="Q755" s="344"/>
      <c r="R755" s="344"/>
      <c r="S755" s="344"/>
      <c r="T755" s="344"/>
      <c r="U755" s="344"/>
      <c r="V755" s="344"/>
      <c r="W755" s="344"/>
      <c r="X755" s="344"/>
      <c r="Y755" s="344"/>
      <c r="Z755" s="344"/>
      <c r="AA755" s="344"/>
      <c r="AB755" s="344"/>
      <c r="AC755" s="344"/>
      <c r="AD755" s="344"/>
    </row>
    <row r="756">
      <c r="A756" s="344"/>
      <c r="B756" s="548"/>
      <c r="C756" s="548"/>
      <c r="D756" s="344"/>
      <c r="E756" s="344"/>
      <c r="F756" s="549"/>
      <c r="G756" s="545"/>
      <c r="H756" s="545"/>
      <c r="I756" s="344"/>
      <c r="J756" s="344"/>
      <c r="K756" s="344"/>
      <c r="L756" s="344"/>
      <c r="M756" s="344"/>
      <c r="N756" s="344"/>
      <c r="O756" s="344"/>
      <c r="P756" s="344"/>
      <c r="Q756" s="344"/>
      <c r="R756" s="344"/>
      <c r="S756" s="344"/>
      <c r="T756" s="344"/>
      <c r="U756" s="344"/>
      <c r="V756" s="344"/>
      <c r="W756" s="344"/>
      <c r="X756" s="344"/>
      <c r="Y756" s="344"/>
      <c r="Z756" s="344"/>
      <c r="AA756" s="344"/>
      <c r="AB756" s="344"/>
      <c r="AC756" s="344"/>
      <c r="AD756" s="344"/>
    </row>
    <row r="757">
      <c r="A757" s="344"/>
      <c r="B757" s="548"/>
      <c r="C757" s="548"/>
      <c r="D757" s="344"/>
      <c r="E757" s="344"/>
      <c r="F757" s="549"/>
      <c r="G757" s="545"/>
      <c r="H757" s="545"/>
      <c r="I757" s="344"/>
      <c r="J757" s="344"/>
      <c r="K757" s="344"/>
      <c r="L757" s="344"/>
      <c r="M757" s="344"/>
      <c r="N757" s="344"/>
      <c r="O757" s="344"/>
      <c r="P757" s="344"/>
      <c r="Q757" s="344"/>
      <c r="R757" s="344"/>
      <c r="S757" s="344"/>
      <c r="T757" s="344"/>
      <c r="U757" s="344"/>
      <c r="V757" s="344"/>
      <c r="W757" s="344"/>
      <c r="X757" s="344"/>
      <c r="Y757" s="344"/>
      <c r="Z757" s="344"/>
      <c r="AA757" s="344"/>
      <c r="AB757" s="344"/>
      <c r="AC757" s="344"/>
      <c r="AD757" s="344"/>
    </row>
    <row r="758">
      <c r="A758" s="344"/>
      <c r="B758" s="548"/>
      <c r="C758" s="548"/>
      <c r="D758" s="344"/>
      <c r="E758" s="344"/>
      <c r="F758" s="549"/>
      <c r="G758" s="545"/>
      <c r="H758" s="545"/>
      <c r="I758" s="344"/>
      <c r="J758" s="344"/>
      <c r="K758" s="344"/>
      <c r="L758" s="344"/>
      <c r="M758" s="344"/>
      <c r="N758" s="344"/>
      <c r="O758" s="344"/>
      <c r="P758" s="344"/>
      <c r="Q758" s="344"/>
      <c r="R758" s="344"/>
      <c r="S758" s="344"/>
      <c r="T758" s="344"/>
      <c r="U758" s="344"/>
      <c r="V758" s="344"/>
      <c r="W758" s="344"/>
      <c r="X758" s="344"/>
      <c r="Y758" s="344"/>
      <c r="Z758" s="344"/>
      <c r="AA758" s="344"/>
      <c r="AB758" s="344"/>
      <c r="AC758" s="344"/>
      <c r="AD758" s="344"/>
    </row>
    <row r="759">
      <c r="A759" s="344"/>
      <c r="B759" s="548"/>
      <c r="C759" s="548"/>
      <c r="D759" s="344"/>
      <c r="E759" s="344"/>
      <c r="F759" s="549"/>
      <c r="G759" s="545"/>
      <c r="H759" s="545"/>
      <c r="I759" s="344"/>
      <c r="J759" s="344"/>
      <c r="K759" s="344"/>
      <c r="L759" s="344"/>
      <c r="M759" s="344"/>
      <c r="N759" s="344"/>
      <c r="O759" s="344"/>
      <c r="P759" s="344"/>
      <c r="Q759" s="344"/>
      <c r="R759" s="344"/>
      <c r="S759" s="344"/>
      <c r="T759" s="344"/>
      <c r="U759" s="344"/>
      <c r="V759" s="344"/>
      <c r="W759" s="344"/>
      <c r="X759" s="344"/>
      <c r="Y759" s="344"/>
      <c r="Z759" s="344"/>
      <c r="AA759" s="344"/>
      <c r="AB759" s="344"/>
      <c r="AC759" s="344"/>
      <c r="AD759" s="344"/>
    </row>
    <row r="760">
      <c r="A760" s="344"/>
      <c r="B760" s="548"/>
      <c r="C760" s="548"/>
      <c r="D760" s="344"/>
      <c r="E760" s="344"/>
      <c r="F760" s="549"/>
      <c r="G760" s="545"/>
      <c r="H760" s="545"/>
      <c r="I760" s="344"/>
      <c r="J760" s="344"/>
      <c r="K760" s="344"/>
      <c r="L760" s="344"/>
      <c r="M760" s="344"/>
      <c r="N760" s="344"/>
      <c r="O760" s="344"/>
      <c r="P760" s="344"/>
      <c r="Q760" s="344"/>
      <c r="R760" s="344"/>
      <c r="S760" s="344"/>
      <c r="T760" s="344"/>
      <c r="U760" s="344"/>
      <c r="V760" s="344"/>
      <c r="W760" s="344"/>
      <c r="X760" s="344"/>
      <c r="Y760" s="344"/>
      <c r="Z760" s="344"/>
      <c r="AA760" s="344"/>
      <c r="AB760" s="344"/>
      <c r="AC760" s="344"/>
      <c r="AD760" s="344"/>
    </row>
    <row r="761">
      <c r="A761" s="344"/>
      <c r="B761" s="548"/>
      <c r="C761" s="548"/>
      <c r="D761" s="344"/>
      <c r="E761" s="344"/>
      <c r="F761" s="549"/>
      <c r="G761" s="545"/>
      <c r="H761" s="545"/>
      <c r="I761" s="344"/>
      <c r="J761" s="344"/>
      <c r="K761" s="344"/>
      <c r="L761" s="344"/>
      <c r="M761" s="344"/>
      <c r="N761" s="344"/>
      <c r="O761" s="344"/>
      <c r="P761" s="344"/>
      <c r="Q761" s="344"/>
      <c r="R761" s="344"/>
      <c r="S761" s="344"/>
      <c r="T761" s="344"/>
      <c r="U761" s="344"/>
      <c r="V761" s="344"/>
      <c r="W761" s="344"/>
      <c r="X761" s="344"/>
      <c r="Y761" s="344"/>
      <c r="Z761" s="344"/>
      <c r="AA761" s="344"/>
      <c r="AB761" s="344"/>
      <c r="AC761" s="344"/>
      <c r="AD761" s="344"/>
    </row>
    <row r="762">
      <c r="A762" s="344"/>
      <c r="B762" s="548"/>
      <c r="C762" s="548"/>
      <c r="D762" s="344"/>
      <c r="E762" s="344"/>
      <c r="F762" s="549"/>
      <c r="G762" s="545"/>
      <c r="H762" s="545"/>
      <c r="I762" s="344"/>
      <c r="J762" s="344"/>
      <c r="K762" s="344"/>
      <c r="L762" s="344"/>
      <c r="M762" s="344"/>
      <c r="N762" s="344"/>
      <c r="O762" s="344"/>
      <c r="P762" s="344"/>
      <c r="Q762" s="344"/>
      <c r="R762" s="344"/>
      <c r="S762" s="344"/>
      <c r="T762" s="344"/>
      <c r="U762" s="344"/>
      <c r="V762" s="344"/>
      <c r="W762" s="344"/>
      <c r="X762" s="344"/>
      <c r="Y762" s="344"/>
      <c r="Z762" s="344"/>
      <c r="AA762" s="344"/>
      <c r="AB762" s="344"/>
      <c r="AC762" s="344"/>
      <c r="AD762" s="344"/>
    </row>
    <row r="763">
      <c r="A763" s="344"/>
      <c r="B763" s="548"/>
      <c r="C763" s="548"/>
      <c r="D763" s="344"/>
      <c r="E763" s="344"/>
      <c r="F763" s="549"/>
      <c r="G763" s="545"/>
      <c r="H763" s="545"/>
      <c r="I763" s="344"/>
      <c r="J763" s="344"/>
      <c r="K763" s="344"/>
      <c r="L763" s="344"/>
      <c r="M763" s="344"/>
      <c r="N763" s="344"/>
      <c r="O763" s="344"/>
      <c r="P763" s="344"/>
      <c r="Q763" s="344"/>
      <c r="R763" s="344"/>
      <c r="S763" s="344"/>
      <c r="T763" s="344"/>
      <c r="U763" s="344"/>
      <c r="V763" s="344"/>
      <c r="W763" s="344"/>
      <c r="X763" s="344"/>
      <c r="Y763" s="344"/>
      <c r="Z763" s="344"/>
      <c r="AA763" s="344"/>
      <c r="AB763" s="344"/>
      <c r="AC763" s="344"/>
      <c r="AD763" s="344"/>
    </row>
    <row r="764">
      <c r="A764" s="344"/>
      <c r="B764" s="548"/>
      <c r="C764" s="548"/>
      <c r="D764" s="344"/>
      <c r="E764" s="344"/>
      <c r="F764" s="549"/>
      <c r="G764" s="545"/>
      <c r="H764" s="545"/>
      <c r="I764" s="344"/>
      <c r="J764" s="344"/>
      <c r="K764" s="344"/>
      <c r="L764" s="344"/>
      <c r="M764" s="344"/>
      <c r="N764" s="344"/>
      <c r="O764" s="344"/>
      <c r="P764" s="344"/>
      <c r="Q764" s="344"/>
      <c r="R764" s="344"/>
      <c r="S764" s="344"/>
      <c r="T764" s="344"/>
      <c r="U764" s="344"/>
      <c r="V764" s="344"/>
      <c r="W764" s="344"/>
      <c r="X764" s="344"/>
      <c r="Y764" s="344"/>
      <c r="Z764" s="344"/>
      <c r="AA764" s="344"/>
      <c r="AB764" s="344"/>
      <c r="AC764" s="344"/>
      <c r="AD764" s="344"/>
    </row>
    <row r="765">
      <c r="A765" s="344"/>
      <c r="B765" s="548"/>
      <c r="C765" s="548"/>
      <c r="D765" s="344"/>
      <c r="E765" s="344"/>
      <c r="F765" s="549"/>
      <c r="G765" s="545"/>
      <c r="H765" s="545"/>
      <c r="I765" s="344"/>
      <c r="J765" s="344"/>
      <c r="K765" s="344"/>
      <c r="L765" s="344"/>
      <c r="M765" s="344"/>
      <c r="N765" s="344"/>
      <c r="O765" s="344"/>
      <c r="P765" s="344"/>
      <c r="Q765" s="344"/>
      <c r="R765" s="344"/>
      <c r="S765" s="344"/>
      <c r="T765" s="344"/>
      <c r="U765" s="344"/>
      <c r="V765" s="344"/>
      <c r="W765" s="344"/>
      <c r="X765" s="344"/>
      <c r="Y765" s="344"/>
      <c r="Z765" s="344"/>
      <c r="AA765" s="344"/>
      <c r="AB765" s="344"/>
      <c r="AC765" s="344"/>
      <c r="AD765" s="344"/>
    </row>
    <row r="766">
      <c r="A766" s="344"/>
      <c r="B766" s="548"/>
      <c r="C766" s="548"/>
      <c r="D766" s="344"/>
      <c r="E766" s="344"/>
      <c r="F766" s="549"/>
      <c r="G766" s="545"/>
      <c r="H766" s="545"/>
      <c r="I766" s="344"/>
      <c r="J766" s="344"/>
      <c r="K766" s="344"/>
      <c r="L766" s="344"/>
      <c r="M766" s="344"/>
      <c r="N766" s="344"/>
      <c r="O766" s="344"/>
      <c r="P766" s="344"/>
      <c r="Q766" s="344"/>
      <c r="R766" s="344"/>
      <c r="S766" s="344"/>
      <c r="T766" s="344"/>
      <c r="U766" s="344"/>
      <c r="V766" s="344"/>
      <c r="W766" s="344"/>
      <c r="X766" s="344"/>
      <c r="Y766" s="344"/>
      <c r="Z766" s="344"/>
      <c r="AA766" s="344"/>
      <c r="AB766" s="344"/>
      <c r="AC766" s="344"/>
      <c r="AD766" s="344"/>
    </row>
    <row r="767">
      <c r="A767" s="344"/>
      <c r="B767" s="548"/>
      <c r="C767" s="548"/>
      <c r="D767" s="344"/>
      <c r="E767" s="344"/>
      <c r="F767" s="549"/>
      <c r="G767" s="545"/>
      <c r="H767" s="545"/>
      <c r="I767" s="344"/>
      <c r="J767" s="344"/>
      <c r="K767" s="344"/>
      <c r="L767" s="344"/>
      <c r="M767" s="344"/>
      <c r="N767" s="344"/>
      <c r="O767" s="344"/>
      <c r="P767" s="344"/>
      <c r="Q767" s="344"/>
      <c r="R767" s="344"/>
      <c r="S767" s="344"/>
      <c r="T767" s="344"/>
      <c r="U767" s="344"/>
      <c r="V767" s="344"/>
      <c r="W767" s="344"/>
      <c r="X767" s="344"/>
      <c r="Y767" s="344"/>
      <c r="Z767" s="344"/>
      <c r="AA767" s="344"/>
      <c r="AB767" s="344"/>
      <c r="AC767" s="344"/>
      <c r="AD767" s="344"/>
    </row>
    <row r="768">
      <c r="A768" s="344"/>
      <c r="B768" s="548"/>
      <c r="C768" s="548"/>
      <c r="D768" s="344"/>
      <c r="E768" s="344"/>
      <c r="F768" s="549"/>
      <c r="G768" s="545"/>
      <c r="H768" s="545"/>
      <c r="I768" s="344"/>
      <c r="J768" s="344"/>
      <c r="K768" s="344"/>
      <c r="L768" s="344"/>
      <c r="M768" s="344"/>
      <c r="N768" s="344"/>
      <c r="O768" s="344"/>
      <c r="P768" s="344"/>
      <c r="Q768" s="344"/>
      <c r="R768" s="344"/>
      <c r="S768" s="344"/>
      <c r="T768" s="344"/>
      <c r="U768" s="344"/>
      <c r="V768" s="344"/>
      <c r="W768" s="344"/>
      <c r="X768" s="344"/>
      <c r="Y768" s="344"/>
      <c r="Z768" s="344"/>
      <c r="AA768" s="344"/>
      <c r="AB768" s="344"/>
      <c r="AC768" s="344"/>
      <c r="AD768" s="344"/>
    </row>
    <row r="769">
      <c r="A769" s="344"/>
      <c r="B769" s="548"/>
      <c r="C769" s="548"/>
      <c r="D769" s="344"/>
      <c r="E769" s="344"/>
      <c r="F769" s="549"/>
      <c r="G769" s="545"/>
      <c r="H769" s="545"/>
      <c r="I769" s="344"/>
      <c r="J769" s="344"/>
      <c r="K769" s="344"/>
      <c r="L769" s="344"/>
      <c r="M769" s="344"/>
      <c r="N769" s="344"/>
      <c r="O769" s="344"/>
      <c r="P769" s="344"/>
      <c r="Q769" s="344"/>
      <c r="R769" s="344"/>
      <c r="S769" s="344"/>
      <c r="T769" s="344"/>
      <c r="U769" s="344"/>
      <c r="V769" s="344"/>
      <c r="W769" s="344"/>
      <c r="X769" s="344"/>
      <c r="Y769" s="344"/>
      <c r="Z769" s="344"/>
      <c r="AA769" s="344"/>
      <c r="AB769" s="344"/>
      <c r="AC769" s="344"/>
      <c r="AD769" s="344"/>
    </row>
    <row r="770">
      <c r="A770" s="344"/>
      <c r="B770" s="548"/>
      <c r="C770" s="548"/>
      <c r="D770" s="344"/>
      <c r="E770" s="344"/>
      <c r="F770" s="549"/>
      <c r="G770" s="545"/>
      <c r="H770" s="545"/>
      <c r="I770" s="344"/>
      <c r="J770" s="344"/>
      <c r="K770" s="344"/>
      <c r="L770" s="344"/>
      <c r="M770" s="344"/>
      <c r="N770" s="344"/>
      <c r="O770" s="344"/>
      <c r="P770" s="344"/>
      <c r="Q770" s="344"/>
      <c r="R770" s="344"/>
      <c r="S770" s="344"/>
      <c r="T770" s="344"/>
      <c r="U770" s="344"/>
      <c r="V770" s="344"/>
      <c r="W770" s="344"/>
      <c r="X770" s="344"/>
      <c r="Y770" s="344"/>
      <c r="Z770" s="344"/>
      <c r="AA770" s="344"/>
      <c r="AB770" s="344"/>
      <c r="AC770" s="344"/>
      <c r="AD770" s="344"/>
    </row>
    <row r="771">
      <c r="A771" s="344"/>
      <c r="B771" s="548"/>
      <c r="C771" s="548"/>
      <c r="D771" s="344"/>
      <c r="E771" s="344"/>
      <c r="F771" s="549"/>
      <c r="G771" s="545"/>
      <c r="H771" s="545"/>
      <c r="I771" s="344"/>
      <c r="J771" s="344"/>
      <c r="K771" s="344"/>
      <c r="L771" s="344"/>
      <c r="M771" s="344"/>
      <c r="N771" s="344"/>
      <c r="O771" s="344"/>
      <c r="P771" s="344"/>
      <c r="Q771" s="344"/>
      <c r="R771" s="344"/>
      <c r="S771" s="344"/>
      <c r="T771" s="344"/>
      <c r="U771" s="344"/>
      <c r="V771" s="344"/>
      <c r="W771" s="344"/>
      <c r="X771" s="344"/>
      <c r="Y771" s="344"/>
      <c r="Z771" s="344"/>
      <c r="AA771" s="344"/>
      <c r="AB771" s="344"/>
      <c r="AC771" s="344"/>
      <c r="AD771" s="344"/>
    </row>
    <row r="772">
      <c r="A772" s="344"/>
      <c r="B772" s="548"/>
      <c r="C772" s="548"/>
      <c r="D772" s="344"/>
      <c r="E772" s="344"/>
      <c r="F772" s="549"/>
      <c r="G772" s="545"/>
      <c r="H772" s="545"/>
      <c r="I772" s="344"/>
      <c r="J772" s="344"/>
      <c r="K772" s="344"/>
      <c r="L772" s="344"/>
      <c r="M772" s="344"/>
      <c r="N772" s="344"/>
      <c r="O772" s="344"/>
      <c r="P772" s="344"/>
      <c r="Q772" s="344"/>
      <c r="R772" s="344"/>
      <c r="S772" s="344"/>
      <c r="T772" s="344"/>
      <c r="U772" s="344"/>
      <c r="V772" s="344"/>
      <c r="W772" s="344"/>
      <c r="X772" s="344"/>
      <c r="Y772" s="344"/>
      <c r="Z772" s="344"/>
      <c r="AA772" s="344"/>
      <c r="AB772" s="344"/>
      <c r="AC772" s="344"/>
      <c r="AD772" s="344"/>
    </row>
    <row r="773">
      <c r="A773" s="344"/>
      <c r="B773" s="548"/>
      <c r="C773" s="548"/>
      <c r="D773" s="344"/>
      <c r="E773" s="344"/>
      <c r="F773" s="549"/>
      <c r="G773" s="545"/>
      <c r="H773" s="545"/>
      <c r="I773" s="344"/>
      <c r="J773" s="344"/>
      <c r="K773" s="344"/>
      <c r="L773" s="344"/>
      <c r="M773" s="344"/>
      <c r="N773" s="344"/>
      <c r="O773" s="344"/>
      <c r="P773" s="344"/>
      <c r="Q773" s="344"/>
      <c r="R773" s="344"/>
      <c r="S773" s="344"/>
      <c r="T773" s="344"/>
      <c r="U773" s="344"/>
      <c r="V773" s="344"/>
      <c r="W773" s="344"/>
      <c r="X773" s="344"/>
      <c r="Y773" s="344"/>
      <c r="Z773" s="344"/>
      <c r="AA773" s="344"/>
      <c r="AB773" s="344"/>
      <c r="AC773" s="344"/>
      <c r="AD773" s="344"/>
    </row>
    <row r="774">
      <c r="A774" s="344"/>
      <c r="B774" s="548"/>
      <c r="C774" s="548"/>
      <c r="D774" s="344"/>
      <c r="E774" s="344"/>
      <c r="F774" s="549"/>
      <c r="G774" s="545"/>
      <c r="H774" s="545"/>
      <c r="I774" s="344"/>
      <c r="J774" s="344"/>
      <c r="K774" s="344"/>
      <c r="L774" s="344"/>
      <c r="M774" s="344"/>
      <c r="N774" s="344"/>
      <c r="O774" s="344"/>
      <c r="P774" s="344"/>
      <c r="Q774" s="344"/>
      <c r="R774" s="344"/>
      <c r="S774" s="344"/>
      <c r="T774" s="344"/>
      <c r="U774" s="344"/>
      <c r="V774" s="344"/>
      <c r="W774" s="344"/>
      <c r="X774" s="344"/>
      <c r="Y774" s="344"/>
      <c r="Z774" s="344"/>
      <c r="AA774" s="344"/>
      <c r="AB774" s="344"/>
      <c r="AC774" s="344"/>
      <c r="AD774" s="344"/>
    </row>
    <row r="775">
      <c r="A775" s="344"/>
      <c r="B775" s="548"/>
      <c r="C775" s="548"/>
      <c r="D775" s="344"/>
      <c r="E775" s="344"/>
      <c r="F775" s="549"/>
      <c r="G775" s="545"/>
      <c r="H775" s="545"/>
      <c r="I775" s="344"/>
      <c r="J775" s="344"/>
      <c r="K775" s="344"/>
      <c r="L775" s="344"/>
      <c r="M775" s="344"/>
      <c r="N775" s="344"/>
      <c r="O775" s="344"/>
      <c r="P775" s="344"/>
      <c r="Q775" s="344"/>
      <c r="R775" s="344"/>
      <c r="S775" s="344"/>
      <c r="T775" s="344"/>
      <c r="U775" s="344"/>
      <c r="V775" s="344"/>
      <c r="W775" s="344"/>
      <c r="X775" s="344"/>
      <c r="Y775" s="344"/>
      <c r="Z775" s="344"/>
      <c r="AA775" s="344"/>
      <c r="AB775" s="344"/>
      <c r="AC775" s="344"/>
      <c r="AD775" s="344"/>
    </row>
    <row r="776">
      <c r="A776" s="344"/>
      <c r="B776" s="548"/>
      <c r="C776" s="548"/>
      <c r="D776" s="344"/>
      <c r="E776" s="344"/>
      <c r="F776" s="549"/>
      <c r="G776" s="545"/>
      <c r="H776" s="545"/>
      <c r="I776" s="344"/>
      <c r="J776" s="344"/>
      <c r="K776" s="344"/>
      <c r="L776" s="344"/>
      <c r="M776" s="344"/>
      <c r="N776" s="344"/>
      <c r="O776" s="344"/>
      <c r="P776" s="344"/>
      <c r="Q776" s="344"/>
      <c r="R776" s="344"/>
      <c r="S776" s="344"/>
      <c r="T776" s="344"/>
      <c r="U776" s="344"/>
      <c r="V776" s="344"/>
      <c r="W776" s="344"/>
      <c r="X776" s="344"/>
      <c r="Y776" s="344"/>
      <c r="Z776" s="344"/>
      <c r="AA776" s="344"/>
      <c r="AB776" s="344"/>
      <c r="AC776" s="344"/>
      <c r="AD776" s="344"/>
    </row>
    <row r="777">
      <c r="A777" s="344"/>
      <c r="B777" s="548"/>
      <c r="C777" s="548"/>
      <c r="D777" s="344"/>
      <c r="E777" s="344"/>
      <c r="F777" s="549"/>
      <c r="G777" s="545"/>
      <c r="H777" s="545"/>
      <c r="I777" s="344"/>
      <c r="J777" s="344"/>
      <c r="K777" s="344"/>
      <c r="L777" s="344"/>
      <c r="M777" s="344"/>
      <c r="N777" s="344"/>
      <c r="O777" s="344"/>
      <c r="P777" s="344"/>
      <c r="Q777" s="344"/>
      <c r="R777" s="344"/>
      <c r="S777" s="344"/>
      <c r="T777" s="344"/>
      <c r="U777" s="344"/>
      <c r="V777" s="344"/>
      <c r="W777" s="344"/>
      <c r="X777" s="344"/>
      <c r="Y777" s="344"/>
      <c r="Z777" s="344"/>
      <c r="AA777" s="344"/>
      <c r="AB777" s="344"/>
      <c r="AC777" s="344"/>
      <c r="AD777" s="344"/>
    </row>
    <row r="778">
      <c r="A778" s="344"/>
      <c r="B778" s="548"/>
      <c r="C778" s="548"/>
      <c r="D778" s="344"/>
      <c r="E778" s="344"/>
      <c r="F778" s="549"/>
      <c r="G778" s="545"/>
      <c r="H778" s="545"/>
      <c r="I778" s="344"/>
      <c r="J778" s="344"/>
      <c r="K778" s="344"/>
      <c r="L778" s="344"/>
      <c r="M778" s="344"/>
      <c r="N778" s="344"/>
      <c r="O778" s="344"/>
      <c r="P778" s="344"/>
      <c r="Q778" s="344"/>
      <c r="R778" s="344"/>
      <c r="S778" s="344"/>
      <c r="T778" s="344"/>
      <c r="U778" s="344"/>
      <c r="V778" s="344"/>
      <c r="W778" s="344"/>
      <c r="X778" s="344"/>
      <c r="Y778" s="344"/>
      <c r="Z778" s="344"/>
      <c r="AA778" s="344"/>
      <c r="AB778" s="344"/>
      <c r="AC778" s="344"/>
      <c r="AD778" s="344"/>
    </row>
    <row r="779">
      <c r="A779" s="344"/>
      <c r="B779" s="548"/>
      <c r="C779" s="548"/>
      <c r="D779" s="344"/>
      <c r="E779" s="344"/>
      <c r="F779" s="549"/>
      <c r="G779" s="545"/>
      <c r="H779" s="545"/>
      <c r="I779" s="344"/>
      <c r="J779" s="344"/>
      <c r="K779" s="344"/>
      <c r="L779" s="344"/>
      <c r="M779" s="344"/>
      <c r="N779" s="344"/>
      <c r="O779" s="344"/>
      <c r="P779" s="344"/>
      <c r="Q779" s="344"/>
      <c r="R779" s="344"/>
      <c r="S779" s="344"/>
      <c r="T779" s="344"/>
      <c r="U779" s="344"/>
      <c r="V779" s="344"/>
      <c r="W779" s="344"/>
      <c r="X779" s="344"/>
      <c r="Y779" s="344"/>
      <c r="Z779" s="344"/>
      <c r="AA779" s="344"/>
      <c r="AB779" s="344"/>
      <c r="AC779" s="344"/>
      <c r="AD779" s="344"/>
    </row>
    <row r="780">
      <c r="A780" s="344"/>
      <c r="B780" s="548"/>
      <c r="C780" s="548"/>
      <c r="D780" s="344"/>
      <c r="E780" s="344"/>
      <c r="F780" s="549"/>
      <c r="G780" s="545"/>
      <c r="H780" s="545"/>
      <c r="I780" s="344"/>
      <c r="J780" s="344"/>
      <c r="K780" s="344"/>
      <c r="L780" s="344"/>
      <c r="M780" s="344"/>
      <c r="N780" s="344"/>
      <c r="O780" s="344"/>
      <c r="P780" s="344"/>
      <c r="Q780" s="344"/>
      <c r="R780" s="344"/>
      <c r="S780" s="344"/>
      <c r="T780" s="344"/>
      <c r="U780" s="344"/>
      <c r="V780" s="344"/>
      <c r="W780" s="344"/>
      <c r="X780" s="344"/>
      <c r="Y780" s="344"/>
      <c r="Z780" s="344"/>
      <c r="AA780" s="344"/>
      <c r="AB780" s="344"/>
      <c r="AC780" s="344"/>
      <c r="AD780" s="344"/>
    </row>
    <row r="781">
      <c r="A781" s="344"/>
      <c r="B781" s="548"/>
      <c r="C781" s="548"/>
      <c r="D781" s="344"/>
      <c r="E781" s="344"/>
      <c r="F781" s="549"/>
      <c r="G781" s="545"/>
      <c r="H781" s="545"/>
      <c r="I781" s="344"/>
      <c r="J781" s="344"/>
      <c r="K781" s="344"/>
      <c r="L781" s="344"/>
      <c r="M781" s="344"/>
      <c r="N781" s="344"/>
      <c r="O781" s="344"/>
      <c r="P781" s="344"/>
      <c r="Q781" s="344"/>
      <c r="R781" s="344"/>
      <c r="S781" s="344"/>
      <c r="T781" s="344"/>
      <c r="U781" s="344"/>
      <c r="V781" s="344"/>
      <c r="W781" s="344"/>
      <c r="X781" s="344"/>
      <c r="Y781" s="344"/>
      <c r="Z781" s="344"/>
      <c r="AA781" s="344"/>
      <c r="AB781" s="344"/>
      <c r="AC781" s="344"/>
      <c r="AD781" s="344"/>
    </row>
    <row r="782">
      <c r="A782" s="344"/>
      <c r="B782" s="548"/>
      <c r="C782" s="548"/>
      <c r="D782" s="344"/>
      <c r="E782" s="344"/>
      <c r="F782" s="549"/>
      <c r="G782" s="545"/>
      <c r="H782" s="545"/>
      <c r="I782" s="344"/>
      <c r="J782" s="344"/>
      <c r="K782" s="344"/>
      <c r="L782" s="344"/>
      <c r="M782" s="344"/>
      <c r="N782" s="344"/>
      <c r="O782" s="344"/>
      <c r="P782" s="344"/>
      <c r="Q782" s="344"/>
      <c r="R782" s="344"/>
      <c r="S782" s="344"/>
      <c r="T782" s="344"/>
      <c r="U782" s="344"/>
      <c r="V782" s="344"/>
      <c r="W782" s="344"/>
      <c r="X782" s="344"/>
      <c r="Y782" s="344"/>
      <c r="Z782" s="344"/>
      <c r="AA782" s="344"/>
      <c r="AB782" s="344"/>
      <c r="AC782" s="344"/>
      <c r="AD782" s="344"/>
    </row>
    <row r="783">
      <c r="A783" s="344"/>
      <c r="B783" s="548"/>
      <c r="C783" s="548"/>
      <c r="D783" s="344"/>
      <c r="E783" s="344"/>
      <c r="F783" s="549"/>
      <c r="G783" s="545"/>
      <c r="H783" s="545"/>
      <c r="I783" s="344"/>
      <c r="J783" s="344"/>
      <c r="K783" s="344"/>
      <c r="L783" s="344"/>
      <c r="M783" s="344"/>
      <c r="N783" s="344"/>
      <c r="O783" s="344"/>
      <c r="P783" s="344"/>
      <c r="Q783" s="344"/>
      <c r="R783" s="344"/>
      <c r="S783" s="344"/>
      <c r="T783" s="344"/>
      <c r="U783" s="344"/>
      <c r="V783" s="344"/>
      <c r="W783" s="344"/>
      <c r="X783" s="344"/>
      <c r="Y783" s="344"/>
      <c r="Z783" s="344"/>
      <c r="AA783" s="344"/>
      <c r="AB783" s="344"/>
      <c r="AC783" s="344"/>
      <c r="AD783" s="344"/>
    </row>
    <row r="784">
      <c r="A784" s="344"/>
      <c r="B784" s="548"/>
      <c r="C784" s="548"/>
      <c r="D784" s="344"/>
      <c r="E784" s="344"/>
      <c r="F784" s="549"/>
      <c r="G784" s="545"/>
      <c r="H784" s="545"/>
      <c r="I784" s="344"/>
      <c r="J784" s="344"/>
      <c r="K784" s="344"/>
      <c r="L784" s="344"/>
      <c r="M784" s="344"/>
      <c r="N784" s="344"/>
      <c r="O784" s="344"/>
      <c r="P784" s="344"/>
      <c r="Q784" s="344"/>
      <c r="R784" s="344"/>
      <c r="S784" s="344"/>
      <c r="T784" s="344"/>
      <c r="U784" s="344"/>
      <c r="V784" s="344"/>
      <c r="W784" s="344"/>
      <c r="X784" s="344"/>
      <c r="Y784" s="344"/>
      <c r="Z784" s="344"/>
      <c r="AA784" s="344"/>
      <c r="AB784" s="344"/>
      <c r="AC784" s="344"/>
      <c r="AD784" s="344"/>
    </row>
    <row r="785">
      <c r="A785" s="344"/>
      <c r="B785" s="548"/>
      <c r="C785" s="548"/>
      <c r="D785" s="344"/>
      <c r="E785" s="344"/>
      <c r="F785" s="549"/>
      <c r="G785" s="545"/>
      <c r="H785" s="545"/>
      <c r="I785" s="344"/>
      <c r="J785" s="344"/>
      <c r="K785" s="344"/>
      <c r="L785" s="344"/>
      <c r="M785" s="344"/>
      <c r="N785" s="344"/>
      <c r="O785" s="344"/>
      <c r="P785" s="344"/>
      <c r="Q785" s="344"/>
      <c r="R785" s="344"/>
      <c r="S785" s="344"/>
      <c r="T785" s="344"/>
      <c r="U785" s="344"/>
      <c r="V785" s="344"/>
      <c r="W785" s="344"/>
      <c r="X785" s="344"/>
      <c r="Y785" s="344"/>
      <c r="Z785" s="344"/>
      <c r="AA785" s="344"/>
      <c r="AB785" s="344"/>
      <c r="AC785" s="344"/>
      <c r="AD785" s="344"/>
    </row>
    <row r="786">
      <c r="A786" s="344"/>
      <c r="B786" s="548"/>
      <c r="C786" s="548"/>
      <c r="D786" s="344"/>
      <c r="E786" s="344"/>
      <c r="F786" s="549"/>
      <c r="G786" s="545"/>
      <c r="H786" s="545"/>
      <c r="I786" s="344"/>
      <c r="J786" s="344"/>
      <c r="K786" s="344"/>
      <c r="L786" s="344"/>
      <c r="M786" s="344"/>
      <c r="N786" s="344"/>
      <c r="O786" s="344"/>
      <c r="P786" s="344"/>
      <c r="Q786" s="344"/>
      <c r="R786" s="344"/>
      <c r="S786" s="344"/>
      <c r="T786" s="344"/>
      <c r="U786" s="344"/>
      <c r="V786" s="344"/>
      <c r="W786" s="344"/>
      <c r="X786" s="344"/>
      <c r="Y786" s="344"/>
      <c r="Z786" s="344"/>
      <c r="AA786" s="344"/>
      <c r="AB786" s="344"/>
      <c r="AC786" s="344"/>
      <c r="AD786" s="344"/>
    </row>
    <row r="787">
      <c r="A787" s="344"/>
      <c r="B787" s="548"/>
      <c r="C787" s="548"/>
      <c r="D787" s="344"/>
      <c r="E787" s="344"/>
      <c r="F787" s="549"/>
      <c r="G787" s="545"/>
      <c r="H787" s="545"/>
      <c r="I787" s="344"/>
      <c r="J787" s="344"/>
      <c r="K787" s="344"/>
      <c r="L787" s="344"/>
      <c r="M787" s="344"/>
      <c r="N787" s="344"/>
      <c r="O787" s="344"/>
      <c r="P787" s="344"/>
      <c r="Q787" s="344"/>
      <c r="R787" s="344"/>
      <c r="S787" s="344"/>
      <c r="T787" s="344"/>
      <c r="U787" s="344"/>
      <c r="V787" s="344"/>
      <c r="W787" s="344"/>
      <c r="X787" s="344"/>
      <c r="Y787" s="344"/>
      <c r="Z787" s="344"/>
      <c r="AA787" s="344"/>
      <c r="AB787" s="344"/>
      <c r="AC787" s="344"/>
      <c r="AD787" s="344"/>
    </row>
    <row r="788">
      <c r="A788" s="344"/>
      <c r="B788" s="548"/>
      <c r="C788" s="548"/>
      <c r="D788" s="344"/>
      <c r="E788" s="344"/>
      <c r="F788" s="549"/>
      <c r="G788" s="545"/>
      <c r="H788" s="545"/>
      <c r="I788" s="344"/>
      <c r="J788" s="344"/>
      <c r="K788" s="344"/>
      <c r="L788" s="344"/>
      <c r="M788" s="344"/>
      <c r="N788" s="344"/>
      <c r="O788" s="344"/>
      <c r="P788" s="344"/>
      <c r="Q788" s="344"/>
      <c r="R788" s="344"/>
      <c r="S788" s="344"/>
      <c r="T788" s="344"/>
      <c r="U788" s="344"/>
      <c r="V788" s="344"/>
      <c r="W788" s="344"/>
      <c r="X788" s="344"/>
      <c r="Y788" s="344"/>
      <c r="Z788" s="344"/>
      <c r="AA788" s="344"/>
      <c r="AB788" s="344"/>
      <c r="AC788" s="344"/>
      <c r="AD788" s="344"/>
    </row>
    <row r="789">
      <c r="A789" s="344"/>
      <c r="B789" s="548"/>
      <c r="C789" s="548"/>
      <c r="D789" s="344"/>
      <c r="E789" s="344"/>
      <c r="F789" s="549"/>
      <c r="G789" s="545"/>
      <c r="H789" s="545"/>
      <c r="I789" s="344"/>
      <c r="J789" s="344"/>
      <c r="K789" s="344"/>
      <c r="L789" s="344"/>
      <c r="M789" s="344"/>
      <c r="N789" s="344"/>
      <c r="O789" s="344"/>
      <c r="P789" s="344"/>
      <c r="Q789" s="344"/>
      <c r="R789" s="344"/>
      <c r="S789" s="344"/>
      <c r="T789" s="344"/>
      <c r="U789" s="344"/>
      <c r="V789" s="344"/>
      <c r="W789" s="344"/>
      <c r="X789" s="344"/>
      <c r="Y789" s="344"/>
      <c r="Z789" s="344"/>
      <c r="AA789" s="344"/>
      <c r="AB789" s="344"/>
      <c r="AC789" s="344"/>
      <c r="AD789" s="344"/>
    </row>
    <row r="790">
      <c r="A790" s="344"/>
      <c r="B790" s="548"/>
      <c r="C790" s="548"/>
      <c r="D790" s="344"/>
      <c r="E790" s="344"/>
      <c r="F790" s="549"/>
      <c r="G790" s="545"/>
      <c r="H790" s="545"/>
      <c r="I790" s="344"/>
      <c r="J790" s="344"/>
      <c r="K790" s="344"/>
      <c r="L790" s="344"/>
      <c r="M790" s="344"/>
      <c r="N790" s="344"/>
      <c r="O790" s="344"/>
      <c r="P790" s="344"/>
      <c r="Q790" s="344"/>
      <c r="R790" s="344"/>
      <c r="S790" s="344"/>
      <c r="T790" s="344"/>
      <c r="U790" s="344"/>
      <c r="V790" s="344"/>
      <c r="W790" s="344"/>
      <c r="X790" s="344"/>
      <c r="Y790" s="344"/>
      <c r="Z790" s="344"/>
      <c r="AA790" s="344"/>
      <c r="AB790" s="344"/>
      <c r="AC790" s="344"/>
      <c r="AD790" s="344"/>
    </row>
    <row r="791">
      <c r="A791" s="344"/>
      <c r="B791" s="548"/>
      <c r="C791" s="548"/>
      <c r="D791" s="344"/>
      <c r="E791" s="344"/>
      <c r="F791" s="549"/>
      <c r="G791" s="545"/>
      <c r="H791" s="545"/>
      <c r="I791" s="344"/>
      <c r="J791" s="344"/>
      <c r="K791" s="344"/>
      <c r="L791" s="344"/>
      <c r="M791" s="344"/>
      <c r="N791" s="344"/>
      <c r="O791" s="344"/>
      <c r="P791" s="344"/>
      <c r="Q791" s="344"/>
      <c r="R791" s="344"/>
      <c r="S791" s="344"/>
      <c r="T791" s="344"/>
      <c r="U791" s="344"/>
      <c r="V791" s="344"/>
      <c r="W791" s="344"/>
      <c r="X791" s="344"/>
      <c r="Y791" s="344"/>
      <c r="Z791" s="344"/>
      <c r="AA791" s="344"/>
      <c r="AB791" s="344"/>
      <c r="AC791" s="344"/>
      <c r="AD791" s="344"/>
    </row>
    <row r="792">
      <c r="A792" s="344"/>
      <c r="B792" s="548"/>
      <c r="C792" s="548"/>
      <c r="D792" s="344"/>
      <c r="E792" s="344"/>
      <c r="F792" s="549"/>
      <c r="G792" s="545"/>
      <c r="H792" s="545"/>
      <c r="I792" s="344"/>
      <c r="J792" s="344"/>
      <c r="K792" s="344"/>
      <c r="L792" s="344"/>
      <c r="M792" s="344"/>
      <c r="N792" s="344"/>
      <c r="O792" s="344"/>
      <c r="P792" s="344"/>
      <c r="Q792" s="344"/>
      <c r="R792" s="344"/>
      <c r="S792" s="344"/>
      <c r="T792" s="344"/>
      <c r="U792" s="344"/>
      <c r="V792" s="344"/>
      <c r="W792" s="344"/>
      <c r="X792" s="344"/>
      <c r="Y792" s="344"/>
      <c r="Z792" s="344"/>
      <c r="AA792" s="344"/>
      <c r="AB792" s="344"/>
      <c r="AC792" s="344"/>
      <c r="AD792" s="344"/>
    </row>
    <row r="793">
      <c r="A793" s="344"/>
      <c r="B793" s="548"/>
      <c r="C793" s="548"/>
      <c r="D793" s="344"/>
      <c r="E793" s="344"/>
      <c r="F793" s="549"/>
      <c r="G793" s="545"/>
      <c r="H793" s="545"/>
      <c r="I793" s="344"/>
      <c r="J793" s="344"/>
      <c r="K793" s="344"/>
      <c r="L793" s="344"/>
      <c r="M793" s="344"/>
      <c r="N793" s="344"/>
      <c r="O793" s="344"/>
      <c r="P793" s="344"/>
      <c r="Q793" s="344"/>
      <c r="R793" s="344"/>
      <c r="S793" s="344"/>
      <c r="T793" s="344"/>
      <c r="U793" s="344"/>
      <c r="V793" s="344"/>
      <c r="W793" s="344"/>
      <c r="X793" s="344"/>
      <c r="Y793" s="344"/>
      <c r="Z793" s="344"/>
      <c r="AA793" s="344"/>
      <c r="AB793" s="344"/>
      <c r="AC793" s="344"/>
      <c r="AD793" s="344"/>
    </row>
    <row r="794">
      <c r="A794" s="344"/>
      <c r="B794" s="548"/>
      <c r="C794" s="548"/>
      <c r="D794" s="344"/>
      <c r="E794" s="344"/>
      <c r="F794" s="549"/>
      <c r="G794" s="545"/>
      <c r="H794" s="545"/>
      <c r="I794" s="344"/>
      <c r="J794" s="344"/>
      <c r="K794" s="344"/>
      <c r="L794" s="344"/>
      <c r="M794" s="344"/>
      <c r="N794" s="344"/>
      <c r="O794" s="344"/>
      <c r="P794" s="344"/>
      <c r="Q794" s="344"/>
      <c r="R794" s="344"/>
      <c r="S794" s="344"/>
      <c r="T794" s="344"/>
      <c r="U794" s="344"/>
      <c r="V794" s="344"/>
      <c r="W794" s="344"/>
      <c r="X794" s="344"/>
      <c r="Y794" s="344"/>
      <c r="Z794" s="344"/>
      <c r="AA794" s="344"/>
      <c r="AB794" s="344"/>
      <c r="AC794" s="344"/>
      <c r="AD794" s="344"/>
    </row>
    <row r="795">
      <c r="A795" s="344"/>
      <c r="B795" s="548"/>
      <c r="C795" s="548"/>
      <c r="D795" s="344"/>
      <c r="E795" s="344"/>
      <c r="F795" s="549"/>
      <c r="G795" s="545"/>
      <c r="H795" s="545"/>
      <c r="I795" s="344"/>
      <c r="J795" s="344"/>
      <c r="K795" s="344"/>
      <c r="L795" s="344"/>
      <c r="M795" s="344"/>
      <c r="N795" s="344"/>
      <c r="O795" s="344"/>
      <c r="P795" s="344"/>
      <c r="Q795" s="344"/>
      <c r="R795" s="344"/>
      <c r="S795" s="344"/>
      <c r="T795" s="344"/>
      <c r="U795" s="344"/>
      <c r="V795" s="344"/>
      <c r="W795" s="344"/>
      <c r="X795" s="344"/>
      <c r="Y795" s="344"/>
      <c r="Z795" s="344"/>
      <c r="AA795" s="344"/>
      <c r="AB795" s="344"/>
      <c r="AC795" s="344"/>
      <c r="AD795" s="344"/>
    </row>
    <row r="796">
      <c r="A796" s="344"/>
      <c r="B796" s="548"/>
      <c r="C796" s="548"/>
      <c r="D796" s="344"/>
      <c r="E796" s="344"/>
      <c r="F796" s="549"/>
      <c r="G796" s="545"/>
      <c r="H796" s="545"/>
      <c r="I796" s="344"/>
      <c r="J796" s="344"/>
      <c r="K796" s="344"/>
      <c r="L796" s="344"/>
      <c r="M796" s="344"/>
      <c r="N796" s="344"/>
      <c r="O796" s="344"/>
      <c r="P796" s="344"/>
      <c r="Q796" s="344"/>
      <c r="R796" s="344"/>
      <c r="S796" s="344"/>
      <c r="T796" s="344"/>
      <c r="U796" s="344"/>
      <c r="V796" s="344"/>
      <c r="W796" s="344"/>
      <c r="X796" s="344"/>
      <c r="Y796" s="344"/>
      <c r="Z796" s="344"/>
      <c r="AA796" s="344"/>
      <c r="AB796" s="344"/>
      <c r="AC796" s="344"/>
      <c r="AD796" s="344"/>
    </row>
    <row r="797">
      <c r="A797" s="344"/>
      <c r="B797" s="548"/>
      <c r="C797" s="548"/>
      <c r="D797" s="344"/>
      <c r="E797" s="344"/>
      <c r="F797" s="549"/>
      <c r="G797" s="545"/>
      <c r="H797" s="545"/>
      <c r="I797" s="344"/>
      <c r="J797" s="344"/>
      <c r="K797" s="344"/>
      <c r="L797" s="344"/>
      <c r="M797" s="344"/>
      <c r="N797" s="344"/>
      <c r="O797" s="344"/>
      <c r="P797" s="344"/>
      <c r="Q797" s="344"/>
      <c r="R797" s="344"/>
      <c r="S797" s="344"/>
      <c r="T797" s="344"/>
      <c r="U797" s="344"/>
      <c r="V797" s="344"/>
      <c r="W797" s="344"/>
      <c r="X797" s="344"/>
      <c r="Y797" s="344"/>
      <c r="Z797" s="344"/>
      <c r="AA797" s="344"/>
      <c r="AB797" s="344"/>
      <c r="AC797" s="344"/>
      <c r="AD797" s="344"/>
    </row>
    <row r="798">
      <c r="A798" s="344"/>
      <c r="B798" s="548"/>
      <c r="C798" s="548"/>
      <c r="D798" s="344"/>
      <c r="E798" s="344"/>
      <c r="F798" s="549"/>
      <c r="G798" s="545"/>
      <c r="H798" s="545"/>
      <c r="I798" s="344"/>
      <c r="J798" s="344"/>
      <c r="K798" s="344"/>
      <c r="L798" s="344"/>
      <c r="M798" s="344"/>
      <c r="N798" s="344"/>
      <c r="O798" s="344"/>
      <c r="P798" s="344"/>
      <c r="Q798" s="344"/>
      <c r="R798" s="344"/>
      <c r="S798" s="344"/>
      <c r="T798" s="344"/>
      <c r="U798" s="344"/>
      <c r="V798" s="344"/>
      <c r="W798" s="344"/>
      <c r="X798" s="344"/>
      <c r="Y798" s="344"/>
      <c r="Z798" s="344"/>
      <c r="AA798" s="344"/>
      <c r="AB798" s="344"/>
      <c r="AC798" s="344"/>
      <c r="AD798" s="344"/>
    </row>
    <row r="799">
      <c r="A799" s="344"/>
      <c r="B799" s="548"/>
      <c r="C799" s="548"/>
      <c r="D799" s="344"/>
      <c r="E799" s="344"/>
      <c r="F799" s="549"/>
      <c r="G799" s="545"/>
      <c r="H799" s="545"/>
      <c r="I799" s="344"/>
      <c r="J799" s="344"/>
      <c r="K799" s="344"/>
      <c r="L799" s="344"/>
      <c r="M799" s="344"/>
      <c r="N799" s="344"/>
      <c r="O799" s="344"/>
      <c r="P799" s="344"/>
      <c r="Q799" s="344"/>
      <c r="R799" s="344"/>
      <c r="S799" s="344"/>
      <c r="T799" s="344"/>
      <c r="U799" s="344"/>
      <c r="V799" s="344"/>
      <c r="W799" s="344"/>
      <c r="X799" s="344"/>
      <c r="Y799" s="344"/>
      <c r="Z799" s="344"/>
      <c r="AA799" s="344"/>
      <c r="AB799" s="344"/>
      <c r="AC799" s="344"/>
      <c r="AD799" s="344"/>
    </row>
    <row r="800">
      <c r="A800" s="344"/>
      <c r="B800" s="548"/>
      <c r="C800" s="548"/>
      <c r="D800" s="344"/>
      <c r="E800" s="344"/>
      <c r="F800" s="549"/>
      <c r="G800" s="545"/>
      <c r="H800" s="545"/>
      <c r="I800" s="344"/>
      <c r="J800" s="344"/>
      <c r="K800" s="344"/>
      <c r="L800" s="344"/>
      <c r="M800" s="344"/>
      <c r="N800" s="344"/>
      <c r="O800" s="344"/>
      <c r="P800" s="344"/>
      <c r="Q800" s="344"/>
      <c r="R800" s="344"/>
      <c r="S800" s="344"/>
      <c r="T800" s="344"/>
      <c r="U800" s="344"/>
      <c r="V800" s="344"/>
      <c r="W800" s="344"/>
      <c r="X800" s="344"/>
      <c r="Y800" s="344"/>
      <c r="Z800" s="344"/>
      <c r="AA800" s="344"/>
      <c r="AB800" s="344"/>
      <c r="AC800" s="344"/>
      <c r="AD800" s="344"/>
    </row>
    <row r="801">
      <c r="A801" s="344"/>
      <c r="B801" s="548"/>
      <c r="C801" s="548"/>
      <c r="D801" s="344"/>
      <c r="E801" s="344"/>
      <c r="F801" s="549"/>
      <c r="G801" s="545"/>
      <c r="H801" s="545"/>
      <c r="I801" s="344"/>
      <c r="J801" s="344"/>
      <c r="K801" s="344"/>
      <c r="L801" s="344"/>
      <c r="M801" s="344"/>
      <c r="N801" s="344"/>
      <c r="O801" s="344"/>
      <c r="P801" s="344"/>
      <c r="Q801" s="344"/>
      <c r="R801" s="344"/>
      <c r="S801" s="344"/>
      <c r="T801" s="344"/>
      <c r="U801" s="344"/>
      <c r="V801" s="344"/>
      <c r="W801" s="344"/>
      <c r="X801" s="344"/>
      <c r="Y801" s="344"/>
      <c r="Z801" s="344"/>
      <c r="AA801" s="344"/>
      <c r="AB801" s="344"/>
      <c r="AC801" s="344"/>
      <c r="AD801" s="344"/>
    </row>
    <row r="802">
      <c r="A802" s="344"/>
      <c r="B802" s="548"/>
      <c r="C802" s="548"/>
      <c r="D802" s="344"/>
      <c r="E802" s="344"/>
      <c r="F802" s="549"/>
      <c r="G802" s="545"/>
      <c r="H802" s="545"/>
      <c r="I802" s="344"/>
      <c r="J802" s="344"/>
      <c r="K802" s="344"/>
      <c r="L802" s="344"/>
      <c r="M802" s="344"/>
      <c r="N802" s="344"/>
      <c r="O802" s="344"/>
      <c r="P802" s="344"/>
      <c r="Q802" s="344"/>
      <c r="R802" s="344"/>
      <c r="S802" s="344"/>
      <c r="T802" s="344"/>
      <c r="U802" s="344"/>
      <c r="V802" s="344"/>
      <c r="W802" s="344"/>
      <c r="X802" s="344"/>
      <c r="Y802" s="344"/>
      <c r="Z802" s="344"/>
      <c r="AA802" s="344"/>
      <c r="AB802" s="344"/>
      <c r="AC802" s="344"/>
      <c r="AD802" s="344"/>
    </row>
    <row r="803">
      <c r="A803" s="344"/>
      <c r="B803" s="548"/>
      <c r="C803" s="548"/>
      <c r="D803" s="344"/>
      <c r="E803" s="344"/>
      <c r="F803" s="549"/>
      <c r="G803" s="545"/>
      <c r="H803" s="545"/>
      <c r="I803" s="344"/>
      <c r="J803" s="344"/>
      <c r="K803" s="344"/>
      <c r="L803" s="344"/>
      <c r="M803" s="344"/>
      <c r="N803" s="344"/>
      <c r="O803" s="344"/>
      <c r="P803" s="344"/>
      <c r="Q803" s="344"/>
      <c r="R803" s="344"/>
      <c r="S803" s="344"/>
      <c r="T803" s="344"/>
      <c r="U803" s="344"/>
      <c r="V803" s="344"/>
      <c r="W803" s="344"/>
      <c r="X803" s="344"/>
      <c r="Y803" s="344"/>
      <c r="Z803" s="344"/>
      <c r="AA803" s="344"/>
      <c r="AB803" s="344"/>
      <c r="AC803" s="344"/>
      <c r="AD803" s="344"/>
    </row>
    <row r="804">
      <c r="A804" s="344"/>
      <c r="B804" s="548"/>
      <c r="C804" s="548"/>
      <c r="D804" s="344"/>
      <c r="E804" s="344"/>
      <c r="F804" s="549"/>
      <c r="G804" s="545"/>
      <c r="H804" s="545"/>
      <c r="I804" s="344"/>
      <c r="J804" s="344"/>
      <c r="K804" s="344"/>
      <c r="L804" s="344"/>
      <c r="M804" s="344"/>
      <c r="N804" s="344"/>
      <c r="O804" s="344"/>
      <c r="P804" s="344"/>
      <c r="Q804" s="344"/>
      <c r="R804" s="344"/>
      <c r="S804" s="344"/>
      <c r="T804" s="344"/>
      <c r="U804" s="344"/>
      <c r="V804" s="344"/>
      <c r="W804" s="344"/>
      <c r="X804" s="344"/>
      <c r="Y804" s="344"/>
      <c r="Z804" s="344"/>
      <c r="AA804" s="344"/>
      <c r="AB804" s="344"/>
      <c r="AC804" s="344"/>
      <c r="AD804" s="344"/>
    </row>
    <row r="805">
      <c r="A805" s="344"/>
      <c r="B805" s="548"/>
      <c r="C805" s="548"/>
      <c r="D805" s="344"/>
      <c r="E805" s="344"/>
      <c r="F805" s="549"/>
      <c r="G805" s="545"/>
      <c r="H805" s="545"/>
      <c r="I805" s="344"/>
      <c r="J805" s="344"/>
      <c r="K805" s="344"/>
      <c r="L805" s="344"/>
      <c r="M805" s="344"/>
      <c r="N805" s="344"/>
      <c r="O805" s="344"/>
      <c r="P805" s="344"/>
      <c r="Q805" s="344"/>
      <c r="R805" s="344"/>
      <c r="S805" s="344"/>
      <c r="T805" s="344"/>
      <c r="U805" s="344"/>
      <c r="V805" s="344"/>
      <c r="W805" s="344"/>
      <c r="X805" s="344"/>
      <c r="Y805" s="344"/>
      <c r="Z805" s="344"/>
      <c r="AA805" s="344"/>
      <c r="AB805" s="344"/>
      <c r="AC805" s="344"/>
      <c r="AD805" s="344"/>
    </row>
    <row r="806">
      <c r="A806" s="344"/>
      <c r="B806" s="548"/>
      <c r="C806" s="548"/>
      <c r="D806" s="344"/>
      <c r="E806" s="344"/>
      <c r="F806" s="549"/>
      <c r="G806" s="545"/>
      <c r="H806" s="545"/>
      <c r="I806" s="344"/>
      <c r="J806" s="344"/>
      <c r="K806" s="344"/>
      <c r="L806" s="344"/>
      <c r="M806" s="344"/>
      <c r="N806" s="344"/>
      <c r="O806" s="344"/>
      <c r="P806" s="344"/>
      <c r="Q806" s="344"/>
      <c r="R806" s="344"/>
      <c r="S806" s="344"/>
      <c r="T806" s="344"/>
      <c r="U806" s="344"/>
      <c r="V806" s="344"/>
      <c r="W806" s="344"/>
      <c r="X806" s="344"/>
      <c r="Y806" s="344"/>
      <c r="Z806" s="344"/>
      <c r="AA806" s="344"/>
      <c r="AB806" s="344"/>
      <c r="AC806" s="344"/>
      <c r="AD806" s="344"/>
    </row>
    <row r="807">
      <c r="A807" s="344"/>
      <c r="B807" s="548"/>
      <c r="C807" s="548"/>
      <c r="D807" s="344"/>
      <c r="E807" s="344"/>
      <c r="F807" s="549"/>
      <c r="G807" s="545"/>
      <c r="H807" s="545"/>
      <c r="I807" s="344"/>
      <c r="J807" s="344"/>
      <c r="K807" s="344"/>
      <c r="L807" s="344"/>
      <c r="M807" s="344"/>
      <c r="N807" s="344"/>
      <c r="O807" s="344"/>
      <c r="P807" s="344"/>
      <c r="Q807" s="344"/>
      <c r="R807" s="344"/>
      <c r="S807" s="344"/>
      <c r="T807" s="344"/>
      <c r="U807" s="344"/>
      <c r="V807" s="344"/>
      <c r="W807" s="344"/>
      <c r="X807" s="344"/>
      <c r="Y807" s="344"/>
      <c r="Z807" s="344"/>
      <c r="AA807" s="344"/>
      <c r="AB807" s="344"/>
      <c r="AC807" s="344"/>
      <c r="AD807" s="344"/>
    </row>
    <row r="808">
      <c r="A808" s="344"/>
      <c r="B808" s="548"/>
      <c r="C808" s="548"/>
      <c r="D808" s="344"/>
      <c r="E808" s="344"/>
      <c r="F808" s="549"/>
      <c r="G808" s="545"/>
      <c r="H808" s="545"/>
      <c r="I808" s="344"/>
      <c r="J808" s="344"/>
      <c r="K808" s="344"/>
      <c r="L808" s="344"/>
      <c r="M808" s="344"/>
      <c r="N808" s="344"/>
      <c r="O808" s="344"/>
      <c r="P808" s="344"/>
      <c r="Q808" s="344"/>
      <c r="R808" s="344"/>
      <c r="S808" s="344"/>
      <c r="T808" s="344"/>
      <c r="U808" s="344"/>
      <c r="V808" s="344"/>
      <c r="W808" s="344"/>
      <c r="X808" s="344"/>
      <c r="Y808" s="344"/>
      <c r="Z808" s="344"/>
      <c r="AA808" s="344"/>
      <c r="AB808" s="344"/>
      <c r="AC808" s="344"/>
      <c r="AD808" s="344"/>
    </row>
    <row r="809">
      <c r="A809" s="344"/>
      <c r="B809" s="548"/>
      <c r="C809" s="548"/>
      <c r="D809" s="344"/>
      <c r="E809" s="344"/>
      <c r="F809" s="549"/>
      <c r="G809" s="545"/>
      <c r="H809" s="545"/>
      <c r="I809" s="344"/>
      <c r="J809" s="344"/>
      <c r="K809" s="344"/>
      <c r="L809" s="344"/>
      <c r="M809" s="344"/>
      <c r="N809" s="344"/>
      <c r="O809" s="344"/>
      <c r="P809" s="344"/>
      <c r="Q809" s="344"/>
      <c r="R809" s="344"/>
      <c r="S809" s="344"/>
      <c r="T809" s="344"/>
      <c r="U809" s="344"/>
      <c r="V809" s="344"/>
      <c r="W809" s="344"/>
      <c r="X809" s="344"/>
      <c r="Y809" s="344"/>
      <c r="Z809" s="344"/>
      <c r="AA809" s="344"/>
      <c r="AB809" s="344"/>
      <c r="AC809" s="344"/>
      <c r="AD809" s="344"/>
    </row>
    <row r="810">
      <c r="A810" s="344"/>
      <c r="B810" s="548"/>
      <c r="C810" s="548"/>
      <c r="D810" s="344"/>
      <c r="E810" s="344"/>
      <c r="F810" s="549"/>
      <c r="G810" s="545"/>
      <c r="H810" s="545"/>
      <c r="I810" s="344"/>
      <c r="J810" s="344"/>
      <c r="K810" s="344"/>
      <c r="L810" s="344"/>
      <c r="M810" s="344"/>
      <c r="N810" s="344"/>
      <c r="O810" s="344"/>
      <c r="P810" s="344"/>
      <c r="Q810" s="344"/>
      <c r="R810" s="344"/>
      <c r="S810" s="344"/>
      <c r="T810" s="344"/>
      <c r="U810" s="344"/>
      <c r="V810" s="344"/>
      <c r="W810" s="344"/>
      <c r="X810" s="344"/>
      <c r="Y810" s="344"/>
      <c r="Z810" s="344"/>
      <c r="AA810" s="344"/>
      <c r="AB810" s="344"/>
      <c r="AC810" s="344"/>
      <c r="AD810" s="344"/>
    </row>
    <row r="811">
      <c r="A811" s="344"/>
      <c r="B811" s="548"/>
      <c r="C811" s="548"/>
      <c r="D811" s="344"/>
      <c r="E811" s="344"/>
      <c r="F811" s="549"/>
      <c r="G811" s="545"/>
      <c r="H811" s="545"/>
      <c r="I811" s="344"/>
      <c r="J811" s="344"/>
      <c r="K811" s="344"/>
      <c r="L811" s="344"/>
      <c r="M811" s="344"/>
      <c r="N811" s="344"/>
      <c r="O811" s="344"/>
      <c r="P811" s="344"/>
      <c r="Q811" s="344"/>
      <c r="R811" s="344"/>
      <c r="S811" s="344"/>
      <c r="T811" s="344"/>
      <c r="U811" s="344"/>
      <c r="V811" s="344"/>
      <c r="W811" s="344"/>
      <c r="X811" s="344"/>
      <c r="Y811" s="344"/>
      <c r="Z811" s="344"/>
      <c r="AA811" s="344"/>
      <c r="AB811" s="344"/>
      <c r="AC811" s="344"/>
      <c r="AD811" s="344"/>
    </row>
    <row r="812">
      <c r="A812" s="344"/>
      <c r="B812" s="548"/>
      <c r="C812" s="548"/>
      <c r="D812" s="344"/>
      <c r="E812" s="344"/>
      <c r="F812" s="549"/>
      <c r="G812" s="545"/>
      <c r="H812" s="545"/>
      <c r="I812" s="344"/>
      <c r="J812" s="344"/>
      <c r="K812" s="344"/>
      <c r="L812" s="344"/>
      <c r="M812" s="344"/>
      <c r="N812" s="344"/>
      <c r="O812" s="344"/>
      <c r="P812" s="344"/>
      <c r="Q812" s="344"/>
      <c r="R812" s="344"/>
      <c r="S812" s="344"/>
      <c r="T812" s="344"/>
      <c r="U812" s="344"/>
      <c r="V812" s="344"/>
      <c r="W812" s="344"/>
      <c r="X812" s="344"/>
      <c r="Y812" s="344"/>
      <c r="Z812" s="344"/>
      <c r="AA812" s="344"/>
      <c r="AB812" s="344"/>
      <c r="AC812" s="344"/>
      <c r="AD812" s="344"/>
    </row>
    <row r="813">
      <c r="A813" s="344"/>
      <c r="B813" s="548"/>
      <c r="C813" s="548"/>
      <c r="D813" s="344"/>
      <c r="E813" s="344"/>
      <c r="F813" s="549"/>
      <c r="G813" s="545"/>
      <c r="H813" s="545"/>
      <c r="I813" s="344"/>
      <c r="J813" s="344"/>
      <c r="K813" s="344"/>
      <c r="L813" s="344"/>
      <c r="M813" s="344"/>
      <c r="N813" s="344"/>
      <c r="O813" s="344"/>
      <c r="P813" s="344"/>
      <c r="Q813" s="344"/>
      <c r="R813" s="344"/>
      <c r="S813" s="344"/>
      <c r="T813" s="344"/>
      <c r="U813" s="344"/>
      <c r="V813" s="344"/>
      <c r="W813" s="344"/>
      <c r="X813" s="344"/>
      <c r="Y813" s="344"/>
      <c r="Z813" s="344"/>
      <c r="AA813" s="344"/>
      <c r="AB813" s="344"/>
      <c r="AC813" s="344"/>
      <c r="AD813" s="344"/>
    </row>
    <row r="814">
      <c r="A814" s="344"/>
      <c r="B814" s="548"/>
      <c r="C814" s="548"/>
      <c r="D814" s="344"/>
      <c r="E814" s="344"/>
      <c r="F814" s="549"/>
      <c r="G814" s="545"/>
      <c r="H814" s="545"/>
      <c r="I814" s="344"/>
      <c r="J814" s="344"/>
      <c r="K814" s="344"/>
      <c r="L814" s="344"/>
      <c r="M814" s="344"/>
      <c r="N814" s="344"/>
      <c r="O814" s="344"/>
      <c r="P814" s="344"/>
      <c r="Q814" s="344"/>
      <c r="R814" s="344"/>
      <c r="S814" s="344"/>
      <c r="T814" s="344"/>
      <c r="U814" s="344"/>
      <c r="V814" s="344"/>
      <c r="W814" s="344"/>
      <c r="X814" s="344"/>
      <c r="Y814" s="344"/>
      <c r="Z814" s="344"/>
      <c r="AA814" s="344"/>
      <c r="AB814" s="344"/>
      <c r="AC814" s="344"/>
      <c r="AD814" s="344"/>
    </row>
    <row r="815">
      <c r="A815" s="344"/>
      <c r="B815" s="548"/>
      <c r="C815" s="548"/>
      <c r="D815" s="344"/>
      <c r="E815" s="344"/>
      <c r="F815" s="549"/>
      <c r="G815" s="545"/>
      <c r="H815" s="545"/>
      <c r="I815" s="344"/>
      <c r="J815" s="344"/>
      <c r="K815" s="344"/>
      <c r="L815" s="344"/>
      <c r="M815" s="344"/>
      <c r="N815" s="344"/>
      <c r="O815" s="344"/>
      <c r="P815" s="344"/>
      <c r="Q815" s="344"/>
      <c r="R815" s="344"/>
      <c r="S815" s="344"/>
      <c r="T815" s="344"/>
      <c r="U815" s="344"/>
      <c r="V815" s="344"/>
      <c r="W815" s="344"/>
      <c r="X815" s="344"/>
      <c r="Y815" s="344"/>
      <c r="Z815" s="344"/>
      <c r="AA815" s="344"/>
      <c r="AB815" s="344"/>
      <c r="AC815" s="344"/>
      <c r="AD815" s="344"/>
    </row>
    <row r="816">
      <c r="A816" s="344"/>
      <c r="B816" s="548"/>
      <c r="C816" s="548"/>
      <c r="D816" s="344"/>
      <c r="E816" s="344"/>
      <c r="F816" s="549"/>
      <c r="G816" s="545"/>
      <c r="H816" s="545"/>
      <c r="I816" s="344"/>
      <c r="J816" s="344"/>
      <c r="K816" s="344"/>
      <c r="L816" s="344"/>
      <c r="M816" s="344"/>
      <c r="N816" s="344"/>
      <c r="O816" s="344"/>
      <c r="P816" s="344"/>
      <c r="Q816" s="344"/>
      <c r="R816" s="344"/>
      <c r="S816" s="344"/>
      <c r="T816" s="344"/>
      <c r="U816" s="344"/>
      <c r="V816" s="344"/>
      <c r="W816" s="344"/>
      <c r="X816" s="344"/>
      <c r="Y816" s="344"/>
      <c r="Z816" s="344"/>
      <c r="AA816" s="344"/>
      <c r="AB816" s="344"/>
      <c r="AC816" s="344"/>
      <c r="AD816" s="344"/>
    </row>
    <row r="817">
      <c r="A817" s="344"/>
      <c r="B817" s="548"/>
      <c r="C817" s="548"/>
      <c r="D817" s="344"/>
      <c r="E817" s="344"/>
      <c r="F817" s="549"/>
      <c r="G817" s="545"/>
      <c r="H817" s="545"/>
      <c r="I817" s="344"/>
      <c r="J817" s="344"/>
      <c r="K817" s="344"/>
      <c r="L817" s="344"/>
      <c r="M817" s="344"/>
      <c r="N817" s="344"/>
      <c r="O817" s="344"/>
      <c r="P817" s="344"/>
      <c r="Q817" s="344"/>
      <c r="R817" s="344"/>
      <c r="S817" s="344"/>
      <c r="T817" s="344"/>
      <c r="U817" s="344"/>
      <c r="V817" s="344"/>
      <c r="W817" s="344"/>
      <c r="X817" s="344"/>
      <c r="Y817" s="344"/>
      <c r="Z817" s="344"/>
      <c r="AA817" s="344"/>
      <c r="AB817" s="344"/>
      <c r="AC817" s="344"/>
      <c r="AD817" s="344"/>
    </row>
    <row r="818">
      <c r="A818" s="344"/>
      <c r="B818" s="548"/>
      <c r="C818" s="548"/>
      <c r="D818" s="344"/>
      <c r="E818" s="344"/>
      <c r="F818" s="549"/>
      <c r="G818" s="545"/>
      <c r="H818" s="545"/>
      <c r="I818" s="344"/>
      <c r="J818" s="344"/>
      <c r="K818" s="344"/>
      <c r="L818" s="344"/>
      <c r="M818" s="344"/>
      <c r="N818" s="344"/>
      <c r="O818" s="344"/>
      <c r="P818" s="344"/>
      <c r="Q818" s="344"/>
      <c r="R818" s="344"/>
      <c r="S818" s="344"/>
      <c r="T818" s="344"/>
      <c r="U818" s="344"/>
      <c r="V818" s="344"/>
      <c r="W818" s="344"/>
      <c r="X818" s="344"/>
      <c r="Y818" s="344"/>
      <c r="Z818" s="344"/>
      <c r="AA818" s="344"/>
      <c r="AB818" s="344"/>
      <c r="AC818" s="344"/>
      <c r="AD818" s="344"/>
    </row>
    <row r="819">
      <c r="A819" s="344"/>
      <c r="B819" s="548"/>
      <c r="C819" s="548"/>
      <c r="D819" s="344"/>
      <c r="E819" s="344"/>
      <c r="F819" s="549"/>
      <c r="G819" s="545"/>
      <c r="H819" s="545"/>
      <c r="I819" s="344"/>
      <c r="J819" s="344"/>
      <c r="K819" s="344"/>
      <c r="L819" s="344"/>
      <c r="M819" s="344"/>
      <c r="N819" s="344"/>
      <c r="O819" s="344"/>
      <c r="P819" s="344"/>
      <c r="Q819" s="344"/>
      <c r="R819" s="344"/>
      <c r="S819" s="344"/>
      <c r="T819" s="344"/>
      <c r="U819" s="344"/>
      <c r="V819" s="344"/>
      <c r="W819" s="344"/>
      <c r="X819" s="344"/>
      <c r="Y819" s="344"/>
      <c r="Z819" s="344"/>
      <c r="AA819" s="344"/>
      <c r="AB819" s="344"/>
      <c r="AC819" s="344"/>
      <c r="AD819" s="344"/>
    </row>
    <row r="820">
      <c r="A820" s="344"/>
      <c r="B820" s="548"/>
      <c r="C820" s="548"/>
      <c r="D820" s="344"/>
      <c r="E820" s="344"/>
      <c r="F820" s="549"/>
      <c r="G820" s="545"/>
      <c r="H820" s="545"/>
      <c r="I820" s="344"/>
      <c r="J820" s="344"/>
      <c r="K820" s="344"/>
      <c r="L820" s="344"/>
      <c r="M820" s="344"/>
      <c r="N820" s="344"/>
      <c r="O820" s="344"/>
      <c r="P820" s="344"/>
      <c r="Q820" s="344"/>
      <c r="R820" s="344"/>
      <c r="S820" s="344"/>
      <c r="T820" s="344"/>
      <c r="U820" s="344"/>
      <c r="V820" s="344"/>
      <c r="W820" s="344"/>
      <c r="X820" s="344"/>
      <c r="Y820" s="344"/>
      <c r="Z820" s="344"/>
      <c r="AA820" s="344"/>
      <c r="AB820" s="344"/>
      <c r="AC820" s="344"/>
      <c r="AD820" s="344"/>
    </row>
    <row r="821">
      <c r="A821" s="344"/>
      <c r="B821" s="548"/>
      <c r="C821" s="548"/>
      <c r="D821" s="344"/>
      <c r="E821" s="344"/>
      <c r="F821" s="549"/>
      <c r="G821" s="545"/>
      <c r="H821" s="545"/>
      <c r="I821" s="344"/>
      <c r="J821" s="344"/>
      <c r="K821" s="344"/>
      <c r="L821" s="344"/>
      <c r="M821" s="344"/>
      <c r="N821" s="344"/>
      <c r="O821" s="344"/>
      <c r="P821" s="344"/>
      <c r="Q821" s="344"/>
      <c r="R821" s="344"/>
      <c r="S821" s="344"/>
      <c r="T821" s="344"/>
      <c r="U821" s="344"/>
      <c r="V821" s="344"/>
      <c r="W821" s="344"/>
      <c r="X821" s="344"/>
      <c r="Y821" s="344"/>
      <c r="Z821" s="344"/>
      <c r="AA821" s="344"/>
      <c r="AB821" s="344"/>
      <c r="AC821" s="344"/>
      <c r="AD821" s="344"/>
    </row>
    <row r="822">
      <c r="A822" s="344"/>
      <c r="B822" s="548"/>
      <c r="C822" s="548"/>
      <c r="D822" s="344"/>
      <c r="E822" s="344"/>
      <c r="F822" s="549"/>
      <c r="G822" s="545"/>
      <c r="H822" s="545"/>
      <c r="I822" s="344"/>
      <c r="J822" s="344"/>
      <c r="K822" s="344"/>
      <c r="L822" s="344"/>
      <c r="M822" s="344"/>
      <c r="N822" s="344"/>
      <c r="O822" s="344"/>
      <c r="P822" s="344"/>
      <c r="Q822" s="344"/>
      <c r="R822" s="344"/>
      <c r="S822" s="344"/>
      <c r="T822" s="344"/>
      <c r="U822" s="344"/>
      <c r="V822" s="344"/>
      <c r="W822" s="344"/>
      <c r="X822" s="344"/>
      <c r="Y822" s="344"/>
      <c r="Z822" s="344"/>
      <c r="AA822" s="344"/>
      <c r="AB822" s="344"/>
      <c r="AC822" s="344"/>
      <c r="AD822" s="344"/>
    </row>
    <row r="823">
      <c r="A823" s="344"/>
      <c r="B823" s="548"/>
      <c r="C823" s="548"/>
      <c r="D823" s="344"/>
      <c r="E823" s="344"/>
      <c r="F823" s="549"/>
      <c r="G823" s="545"/>
      <c r="H823" s="545"/>
      <c r="I823" s="344"/>
      <c r="J823" s="344"/>
      <c r="K823" s="344"/>
      <c r="L823" s="344"/>
      <c r="M823" s="344"/>
      <c r="N823" s="344"/>
      <c r="O823" s="344"/>
      <c r="P823" s="344"/>
      <c r="Q823" s="344"/>
      <c r="R823" s="344"/>
      <c r="S823" s="344"/>
      <c r="T823" s="344"/>
      <c r="U823" s="344"/>
      <c r="V823" s="344"/>
      <c r="W823" s="344"/>
      <c r="X823" s="344"/>
      <c r="Y823" s="344"/>
      <c r="Z823" s="344"/>
      <c r="AA823" s="344"/>
      <c r="AB823" s="344"/>
      <c r="AC823" s="344"/>
      <c r="AD823" s="344"/>
    </row>
    <row r="824">
      <c r="A824" s="344"/>
      <c r="B824" s="548"/>
      <c r="C824" s="548"/>
      <c r="D824" s="344"/>
      <c r="E824" s="344"/>
      <c r="F824" s="549"/>
      <c r="G824" s="545"/>
      <c r="H824" s="545"/>
      <c r="I824" s="344"/>
      <c r="J824" s="344"/>
      <c r="K824" s="344"/>
      <c r="L824" s="344"/>
      <c r="M824" s="344"/>
      <c r="N824" s="344"/>
      <c r="O824" s="344"/>
      <c r="P824" s="344"/>
      <c r="Q824" s="344"/>
      <c r="R824" s="344"/>
      <c r="S824" s="344"/>
      <c r="T824" s="344"/>
      <c r="U824" s="344"/>
      <c r="V824" s="344"/>
      <c r="W824" s="344"/>
      <c r="X824" s="344"/>
      <c r="Y824" s="344"/>
      <c r="Z824" s="344"/>
      <c r="AA824" s="344"/>
      <c r="AB824" s="344"/>
      <c r="AC824" s="344"/>
      <c r="AD824" s="344"/>
    </row>
    <row r="825">
      <c r="A825" s="344"/>
      <c r="B825" s="548"/>
      <c r="C825" s="548"/>
      <c r="D825" s="344"/>
      <c r="E825" s="344"/>
      <c r="F825" s="549"/>
      <c r="G825" s="545"/>
      <c r="H825" s="545"/>
      <c r="I825" s="344"/>
      <c r="J825" s="344"/>
      <c r="K825" s="344"/>
      <c r="L825" s="344"/>
      <c r="M825" s="344"/>
      <c r="N825" s="344"/>
      <c r="O825" s="344"/>
      <c r="P825" s="344"/>
      <c r="Q825" s="344"/>
      <c r="R825" s="344"/>
      <c r="S825" s="344"/>
      <c r="T825" s="344"/>
      <c r="U825" s="344"/>
      <c r="V825" s="344"/>
      <c r="W825" s="344"/>
      <c r="X825" s="344"/>
      <c r="Y825" s="344"/>
      <c r="Z825" s="344"/>
      <c r="AA825" s="344"/>
      <c r="AB825" s="344"/>
      <c r="AC825" s="344"/>
      <c r="AD825" s="344"/>
    </row>
    <row r="826">
      <c r="A826" s="344"/>
      <c r="B826" s="548"/>
      <c r="C826" s="548"/>
      <c r="D826" s="344"/>
      <c r="E826" s="344"/>
      <c r="F826" s="549"/>
      <c r="G826" s="545"/>
      <c r="H826" s="545"/>
      <c r="I826" s="344"/>
      <c r="J826" s="344"/>
      <c r="K826" s="344"/>
      <c r="L826" s="344"/>
      <c r="M826" s="344"/>
      <c r="N826" s="344"/>
      <c r="O826" s="344"/>
      <c r="P826" s="344"/>
      <c r="Q826" s="344"/>
      <c r="R826" s="344"/>
      <c r="S826" s="344"/>
      <c r="T826" s="344"/>
      <c r="U826" s="344"/>
      <c r="V826" s="344"/>
      <c r="W826" s="344"/>
      <c r="X826" s="344"/>
      <c r="Y826" s="344"/>
      <c r="Z826" s="344"/>
      <c r="AA826" s="344"/>
      <c r="AB826" s="344"/>
      <c r="AC826" s="344"/>
      <c r="AD826" s="344"/>
    </row>
    <row r="827">
      <c r="A827" s="344"/>
      <c r="B827" s="548"/>
      <c r="C827" s="548"/>
      <c r="D827" s="344"/>
      <c r="E827" s="344"/>
      <c r="F827" s="549"/>
      <c r="G827" s="545"/>
      <c r="H827" s="545"/>
      <c r="I827" s="344"/>
      <c r="J827" s="344"/>
      <c r="K827" s="344"/>
      <c r="L827" s="344"/>
      <c r="M827" s="344"/>
      <c r="N827" s="344"/>
      <c r="O827" s="344"/>
      <c r="P827" s="344"/>
      <c r="Q827" s="344"/>
      <c r="R827" s="344"/>
      <c r="S827" s="344"/>
      <c r="T827" s="344"/>
      <c r="U827" s="344"/>
      <c r="V827" s="344"/>
      <c r="W827" s="344"/>
      <c r="X827" s="344"/>
      <c r="Y827" s="344"/>
      <c r="Z827" s="344"/>
      <c r="AA827" s="344"/>
      <c r="AB827" s="344"/>
      <c r="AC827" s="344"/>
      <c r="AD827" s="344"/>
    </row>
    <row r="828">
      <c r="A828" s="344"/>
      <c r="B828" s="548"/>
      <c r="C828" s="548"/>
      <c r="D828" s="344"/>
      <c r="E828" s="344"/>
      <c r="F828" s="549"/>
      <c r="G828" s="545"/>
      <c r="H828" s="545"/>
      <c r="I828" s="344"/>
      <c r="J828" s="344"/>
      <c r="K828" s="344"/>
      <c r="L828" s="344"/>
      <c r="M828" s="344"/>
      <c r="N828" s="344"/>
      <c r="O828" s="344"/>
      <c r="P828" s="344"/>
      <c r="Q828" s="344"/>
      <c r="R828" s="344"/>
      <c r="S828" s="344"/>
      <c r="T828" s="344"/>
      <c r="U828" s="344"/>
      <c r="V828" s="344"/>
      <c r="W828" s="344"/>
      <c r="X828" s="344"/>
      <c r="Y828" s="344"/>
      <c r="Z828" s="344"/>
      <c r="AA828" s="344"/>
      <c r="AB828" s="344"/>
      <c r="AC828" s="344"/>
      <c r="AD828" s="344"/>
    </row>
    <row r="829">
      <c r="A829" s="344"/>
      <c r="B829" s="548"/>
      <c r="C829" s="548"/>
      <c r="D829" s="344"/>
      <c r="E829" s="344"/>
      <c r="F829" s="549"/>
      <c r="G829" s="545"/>
      <c r="H829" s="545"/>
      <c r="I829" s="344"/>
      <c r="J829" s="344"/>
      <c r="K829" s="344"/>
      <c r="L829" s="344"/>
      <c r="M829" s="344"/>
      <c r="N829" s="344"/>
      <c r="O829" s="344"/>
      <c r="P829" s="344"/>
      <c r="Q829" s="344"/>
      <c r="R829" s="344"/>
      <c r="S829" s="344"/>
      <c r="T829" s="344"/>
      <c r="U829" s="344"/>
      <c r="V829" s="344"/>
      <c r="W829" s="344"/>
      <c r="X829" s="344"/>
      <c r="Y829" s="344"/>
      <c r="Z829" s="344"/>
      <c r="AA829" s="344"/>
      <c r="AB829" s="344"/>
      <c r="AC829" s="344"/>
      <c r="AD829" s="344"/>
    </row>
    <row r="830">
      <c r="A830" s="344"/>
      <c r="B830" s="548"/>
      <c r="C830" s="548"/>
      <c r="D830" s="344"/>
      <c r="E830" s="344"/>
      <c r="F830" s="549"/>
      <c r="G830" s="545"/>
      <c r="H830" s="545"/>
      <c r="I830" s="344"/>
      <c r="J830" s="344"/>
      <c r="K830" s="344"/>
      <c r="L830" s="344"/>
      <c r="M830" s="344"/>
      <c r="N830" s="344"/>
      <c r="O830" s="344"/>
      <c r="P830" s="344"/>
      <c r="Q830" s="344"/>
      <c r="R830" s="344"/>
      <c r="S830" s="344"/>
      <c r="T830" s="344"/>
      <c r="U830" s="344"/>
      <c r="V830" s="344"/>
      <c r="W830" s="344"/>
      <c r="X830" s="344"/>
      <c r="Y830" s="344"/>
      <c r="Z830" s="344"/>
      <c r="AA830" s="344"/>
      <c r="AB830" s="344"/>
      <c r="AC830" s="344"/>
      <c r="AD830" s="344"/>
    </row>
    <row r="831">
      <c r="A831" s="344"/>
      <c r="B831" s="548"/>
      <c r="C831" s="548"/>
      <c r="D831" s="344"/>
      <c r="E831" s="344"/>
      <c r="F831" s="549"/>
      <c r="G831" s="545"/>
      <c r="H831" s="545"/>
      <c r="I831" s="344"/>
      <c r="J831" s="344"/>
      <c r="K831" s="344"/>
      <c r="L831" s="344"/>
      <c r="M831" s="344"/>
      <c r="N831" s="344"/>
      <c r="O831" s="344"/>
      <c r="P831" s="344"/>
      <c r="Q831" s="344"/>
      <c r="R831" s="344"/>
      <c r="S831" s="344"/>
      <c r="T831" s="344"/>
      <c r="U831" s="344"/>
      <c r="V831" s="344"/>
      <c r="W831" s="344"/>
      <c r="X831" s="344"/>
      <c r="Y831" s="344"/>
      <c r="Z831" s="344"/>
      <c r="AA831" s="344"/>
      <c r="AB831" s="344"/>
      <c r="AC831" s="344"/>
      <c r="AD831" s="344"/>
    </row>
    <row r="832">
      <c r="A832" s="344"/>
      <c r="B832" s="548"/>
      <c r="C832" s="548"/>
      <c r="D832" s="344"/>
      <c r="E832" s="344"/>
      <c r="F832" s="549"/>
      <c r="G832" s="545"/>
      <c r="H832" s="545"/>
      <c r="I832" s="344"/>
      <c r="J832" s="344"/>
      <c r="K832" s="344"/>
      <c r="L832" s="344"/>
      <c r="M832" s="344"/>
      <c r="N832" s="344"/>
      <c r="O832" s="344"/>
      <c r="P832" s="344"/>
      <c r="Q832" s="344"/>
      <c r="R832" s="344"/>
      <c r="S832" s="344"/>
      <c r="T832" s="344"/>
      <c r="U832" s="344"/>
      <c r="V832" s="344"/>
      <c r="W832" s="344"/>
      <c r="X832" s="344"/>
      <c r="Y832" s="344"/>
      <c r="Z832" s="344"/>
      <c r="AA832" s="344"/>
      <c r="AB832" s="344"/>
      <c r="AC832" s="344"/>
      <c r="AD832" s="344"/>
    </row>
    <row r="833">
      <c r="A833" s="344"/>
      <c r="B833" s="548"/>
      <c r="C833" s="548"/>
      <c r="D833" s="344"/>
      <c r="E833" s="344"/>
      <c r="F833" s="549"/>
      <c r="G833" s="545"/>
      <c r="H833" s="545"/>
      <c r="I833" s="344"/>
      <c r="J833" s="344"/>
      <c r="K833" s="344"/>
      <c r="L833" s="344"/>
      <c r="M833" s="344"/>
      <c r="N833" s="344"/>
      <c r="O833" s="344"/>
      <c r="P833" s="344"/>
      <c r="Q833" s="344"/>
      <c r="R833" s="344"/>
      <c r="S833" s="344"/>
      <c r="T833" s="344"/>
      <c r="U833" s="344"/>
      <c r="V833" s="344"/>
      <c r="W833" s="344"/>
      <c r="X833" s="344"/>
      <c r="Y833" s="344"/>
      <c r="Z833" s="344"/>
      <c r="AA833" s="344"/>
      <c r="AB833" s="344"/>
      <c r="AC833" s="344"/>
      <c r="AD833" s="344"/>
    </row>
    <row r="834">
      <c r="A834" s="344"/>
      <c r="B834" s="548"/>
      <c r="C834" s="548"/>
      <c r="D834" s="344"/>
      <c r="E834" s="344"/>
      <c r="F834" s="549"/>
      <c r="G834" s="545"/>
      <c r="H834" s="545"/>
      <c r="I834" s="344"/>
      <c r="J834" s="344"/>
      <c r="K834" s="344"/>
      <c r="L834" s="344"/>
      <c r="M834" s="344"/>
      <c r="N834" s="344"/>
      <c r="O834" s="344"/>
      <c r="P834" s="344"/>
      <c r="Q834" s="344"/>
      <c r="R834" s="344"/>
      <c r="S834" s="344"/>
      <c r="T834" s="344"/>
      <c r="U834" s="344"/>
      <c r="V834" s="344"/>
      <c r="W834" s="344"/>
      <c r="X834" s="344"/>
      <c r="Y834" s="344"/>
      <c r="Z834" s="344"/>
      <c r="AA834" s="344"/>
      <c r="AB834" s="344"/>
      <c r="AC834" s="344"/>
      <c r="AD834" s="344"/>
    </row>
    <row r="835">
      <c r="A835" s="344"/>
      <c r="B835" s="548"/>
      <c r="C835" s="548"/>
      <c r="D835" s="344"/>
      <c r="E835" s="344"/>
      <c r="F835" s="549"/>
      <c r="G835" s="545"/>
      <c r="H835" s="545"/>
      <c r="I835" s="344"/>
      <c r="J835" s="344"/>
      <c r="K835" s="344"/>
      <c r="L835" s="344"/>
      <c r="M835" s="344"/>
      <c r="N835" s="344"/>
      <c r="O835" s="344"/>
      <c r="P835" s="344"/>
      <c r="Q835" s="344"/>
      <c r="R835" s="344"/>
      <c r="S835" s="344"/>
      <c r="T835" s="344"/>
      <c r="U835" s="344"/>
      <c r="V835" s="344"/>
      <c r="W835" s="344"/>
      <c r="X835" s="344"/>
      <c r="Y835" s="344"/>
      <c r="Z835" s="344"/>
      <c r="AA835" s="344"/>
      <c r="AB835" s="344"/>
      <c r="AC835" s="344"/>
      <c r="AD835" s="344"/>
    </row>
    <row r="836">
      <c r="A836" s="344"/>
      <c r="B836" s="548"/>
      <c r="C836" s="548"/>
      <c r="D836" s="344"/>
      <c r="E836" s="344"/>
      <c r="F836" s="549"/>
      <c r="G836" s="545"/>
      <c r="H836" s="545"/>
      <c r="I836" s="344"/>
      <c r="J836" s="344"/>
      <c r="K836" s="344"/>
      <c r="L836" s="344"/>
      <c r="M836" s="344"/>
      <c r="N836" s="344"/>
      <c r="O836" s="344"/>
      <c r="P836" s="344"/>
      <c r="Q836" s="344"/>
      <c r="R836" s="344"/>
      <c r="S836" s="344"/>
      <c r="T836" s="344"/>
      <c r="U836" s="344"/>
      <c r="V836" s="344"/>
      <c r="W836" s="344"/>
      <c r="X836" s="344"/>
      <c r="Y836" s="344"/>
      <c r="Z836" s="344"/>
      <c r="AA836" s="344"/>
      <c r="AB836" s="344"/>
      <c r="AC836" s="344"/>
      <c r="AD836" s="344"/>
    </row>
    <row r="837">
      <c r="A837" s="344"/>
      <c r="B837" s="548"/>
      <c r="C837" s="548"/>
      <c r="D837" s="344"/>
      <c r="E837" s="344"/>
      <c r="F837" s="549"/>
      <c r="G837" s="545"/>
      <c r="H837" s="545"/>
      <c r="I837" s="344"/>
      <c r="J837" s="344"/>
      <c r="K837" s="344"/>
      <c r="L837" s="344"/>
      <c r="M837" s="344"/>
      <c r="N837" s="344"/>
      <c r="O837" s="344"/>
      <c r="P837" s="344"/>
      <c r="Q837" s="344"/>
      <c r="R837" s="344"/>
      <c r="S837" s="344"/>
      <c r="T837" s="344"/>
      <c r="U837" s="344"/>
      <c r="V837" s="344"/>
      <c r="W837" s="344"/>
      <c r="X837" s="344"/>
      <c r="Y837" s="344"/>
      <c r="Z837" s="344"/>
      <c r="AA837" s="344"/>
      <c r="AB837" s="344"/>
      <c r="AC837" s="344"/>
      <c r="AD837" s="344"/>
    </row>
    <row r="838">
      <c r="A838" s="344"/>
      <c r="B838" s="548"/>
      <c r="C838" s="548"/>
      <c r="D838" s="344"/>
      <c r="E838" s="344"/>
      <c r="F838" s="549"/>
      <c r="G838" s="545"/>
      <c r="H838" s="545"/>
      <c r="I838" s="344"/>
      <c r="J838" s="344"/>
      <c r="K838" s="344"/>
      <c r="L838" s="344"/>
      <c r="M838" s="344"/>
      <c r="N838" s="344"/>
      <c r="O838" s="344"/>
      <c r="P838" s="344"/>
      <c r="Q838" s="344"/>
      <c r="R838" s="344"/>
      <c r="S838" s="344"/>
      <c r="T838" s="344"/>
      <c r="U838" s="344"/>
      <c r="V838" s="344"/>
      <c r="W838" s="344"/>
      <c r="X838" s="344"/>
      <c r="Y838" s="344"/>
      <c r="Z838" s="344"/>
      <c r="AA838" s="344"/>
      <c r="AB838" s="344"/>
      <c r="AC838" s="344"/>
      <c r="AD838" s="344"/>
    </row>
    <row r="839">
      <c r="A839" s="344"/>
      <c r="B839" s="548"/>
      <c r="C839" s="548"/>
      <c r="D839" s="344"/>
      <c r="E839" s="344"/>
      <c r="F839" s="549"/>
      <c r="G839" s="545"/>
      <c r="H839" s="545"/>
      <c r="I839" s="344"/>
      <c r="J839" s="344"/>
      <c r="K839" s="344"/>
      <c r="L839" s="344"/>
      <c r="M839" s="344"/>
      <c r="N839" s="344"/>
      <c r="O839" s="344"/>
      <c r="P839" s="344"/>
      <c r="Q839" s="344"/>
      <c r="R839" s="344"/>
      <c r="S839" s="344"/>
      <c r="T839" s="344"/>
      <c r="U839" s="344"/>
      <c r="V839" s="344"/>
      <c r="W839" s="344"/>
      <c r="X839" s="344"/>
      <c r="Y839" s="344"/>
      <c r="Z839" s="344"/>
      <c r="AA839" s="344"/>
      <c r="AB839" s="344"/>
      <c r="AC839" s="344"/>
      <c r="AD839" s="344"/>
    </row>
    <row r="840">
      <c r="A840" s="344"/>
      <c r="B840" s="548"/>
      <c r="C840" s="548"/>
      <c r="D840" s="344"/>
      <c r="E840" s="344"/>
      <c r="F840" s="549"/>
      <c r="G840" s="545"/>
      <c r="H840" s="545"/>
      <c r="I840" s="344"/>
      <c r="J840" s="344"/>
      <c r="K840" s="344"/>
      <c r="L840" s="344"/>
      <c r="M840" s="344"/>
      <c r="N840" s="344"/>
      <c r="O840" s="344"/>
      <c r="P840" s="344"/>
      <c r="Q840" s="344"/>
      <c r="R840" s="344"/>
      <c r="S840" s="344"/>
      <c r="T840" s="344"/>
      <c r="U840" s="344"/>
      <c r="V840" s="344"/>
      <c r="W840" s="344"/>
      <c r="X840" s="344"/>
      <c r="Y840" s="344"/>
      <c r="Z840" s="344"/>
      <c r="AA840" s="344"/>
      <c r="AB840" s="344"/>
      <c r="AC840" s="344"/>
      <c r="AD840" s="344"/>
    </row>
    <row r="841">
      <c r="A841" s="344"/>
      <c r="B841" s="548"/>
      <c r="C841" s="548"/>
      <c r="D841" s="344"/>
      <c r="E841" s="344"/>
      <c r="F841" s="549"/>
      <c r="G841" s="545"/>
      <c r="H841" s="545"/>
      <c r="I841" s="344"/>
      <c r="J841" s="344"/>
      <c r="K841" s="344"/>
      <c r="L841" s="344"/>
      <c r="M841" s="344"/>
      <c r="N841" s="344"/>
      <c r="O841" s="344"/>
      <c r="P841" s="344"/>
      <c r="Q841" s="344"/>
      <c r="R841" s="344"/>
      <c r="S841" s="344"/>
      <c r="T841" s="344"/>
      <c r="U841" s="344"/>
      <c r="V841" s="344"/>
      <c r="W841" s="344"/>
      <c r="X841" s="344"/>
      <c r="Y841" s="344"/>
      <c r="Z841" s="344"/>
      <c r="AA841" s="344"/>
      <c r="AB841" s="344"/>
      <c r="AC841" s="344"/>
      <c r="AD841" s="344"/>
    </row>
    <row r="842">
      <c r="A842" s="344"/>
      <c r="B842" s="548"/>
      <c r="C842" s="548"/>
      <c r="D842" s="344"/>
      <c r="E842" s="344"/>
      <c r="F842" s="549"/>
      <c r="G842" s="545"/>
      <c r="H842" s="545"/>
      <c r="I842" s="344"/>
      <c r="J842" s="344"/>
      <c r="K842" s="344"/>
      <c r="L842" s="344"/>
      <c r="M842" s="344"/>
      <c r="N842" s="344"/>
      <c r="O842" s="344"/>
      <c r="P842" s="344"/>
      <c r="Q842" s="344"/>
      <c r="R842" s="344"/>
      <c r="S842" s="344"/>
      <c r="T842" s="344"/>
      <c r="U842" s="344"/>
      <c r="V842" s="344"/>
      <c r="W842" s="344"/>
      <c r="X842" s="344"/>
      <c r="Y842" s="344"/>
      <c r="Z842" s="344"/>
      <c r="AA842" s="344"/>
      <c r="AB842" s="344"/>
      <c r="AC842" s="344"/>
      <c r="AD842" s="344"/>
    </row>
    <row r="843">
      <c r="A843" s="344"/>
      <c r="B843" s="548"/>
      <c r="C843" s="548"/>
      <c r="D843" s="344"/>
      <c r="E843" s="344"/>
      <c r="F843" s="549"/>
      <c r="G843" s="545"/>
      <c r="H843" s="545"/>
      <c r="I843" s="344"/>
      <c r="J843" s="344"/>
      <c r="K843" s="344"/>
      <c r="L843" s="344"/>
      <c r="M843" s="344"/>
      <c r="N843" s="344"/>
      <c r="O843" s="344"/>
      <c r="P843" s="344"/>
      <c r="Q843" s="344"/>
      <c r="R843" s="344"/>
      <c r="S843" s="344"/>
      <c r="T843" s="344"/>
      <c r="U843" s="344"/>
      <c r="V843" s="344"/>
      <c r="W843" s="344"/>
      <c r="X843" s="344"/>
      <c r="Y843" s="344"/>
      <c r="Z843" s="344"/>
      <c r="AA843" s="344"/>
      <c r="AB843" s="344"/>
      <c r="AC843" s="344"/>
      <c r="AD843" s="344"/>
    </row>
    <row r="844">
      <c r="A844" s="344"/>
      <c r="B844" s="548"/>
      <c r="C844" s="548"/>
      <c r="D844" s="344"/>
      <c r="E844" s="344"/>
      <c r="F844" s="549"/>
      <c r="G844" s="545"/>
      <c r="H844" s="545"/>
      <c r="I844" s="344"/>
      <c r="J844" s="344"/>
      <c r="K844" s="344"/>
      <c r="L844" s="344"/>
      <c r="M844" s="344"/>
      <c r="N844" s="344"/>
      <c r="O844" s="344"/>
      <c r="P844" s="344"/>
      <c r="Q844" s="344"/>
      <c r="R844" s="344"/>
      <c r="S844" s="344"/>
      <c r="T844" s="344"/>
      <c r="U844" s="344"/>
      <c r="V844" s="344"/>
      <c r="W844" s="344"/>
      <c r="X844" s="344"/>
      <c r="Y844" s="344"/>
      <c r="Z844" s="344"/>
      <c r="AA844" s="344"/>
      <c r="AB844" s="344"/>
      <c r="AC844" s="344"/>
      <c r="AD844" s="344"/>
    </row>
    <row r="845">
      <c r="A845" s="344"/>
      <c r="B845" s="548"/>
      <c r="C845" s="548"/>
      <c r="D845" s="344"/>
      <c r="E845" s="344"/>
      <c r="F845" s="549"/>
      <c r="G845" s="545"/>
      <c r="H845" s="545"/>
      <c r="I845" s="344"/>
      <c r="J845" s="344"/>
      <c r="K845" s="344"/>
      <c r="L845" s="344"/>
      <c r="M845" s="344"/>
      <c r="N845" s="344"/>
      <c r="O845" s="344"/>
      <c r="P845" s="344"/>
      <c r="Q845" s="344"/>
      <c r="R845" s="344"/>
      <c r="S845" s="344"/>
      <c r="T845" s="344"/>
      <c r="U845" s="344"/>
      <c r="V845" s="344"/>
      <c r="W845" s="344"/>
      <c r="X845" s="344"/>
      <c r="Y845" s="344"/>
      <c r="Z845" s="344"/>
      <c r="AA845" s="344"/>
      <c r="AB845" s="344"/>
      <c r="AC845" s="344"/>
      <c r="AD845" s="344"/>
    </row>
    <row r="846">
      <c r="A846" s="344"/>
      <c r="B846" s="548"/>
      <c r="C846" s="548"/>
      <c r="D846" s="344"/>
      <c r="E846" s="344"/>
      <c r="F846" s="549"/>
      <c r="G846" s="545"/>
      <c r="H846" s="545"/>
      <c r="I846" s="344"/>
      <c r="J846" s="344"/>
      <c r="K846" s="344"/>
      <c r="L846" s="344"/>
      <c r="M846" s="344"/>
      <c r="N846" s="344"/>
      <c r="O846" s="344"/>
      <c r="P846" s="344"/>
      <c r="Q846" s="344"/>
      <c r="R846" s="344"/>
      <c r="S846" s="344"/>
      <c r="T846" s="344"/>
      <c r="U846" s="344"/>
      <c r="V846" s="344"/>
      <c r="W846" s="344"/>
      <c r="X846" s="344"/>
      <c r="Y846" s="344"/>
      <c r="Z846" s="344"/>
      <c r="AA846" s="344"/>
      <c r="AB846" s="344"/>
      <c r="AC846" s="344"/>
      <c r="AD846" s="344"/>
    </row>
    <row r="847">
      <c r="A847" s="344"/>
      <c r="B847" s="548"/>
      <c r="C847" s="548"/>
      <c r="D847" s="344"/>
      <c r="E847" s="344"/>
      <c r="F847" s="549"/>
      <c r="G847" s="545"/>
      <c r="H847" s="545"/>
      <c r="I847" s="344"/>
      <c r="J847" s="344"/>
      <c r="K847" s="344"/>
      <c r="L847" s="344"/>
      <c r="M847" s="344"/>
      <c r="N847" s="344"/>
      <c r="O847" s="344"/>
      <c r="P847" s="344"/>
      <c r="Q847" s="344"/>
      <c r="R847" s="344"/>
      <c r="S847" s="344"/>
      <c r="T847" s="344"/>
      <c r="U847" s="344"/>
      <c r="V847" s="344"/>
      <c r="W847" s="344"/>
      <c r="X847" s="344"/>
      <c r="Y847" s="344"/>
      <c r="Z847" s="344"/>
      <c r="AA847" s="344"/>
      <c r="AB847" s="344"/>
      <c r="AC847" s="344"/>
      <c r="AD847" s="344"/>
    </row>
    <row r="848">
      <c r="A848" s="344"/>
      <c r="B848" s="548"/>
      <c r="C848" s="548"/>
      <c r="D848" s="344"/>
      <c r="E848" s="344"/>
      <c r="F848" s="549"/>
      <c r="G848" s="545"/>
      <c r="H848" s="545"/>
      <c r="I848" s="344"/>
      <c r="J848" s="344"/>
      <c r="K848" s="344"/>
      <c r="L848" s="344"/>
      <c r="M848" s="344"/>
      <c r="N848" s="344"/>
      <c r="O848" s="344"/>
      <c r="P848" s="344"/>
      <c r="Q848" s="344"/>
      <c r="R848" s="344"/>
      <c r="S848" s="344"/>
      <c r="T848" s="344"/>
      <c r="U848" s="344"/>
      <c r="V848" s="344"/>
      <c r="W848" s="344"/>
      <c r="X848" s="344"/>
      <c r="Y848" s="344"/>
      <c r="Z848" s="344"/>
      <c r="AA848" s="344"/>
      <c r="AB848" s="344"/>
      <c r="AC848" s="344"/>
      <c r="AD848" s="344"/>
    </row>
    <row r="849">
      <c r="A849" s="344"/>
      <c r="B849" s="548"/>
      <c r="C849" s="548"/>
      <c r="D849" s="344"/>
      <c r="E849" s="344"/>
      <c r="F849" s="549"/>
      <c r="G849" s="545"/>
      <c r="H849" s="545"/>
      <c r="I849" s="344"/>
      <c r="J849" s="344"/>
      <c r="K849" s="344"/>
      <c r="L849" s="344"/>
      <c r="M849" s="344"/>
      <c r="N849" s="344"/>
      <c r="O849" s="344"/>
      <c r="P849" s="344"/>
      <c r="Q849" s="344"/>
      <c r="R849" s="344"/>
      <c r="S849" s="344"/>
      <c r="T849" s="344"/>
      <c r="U849" s="344"/>
      <c r="V849" s="344"/>
      <c r="W849" s="344"/>
      <c r="X849" s="344"/>
      <c r="Y849" s="344"/>
      <c r="Z849" s="344"/>
      <c r="AA849" s="344"/>
      <c r="AB849" s="344"/>
      <c r="AC849" s="344"/>
      <c r="AD849" s="344"/>
    </row>
    <row r="850">
      <c r="A850" s="344"/>
      <c r="B850" s="548"/>
      <c r="C850" s="548"/>
      <c r="D850" s="344"/>
      <c r="E850" s="344"/>
      <c r="F850" s="549"/>
      <c r="G850" s="545"/>
      <c r="H850" s="545"/>
      <c r="I850" s="344"/>
      <c r="J850" s="344"/>
      <c r="K850" s="344"/>
      <c r="L850" s="344"/>
      <c r="M850" s="344"/>
      <c r="N850" s="344"/>
      <c r="O850" s="344"/>
      <c r="P850" s="344"/>
      <c r="Q850" s="344"/>
      <c r="R850" s="344"/>
      <c r="S850" s="344"/>
      <c r="T850" s="344"/>
      <c r="U850" s="344"/>
      <c r="V850" s="344"/>
      <c r="W850" s="344"/>
      <c r="X850" s="344"/>
      <c r="Y850" s="344"/>
      <c r="Z850" s="344"/>
      <c r="AA850" s="344"/>
      <c r="AB850" s="344"/>
      <c r="AC850" s="344"/>
      <c r="AD850" s="344"/>
    </row>
    <row r="851">
      <c r="A851" s="344"/>
      <c r="B851" s="548"/>
      <c r="C851" s="548"/>
      <c r="D851" s="344"/>
      <c r="E851" s="344"/>
      <c r="F851" s="549"/>
      <c r="G851" s="545"/>
      <c r="H851" s="545"/>
      <c r="I851" s="344"/>
      <c r="J851" s="344"/>
      <c r="K851" s="344"/>
      <c r="L851" s="344"/>
      <c r="M851" s="344"/>
      <c r="N851" s="344"/>
      <c r="O851" s="344"/>
      <c r="P851" s="344"/>
      <c r="Q851" s="344"/>
      <c r="R851" s="344"/>
      <c r="S851" s="344"/>
      <c r="T851" s="344"/>
      <c r="U851" s="344"/>
      <c r="V851" s="344"/>
      <c r="W851" s="344"/>
      <c r="X851" s="344"/>
      <c r="Y851" s="344"/>
      <c r="Z851" s="344"/>
      <c r="AA851" s="344"/>
      <c r="AB851" s="344"/>
      <c r="AC851" s="344"/>
      <c r="AD851" s="344"/>
    </row>
    <row r="852">
      <c r="A852" s="344"/>
      <c r="B852" s="548"/>
      <c r="C852" s="548"/>
      <c r="D852" s="344"/>
      <c r="E852" s="344"/>
      <c r="F852" s="549"/>
      <c r="G852" s="545"/>
      <c r="H852" s="545"/>
      <c r="I852" s="344"/>
      <c r="J852" s="344"/>
      <c r="K852" s="344"/>
      <c r="L852" s="344"/>
      <c r="M852" s="344"/>
      <c r="N852" s="344"/>
      <c r="O852" s="344"/>
      <c r="P852" s="344"/>
      <c r="Q852" s="344"/>
      <c r="R852" s="344"/>
      <c r="S852" s="344"/>
      <c r="T852" s="344"/>
      <c r="U852" s="344"/>
      <c r="V852" s="344"/>
      <c r="W852" s="344"/>
      <c r="X852" s="344"/>
      <c r="Y852" s="344"/>
      <c r="Z852" s="344"/>
      <c r="AA852" s="344"/>
      <c r="AB852" s="344"/>
      <c r="AC852" s="344"/>
      <c r="AD852" s="344"/>
    </row>
    <row r="853">
      <c r="A853" s="344"/>
      <c r="B853" s="548"/>
      <c r="C853" s="548"/>
      <c r="D853" s="344"/>
      <c r="E853" s="344"/>
      <c r="F853" s="549"/>
      <c r="G853" s="545"/>
      <c r="H853" s="545"/>
      <c r="I853" s="344"/>
      <c r="J853" s="344"/>
      <c r="K853" s="344"/>
      <c r="L853" s="344"/>
      <c r="M853" s="344"/>
      <c r="N853" s="344"/>
      <c r="O853" s="344"/>
      <c r="P853" s="344"/>
      <c r="Q853" s="344"/>
      <c r="R853" s="344"/>
      <c r="S853" s="344"/>
      <c r="T853" s="344"/>
      <c r="U853" s="344"/>
      <c r="V853" s="344"/>
      <c r="W853" s="344"/>
      <c r="X853" s="344"/>
      <c r="Y853" s="344"/>
      <c r="Z853" s="344"/>
      <c r="AA853" s="344"/>
      <c r="AB853" s="344"/>
      <c r="AC853" s="344"/>
      <c r="AD853" s="344"/>
    </row>
    <row r="854">
      <c r="A854" s="344"/>
      <c r="B854" s="548"/>
      <c r="C854" s="548"/>
      <c r="D854" s="344"/>
      <c r="E854" s="344"/>
      <c r="F854" s="549"/>
      <c r="G854" s="545"/>
      <c r="H854" s="545"/>
      <c r="I854" s="344"/>
      <c r="J854" s="344"/>
      <c r="K854" s="344"/>
      <c r="L854" s="344"/>
      <c r="M854" s="344"/>
      <c r="N854" s="344"/>
      <c r="O854" s="344"/>
      <c r="P854" s="344"/>
      <c r="Q854" s="344"/>
      <c r="R854" s="344"/>
      <c r="S854" s="344"/>
      <c r="T854" s="344"/>
      <c r="U854" s="344"/>
      <c r="V854" s="344"/>
      <c r="W854" s="344"/>
      <c r="X854" s="344"/>
      <c r="Y854" s="344"/>
      <c r="Z854" s="344"/>
      <c r="AA854" s="344"/>
      <c r="AB854" s="344"/>
      <c r="AC854" s="344"/>
      <c r="AD854" s="344"/>
    </row>
    <row r="855">
      <c r="A855" s="344"/>
      <c r="B855" s="548"/>
      <c r="C855" s="548"/>
      <c r="D855" s="344"/>
      <c r="E855" s="344"/>
      <c r="F855" s="549"/>
      <c r="G855" s="545"/>
      <c r="H855" s="545"/>
      <c r="I855" s="344"/>
      <c r="J855" s="344"/>
      <c r="K855" s="344"/>
      <c r="L855" s="344"/>
      <c r="M855" s="344"/>
      <c r="N855" s="344"/>
      <c r="O855" s="344"/>
      <c r="P855" s="344"/>
      <c r="Q855" s="344"/>
      <c r="R855" s="344"/>
      <c r="S855" s="344"/>
      <c r="T855" s="344"/>
      <c r="U855" s="344"/>
      <c r="V855" s="344"/>
      <c r="W855" s="344"/>
      <c r="X855" s="344"/>
      <c r="Y855" s="344"/>
      <c r="Z855" s="344"/>
      <c r="AA855" s="344"/>
      <c r="AB855" s="344"/>
      <c r="AC855" s="344"/>
      <c r="AD855" s="344"/>
    </row>
    <row r="856">
      <c r="A856" s="344"/>
      <c r="B856" s="548"/>
      <c r="C856" s="548"/>
      <c r="D856" s="344"/>
      <c r="E856" s="344"/>
      <c r="F856" s="549"/>
      <c r="G856" s="545"/>
      <c r="H856" s="545"/>
      <c r="I856" s="344"/>
      <c r="J856" s="344"/>
      <c r="K856" s="344"/>
      <c r="L856" s="344"/>
      <c r="M856" s="344"/>
      <c r="N856" s="344"/>
      <c r="O856" s="344"/>
      <c r="P856" s="344"/>
      <c r="Q856" s="344"/>
      <c r="R856" s="344"/>
      <c r="S856" s="344"/>
      <c r="T856" s="344"/>
      <c r="U856" s="344"/>
      <c r="V856" s="344"/>
      <c r="W856" s="344"/>
      <c r="X856" s="344"/>
      <c r="Y856" s="344"/>
      <c r="Z856" s="344"/>
      <c r="AA856" s="344"/>
      <c r="AB856" s="344"/>
      <c r="AC856" s="344"/>
      <c r="AD856" s="344"/>
    </row>
    <row r="857">
      <c r="A857" s="344"/>
      <c r="B857" s="548"/>
      <c r="C857" s="548"/>
      <c r="D857" s="344"/>
      <c r="E857" s="344"/>
      <c r="F857" s="549"/>
      <c r="G857" s="545"/>
      <c r="H857" s="545"/>
      <c r="I857" s="344"/>
      <c r="J857" s="344"/>
      <c r="K857" s="344"/>
      <c r="L857" s="344"/>
      <c r="M857" s="344"/>
      <c r="N857" s="344"/>
      <c r="O857" s="344"/>
      <c r="P857" s="344"/>
      <c r="Q857" s="344"/>
      <c r="R857" s="344"/>
      <c r="S857" s="344"/>
      <c r="T857" s="344"/>
      <c r="U857" s="344"/>
      <c r="V857" s="344"/>
      <c r="W857" s="344"/>
      <c r="X857" s="344"/>
      <c r="Y857" s="344"/>
      <c r="Z857" s="344"/>
      <c r="AA857" s="344"/>
      <c r="AB857" s="344"/>
      <c r="AC857" s="344"/>
      <c r="AD857" s="344"/>
    </row>
    <row r="858">
      <c r="A858" s="344"/>
      <c r="B858" s="548"/>
      <c r="C858" s="548"/>
      <c r="D858" s="344"/>
      <c r="E858" s="344"/>
      <c r="F858" s="549"/>
      <c r="G858" s="545"/>
      <c r="H858" s="545"/>
      <c r="I858" s="344"/>
      <c r="J858" s="344"/>
      <c r="K858" s="344"/>
      <c r="L858" s="344"/>
      <c r="M858" s="344"/>
      <c r="N858" s="344"/>
      <c r="O858" s="344"/>
      <c r="P858" s="344"/>
      <c r="Q858" s="344"/>
      <c r="R858" s="344"/>
      <c r="S858" s="344"/>
      <c r="T858" s="344"/>
      <c r="U858" s="344"/>
      <c r="V858" s="344"/>
      <c r="W858" s="344"/>
      <c r="X858" s="344"/>
      <c r="Y858" s="344"/>
      <c r="Z858" s="344"/>
      <c r="AA858" s="344"/>
      <c r="AB858" s="344"/>
      <c r="AC858" s="344"/>
      <c r="AD858" s="344"/>
    </row>
    <row r="859">
      <c r="A859" s="344"/>
      <c r="B859" s="548"/>
      <c r="C859" s="548"/>
      <c r="D859" s="344"/>
      <c r="E859" s="344"/>
      <c r="F859" s="549"/>
      <c r="G859" s="545"/>
      <c r="H859" s="545"/>
      <c r="I859" s="344"/>
      <c r="J859" s="344"/>
      <c r="K859" s="344"/>
      <c r="L859" s="344"/>
      <c r="M859" s="344"/>
      <c r="N859" s="344"/>
      <c r="O859" s="344"/>
      <c r="P859" s="344"/>
      <c r="Q859" s="344"/>
      <c r="R859" s="344"/>
      <c r="S859" s="344"/>
      <c r="T859" s="344"/>
      <c r="U859" s="344"/>
      <c r="V859" s="344"/>
      <c r="W859" s="344"/>
      <c r="X859" s="344"/>
      <c r="Y859" s="344"/>
      <c r="Z859" s="344"/>
      <c r="AA859" s="344"/>
      <c r="AB859" s="344"/>
      <c r="AC859" s="344"/>
      <c r="AD859" s="344"/>
    </row>
    <row r="860">
      <c r="A860" s="344"/>
      <c r="B860" s="548"/>
      <c r="C860" s="548"/>
      <c r="D860" s="344"/>
      <c r="E860" s="344"/>
      <c r="F860" s="549"/>
      <c r="G860" s="545"/>
      <c r="H860" s="545"/>
      <c r="I860" s="344"/>
      <c r="J860" s="344"/>
      <c r="K860" s="344"/>
      <c r="L860" s="344"/>
      <c r="M860" s="344"/>
      <c r="N860" s="344"/>
      <c r="O860" s="344"/>
      <c r="P860" s="344"/>
      <c r="Q860" s="344"/>
      <c r="R860" s="344"/>
      <c r="S860" s="344"/>
      <c r="T860" s="344"/>
      <c r="U860" s="344"/>
      <c r="V860" s="344"/>
      <c r="W860" s="344"/>
      <c r="X860" s="344"/>
      <c r="Y860" s="344"/>
      <c r="Z860" s="344"/>
      <c r="AA860" s="344"/>
      <c r="AB860" s="344"/>
      <c r="AC860" s="344"/>
      <c r="AD860" s="344"/>
    </row>
    <row r="861">
      <c r="A861" s="344"/>
      <c r="B861" s="548"/>
      <c r="C861" s="548"/>
      <c r="D861" s="344"/>
      <c r="E861" s="344"/>
      <c r="F861" s="549"/>
      <c r="G861" s="545"/>
      <c r="H861" s="545"/>
      <c r="I861" s="344"/>
      <c r="J861" s="344"/>
      <c r="K861" s="344"/>
      <c r="L861" s="344"/>
      <c r="M861" s="344"/>
      <c r="N861" s="344"/>
      <c r="O861" s="344"/>
      <c r="P861" s="344"/>
      <c r="Q861" s="344"/>
      <c r="R861" s="344"/>
      <c r="S861" s="344"/>
      <c r="T861" s="344"/>
      <c r="U861" s="344"/>
      <c r="V861" s="344"/>
      <c r="W861" s="344"/>
      <c r="X861" s="344"/>
      <c r="Y861" s="344"/>
      <c r="Z861" s="344"/>
      <c r="AA861" s="344"/>
      <c r="AB861" s="344"/>
      <c r="AC861" s="344"/>
      <c r="AD861" s="344"/>
    </row>
    <row r="862">
      <c r="A862" s="344"/>
      <c r="B862" s="548"/>
      <c r="C862" s="548"/>
      <c r="D862" s="344"/>
      <c r="E862" s="344"/>
      <c r="F862" s="549"/>
      <c r="G862" s="545"/>
      <c r="H862" s="545"/>
      <c r="I862" s="344"/>
      <c r="J862" s="344"/>
      <c r="K862" s="344"/>
      <c r="L862" s="344"/>
      <c r="M862" s="344"/>
      <c r="N862" s="344"/>
      <c r="O862" s="344"/>
      <c r="P862" s="344"/>
      <c r="Q862" s="344"/>
      <c r="R862" s="344"/>
      <c r="S862" s="344"/>
      <c r="T862" s="344"/>
      <c r="U862" s="344"/>
      <c r="V862" s="344"/>
      <c r="W862" s="344"/>
      <c r="X862" s="344"/>
      <c r="Y862" s="344"/>
      <c r="Z862" s="344"/>
      <c r="AA862" s="344"/>
      <c r="AB862" s="344"/>
      <c r="AC862" s="344"/>
      <c r="AD862" s="344"/>
    </row>
    <row r="863">
      <c r="A863" s="344"/>
      <c r="B863" s="548"/>
      <c r="C863" s="548"/>
      <c r="D863" s="344"/>
      <c r="E863" s="344"/>
      <c r="F863" s="549"/>
      <c r="G863" s="545"/>
      <c r="H863" s="545"/>
      <c r="I863" s="344"/>
      <c r="J863" s="344"/>
      <c r="K863" s="344"/>
      <c r="L863" s="344"/>
      <c r="M863" s="344"/>
      <c r="N863" s="344"/>
      <c r="O863" s="344"/>
      <c r="P863" s="344"/>
      <c r="Q863" s="344"/>
      <c r="R863" s="344"/>
      <c r="S863" s="344"/>
      <c r="T863" s="344"/>
      <c r="U863" s="344"/>
      <c r="V863" s="344"/>
      <c r="W863" s="344"/>
      <c r="X863" s="344"/>
      <c r="Y863" s="344"/>
      <c r="Z863" s="344"/>
      <c r="AA863" s="344"/>
      <c r="AB863" s="344"/>
      <c r="AC863" s="344"/>
      <c r="AD863" s="344"/>
    </row>
    <row r="864">
      <c r="A864" s="344"/>
      <c r="B864" s="548"/>
      <c r="C864" s="548"/>
      <c r="D864" s="344"/>
      <c r="E864" s="344"/>
      <c r="F864" s="549"/>
      <c r="G864" s="545"/>
      <c r="H864" s="545"/>
      <c r="I864" s="344"/>
      <c r="J864" s="344"/>
      <c r="K864" s="344"/>
      <c r="L864" s="344"/>
      <c r="M864" s="344"/>
      <c r="N864" s="344"/>
      <c r="O864" s="344"/>
      <c r="P864" s="344"/>
      <c r="Q864" s="344"/>
      <c r="R864" s="344"/>
      <c r="S864" s="344"/>
      <c r="T864" s="344"/>
      <c r="U864" s="344"/>
      <c r="V864" s="344"/>
      <c r="W864" s="344"/>
      <c r="X864" s="344"/>
      <c r="Y864" s="344"/>
      <c r="Z864" s="344"/>
      <c r="AA864" s="344"/>
      <c r="AB864" s="344"/>
      <c r="AC864" s="344"/>
      <c r="AD864" s="344"/>
    </row>
    <row r="865">
      <c r="A865" s="344"/>
      <c r="B865" s="548"/>
      <c r="C865" s="548"/>
      <c r="D865" s="344"/>
      <c r="E865" s="344"/>
      <c r="F865" s="549"/>
      <c r="G865" s="545"/>
      <c r="H865" s="545"/>
      <c r="I865" s="344"/>
      <c r="J865" s="344"/>
      <c r="K865" s="344"/>
      <c r="L865" s="344"/>
      <c r="M865" s="344"/>
      <c r="N865" s="344"/>
      <c r="O865" s="344"/>
      <c r="P865" s="344"/>
      <c r="Q865" s="344"/>
      <c r="R865" s="344"/>
      <c r="S865" s="344"/>
      <c r="T865" s="344"/>
      <c r="U865" s="344"/>
      <c r="V865" s="344"/>
      <c r="W865" s="344"/>
      <c r="X865" s="344"/>
      <c r="Y865" s="344"/>
      <c r="Z865" s="344"/>
      <c r="AA865" s="344"/>
      <c r="AB865" s="344"/>
      <c r="AC865" s="344"/>
      <c r="AD865" s="344"/>
    </row>
    <row r="866">
      <c r="A866" s="344"/>
      <c r="B866" s="548"/>
      <c r="C866" s="548"/>
      <c r="D866" s="344"/>
      <c r="E866" s="344"/>
      <c r="F866" s="549"/>
      <c r="G866" s="545"/>
      <c r="H866" s="545"/>
      <c r="I866" s="344"/>
      <c r="J866" s="344"/>
      <c r="K866" s="344"/>
      <c r="L866" s="344"/>
      <c r="M866" s="344"/>
      <c r="N866" s="344"/>
      <c r="O866" s="344"/>
      <c r="P866" s="344"/>
      <c r="Q866" s="344"/>
      <c r="R866" s="344"/>
      <c r="S866" s="344"/>
      <c r="T866" s="344"/>
      <c r="U866" s="344"/>
      <c r="V866" s="344"/>
      <c r="W866" s="344"/>
      <c r="X866" s="344"/>
      <c r="Y866" s="344"/>
      <c r="Z866" s="344"/>
      <c r="AA866" s="344"/>
      <c r="AB866" s="344"/>
      <c r="AC866" s="344"/>
      <c r="AD866" s="344"/>
    </row>
    <row r="867">
      <c r="A867" s="344"/>
      <c r="B867" s="548"/>
      <c r="C867" s="548"/>
      <c r="D867" s="344"/>
      <c r="E867" s="344"/>
      <c r="F867" s="549"/>
      <c r="G867" s="545"/>
      <c r="H867" s="545"/>
      <c r="I867" s="344"/>
      <c r="J867" s="344"/>
      <c r="K867" s="344"/>
      <c r="L867" s="344"/>
      <c r="M867" s="344"/>
      <c r="N867" s="344"/>
      <c r="O867" s="344"/>
      <c r="P867" s="344"/>
      <c r="Q867" s="344"/>
      <c r="R867" s="344"/>
      <c r="S867" s="344"/>
      <c r="T867" s="344"/>
      <c r="U867" s="344"/>
      <c r="V867" s="344"/>
      <c r="W867" s="344"/>
      <c r="X867" s="344"/>
      <c r="Y867" s="344"/>
      <c r="Z867" s="344"/>
      <c r="AA867" s="344"/>
      <c r="AB867" s="344"/>
      <c r="AC867" s="344"/>
      <c r="AD867" s="344"/>
    </row>
    <row r="868">
      <c r="A868" s="344"/>
      <c r="B868" s="548"/>
      <c r="C868" s="548"/>
      <c r="D868" s="344"/>
      <c r="E868" s="344"/>
      <c r="F868" s="549"/>
      <c r="G868" s="545"/>
      <c r="H868" s="545"/>
      <c r="I868" s="344"/>
      <c r="J868" s="344"/>
      <c r="K868" s="344"/>
      <c r="L868" s="344"/>
      <c r="M868" s="344"/>
      <c r="N868" s="344"/>
      <c r="O868" s="344"/>
      <c r="P868" s="344"/>
      <c r="Q868" s="344"/>
      <c r="R868" s="344"/>
      <c r="S868" s="344"/>
      <c r="T868" s="344"/>
      <c r="U868" s="344"/>
      <c r="V868" s="344"/>
      <c r="W868" s="344"/>
      <c r="X868" s="344"/>
      <c r="Y868" s="344"/>
      <c r="Z868" s="344"/>
      <c r="AA868" s="344"/>
      <c r="AB868" s="344"/>
      <c r="AC868" s="344"/>
      <c r="AD868" s="344"/>
    </row>
    <row r="869">
      <c r="A869" s="344"/>
      <c r="B869" s="548"/>
      <c r="C869" s="548"/>
      <c r="D869" s="344"/>
      <c r="E869" s="344"/>
      <c r="F869" s="549"/>
      <c r="G869" s="545"/>
      <c r="H869" s="545"/>
      <c r="I869" s="344"/>
      <c r="J869" s="344"/>
      <c r="K869" s="344"/>
      <c r="L869" s="344"/>
      <c r="M869" s="344"/>
      <c r="N869" s="344"/>
      <c r="O869" s="344"/>
      <c r="P869" s="344"/>
      <c r="Q869" s="344"/>
      <c r="R869" s="344"/>
      <c r="S869" s="344"/>
      <c r="T869" s="344"/>
      <c r="U869" s="344"/>
      <c r="V869" s="344"/>
      <c r="W869" s="344"/>
      <c r="X869" s="344"/>
      <c r="Y869" s="344"/>
      <c r="Z869" s="344"/>
      <c r="AA869" s="344"/>
      <c r="AB869" s="344"/>
      <c r="AC869" s="344"/>
      <c r="AD869" s="344"/>
    </row>
    <row r="870">
      <c r="A870" s="344"/>
      <c r="B870" s="548"/>
      <c r="C870" s="548"/>
      <c r="D870" s="344"/>
      <c r="E870" s="344"/>
      <c r="F870" s="549"/>
      <c r="G870" s="545"/>
      <c r="H870" s="545"/>
      <c r="I870" s="344"/>
      <c r="J870" s="344"/>
      <c r="K870" s="344"/>
      <c r="L870" s="344"/>
      <c r="M870" s="344"/>
      <c r="N870" s="344"/>
      <c r="O870" s="344"/>
      <c r="P870" s="344"/>
      <c r="Q870" s="344"/>
      <c r="R870" s="344"/>
      <c r="S870" s="344"/>
      <c r="T870" s="344"/>
      <c r="U870" s="344"/>
      <c r="V870" s="344"/>
      <c r="W870" s="344"/>
      <c r="X870" s="344"/>
      <c r="Y870" s="344"/>
      <c r="Z870" s="344"/>
      <c r="AA870" s="344"/>
      <c r="AB870" s="344"/>
      <c r="AC870" s="344"/>
      <c r="AD870" s="344"/>
    </row>
    <row r="871">
      <c r="A871" s="344"/>
      <c r="B871" s="548"/>
      <c r="C871" s="548"/>
      <c r="D871" s="344"/>
      <c r="E871" s="344"/>
      <c r="F871" s="549"/>
      <c r="G871" s="545"/>
      <c r="H871" s="545"/>
      <c r="I871" s="344"/>
      <c r="J871" s="344"/>
      <c r="K871" s="344"/>
      <c r="L871" s="344"/>
      <c r="M871" s="344"/>
      <c r="N871" s="344"/>
      <c r="O871" s="344"/>
      <c r="P871" s="344"/>
      <c r="Q871" s="344"/>
      <c r="R871" s="344"/>
      <c r="S871" s="344"/>
      <c r="T871" s="344"/>
      <c r="U871" s="344"/>
      <c r="V871" s="344"/>
      <c r="W871" s="344"/>
      <c r="X871" s="344"/>
      <c r="Y871" s="344"/>
      <c r="Z871" s="344"/>
      <c r="AA871" s="344"/>
      <c r="AB871" s="344"/>
      <c r="AC871" s="344"/>
      <c r="AD871" s="344"/>
    </row>
    <row r="872">
      <c r="A872" s="344"/>
      <c r="B872" s="548"/>
      <c r="C872" s="548"/>
      <c r="D872" s="344"/>
      <c r="E872" s="344"/>
      <c r="F872" s="549"/>
      <c r="G872" s="545"/>
      <c r="H872" s="545"/>
      <c r="I872" s="344"/>
      <c r="J872" s="344"/>
      <c r="K872" s="344"/>
      <c r="L872" s="344"/>
      <c r="M872" s="344"/>
      <c r="N872" s="344"/>
      <c r="O872" s="344"/>
      <c r="P872" s="344"/>
      <c r="Q872" s="344"/>
      <c r="R872" s="344"/>
      <c r="S872" s="344"/>
      <c r="T872" s="344"/>
      <c r="U872" s="344"/>
      <c r="V872" s="344"/>
      <c r="W872" s="344"/>
      <c r="X872" s="344"/>
      <c r="Y872" s="344"/>
      <c r="Z872" s="344"/>
      <c r="AA872" s="344"/>
      <c r="AB872" s="344"/>
      <c r="AC872" s="344"/>
      <c r="AD872" s="344"/>
    </row>
    <row r="873">
      <c r="A873" s="344"/>
      <c r="B873" s="548"/>
      <c r="C873" s="548"/>
      <c r="D873" s="344"/>
      <c r="E873" s="344"/>
      <c r="F873" s="549"/>
      <c r="G873" s="545"/>
      <c r="H873" s="545"/>
      <c r="I873" s="344"/>
      <c r="J873" s="344"/>
      <c r="K873" s="344"/>
      <c r="L873" s="344"/>
      <c r="M873" s="344"/>
      <c r="N873" s="344"/>
      <c r="O873" s="344"/>
      <c r="P873" s="344"/>
      <c r="Q873" s="344"/>
      <c r="R873" s="344"/>
      <c r="S873" s="344"/>
      <c r="T873" s="344"/>
      <c r="U873" s="344"/>
      <c r="V873" s="344"/>
      <c r="W873" s="344"/>
      <c r="X873" s="344"/>
      <c r="Y873" s="344"/>
      <c r="Z873" s="344"/>
      <c r="AA873" s="344"/>
      <c r="AB873" s="344"/>
      <c r="AC873" s="344"/>
      <c r="AD873" s="344"/>
    </row>
    <row r="874">
      <c r="A874" s="344"/>
      <c r="B874" s="548"/>
      <c r="C874" s="548"/>
      <c r="D874" s="344"/>
      <c r="E874" s="344"/>
      <c r="F874" s="549"/>
      <c r="G874" s="545"/>
      <c r="H874" s="545"/>
      <c r="I874" s="344"/>
      <c r="J874" s="344"/>
      <c r="K874" s="344"/>
      <c r="L874" s="344"/>
      <c r="M874" s="344"/>
      <c r="N874" s="344"/>
      <c r="O874" s="344"/>
      <c r="P874" s="344"/>
      <c r="Q874" s="344"/>
      <c r="R874" s="344"/>
      <c r="S874" s="344"/>
      <c r="T874" s="344"/>
      <c r="U874" s="344"/>
      <c r="V874" s="344"/>
      <c r="W874" s="344"/>
      <c r="X874" s="344"/>
      <c r="Y874" s="344"/>
      <c r="Z874" s="344"/>
      <c r="AA874" s="344"/>
      <c r="AB874" s="344"/>
      <c r="AC874" s="344"/>
      <c r="AD874" s="344"/>
    </row>
    <row r="875">
      <c r="A875" s="344"/>
      <c r="B875" s="548"/>
      <c r="C875" s="548"/>
      <c r="D875" s="344"/>
      <c r="E875" s="344"/>
      <c r="F875" s="549"/>
      <c r="G875" s="545"/>
      <c r="H875" s="545"/>
      <c r="I875" s="344"/>
      <c r="J875" s="344"/>
      <c r="K875" s="344"/>
      <c r="L875" s="344"/>
      <c r="M875" s="344"/>
      <c r="N875" s="344"/>
      <c r="O875" s="344"/>
      <c r="P875" s="344"/>
      <c r="Q875" s="344"/>
      <c r="R875" s="344"/>
      <c r="S875" s="344"/>
      <c r="T875" s="344"/>
      <c r="U875" s="344"/>
      <c r="V875" s="344"/>
      <c r="W875" s="344"/>
      <c r="X875" s="344"/>
      <c r="Y875" s="344"/>
      <c r="Z875" s="344"/>
      <c r="AA875" s="344"/>
      <c r="AB875" s="344"/>
      <c r="AC875" s="344"/>
      <c r="AD875" s="344"/>
    </row>
    <row r="876">
      <c r="A876" s="344"/>
      <c r="B876" s="548"/>
      <c r="C876" s="548"/>
      <c r="D876" s="344"/>
      <c r="E876" s="344"/>
      <c r="F876" s="549"/>
      <c r="G876" s="545"/>
      <c r="H876" s="545"/>
      <c r="I876" s="344"/>
      <c r="J876" s="344"/>
      <c r="K876" s="344"/>
      <c r="L876" s="344"/>
      <c r="M876" s="344"/>
      <c r="N876" s="344"/>
      <c r="O876" s="344"/>
      <c r="P876" s="344"/>
      <c r="Q876" s="344"/>
      <c r="R876" s="344"/>
      <c r="S876" s="344"/>
      <c r="T876" s="344"/>
      <c r="U876" s="344"/>
      <c r="V876" s="344"/>
      <c r="W876" s="344"/>
      <c r="X876" s="344"/>
      <c r="Y876" s="344"/>
      <c r="Z876" s="344"/>
      <c r="AA876" s="344"/>
      <c r="AB876" s="344"/>
      <c r="AC876" s="344"/>
      <c r="AD876" s="344"/>
    </row>
    <row r="877">
      <c r="A877" s="344"/>
      <c r="B877" s="548"/>
      <c r="C877" s="548"/>
      <c r="D877" s="344"/>
      <c r="E877" s="344"/>
      <c r="F877" s="549"/>
      <c r="G877" s="545"/>
      <c r="H877" s="545"/>
      <c r="I877" s="344"/>
      <c r="J877" s="344"/>
      <c r="K877" s="344"/>
      <c r="L877" s="344"/>
      <c r="M877" s="344"/>
      <c r="N877" s="344"/>
      <c r="O877" s="344"/>
      <c r="P877" s="344"/>
      <c r="Q877" s="344"/>
      <c r="R877" s="344"/>
      <c r="S877" s="344"/>
      <c r="T877" s="344"/>
      <c r="U877" s="344"/>
      <c r="V877" s="344"/>
      <c r="W877" s="344"/>
      <c r="X877" s="344"/>
      <c r="Y877" s="344"/>
      <c r="Z877" s="344"/>
      <c r="AA877" s="344"/>
      <c r="AB877" s="344"/>
      <c r="AC877" s="344"/>
      <c r="AD877" s="344"/>
    </row>
    <row r="878">
      <c r="A878" s="344"/>
      <c r="B878" s="548"/>
      <c r="C878" s="548"/>
      <c r="D878" s="344"/>
      <c r="E878" s="344"/>
      <c r="F878" s="549"/>
      <c r="G878" s="545"/>
      <c r="H878" s="545"/>
      <c r="I878" s="344"/>
      <c r="J878" s="344"/>
      <c r="K878" s="344"/>
      <c r="L878" s="344"/>
      <c r="M878" s="344"/>
      <c r="N878" s="344"/>
      <c r="O878" s="344"/>
      <c r="P878" s="344"/>
      <c r="Q878" s="344"/>
      <c r="R878" s="344"/>
      <c r="S878" s="344"/>
      <c r="T878" s="344"/>
      <c r="U878" s="344"/>
      <c r="V878" s="344"/>
      <c r="W878" s="344"/>
      <c r="X878" s="344"/>
      <c r="Y878" s="344"/>
      <c r="Z878" s="344"/>
      <c r="AA878" s="344"/>
      <c r="AB878" s="344"/>
      <c r="AC878" s="344"/>
      <c r="AD878" s="344"/>
    </row>
    <row r="879">
      <c r="A879" s="344"/>
      <c r="B879" s="548"/>
      <c r="C879" s="548"/>
      <c r="D879" s="344"/>
      <c r="E879" s="344"/>
      <c r="F879" s="549"/>
      <c r="G879" s="545"/>
      <c r="H879" s="545"/>
      <c r="I879" s="344"/>
      <c r="J879" s="344"/>
      <c r="K879" s="344"/>
      <c r="L879" s="344"/>
      <c r="M879" s="344"/>
      <c r="N879" s="344"/>
      <c r="O879" s="344"/>
      <c r="P879" s="344"/>
      <c r="Q879" s="344"/>
      <c r="R879" s="344"/>
      <c r="S879" s="344"/>
      <c r="T879" s="344"/>
      <c r="U879" s="344"/>
      <c r="V879" s="344"/>
      <c r="W879" s="344"/>
      <c r="X879" s="344"/>
      <c r="Y879" s="344"/>
      <c r="Z879" s="344"/>
      <c r="AA879" s="344"/>
      <c r="AB879" s="344"/>
      <c r="AC879" s="344"/>
      <c r="AD879" s="344"/>
    </row>
    <row r="880">
      <c r="A880" s="344"/>
      <c r="B880" s="548"/>
      <c r="C880" s="548"/>
      <c r="D880" s="344"/>
      <c r="E880" s="344"/>
      <c r="F880" s="549"/>
      <c r="G880" s="545"/>
      <c r="H880" s="545"/>
      <c r="I880" s="344"/>
      <c r="J880" s="344"/>
      <c r="K880" s="344"/>
      <c r="L880" s="344"/>
      <c r="M880" s="344"/>
      <c r="N880" s="344"/>
      <c r="O880" s="344"/>
      <c r="P880" s="344"/>
      <c r="Q880" s="344"/>
      <c r="R880" s="344"/>
      <c r="S880" s="344"/>
      <c r="T880" s="344"/>
      <c r="U880" s="344"/>
      <c r="V880" s="344"/>
      <c r="W880" s="344"/>
      <c r="X880" s="344"/>
      <c r="Y880" s="344"/>
      <c r="Z880" s="344"/>
      <c r="AA880" s="344"/>
      <c r="AB880" s="344"/>
      <c r="AC880" s="344"/>
      <c r="AD880" s="344"/>
    </row>
    <row r="881">
      <c r="A881" s="344"/>
      <c r="B881" s="548"/>
      <c r="C881" s="548"/>
      <c r="D881" s="344"/>
      <c r="E881" s="344"/>
      <c r="F881" s="549"/>
      <c r="G881" s="545"/>
      <c r="H881" s="545"/>
      <c r="I881" s="344"/>
      <c r="J881" s="344"/>
      <c r="K881" s="344"/>
      <c r="L881" s="344"/>
      <c r="M881" s="344"/>
      <c r="N881" s="344"/>
      <c r="O881" s="344"/>
      <c r="P881" s="344"/>
      <c r="Q881" s="344"/>
      <c r="R881" s="344"/>
      <c r="S881" s="344"/>
      <c r="T881" s="344"/>
      <c r="U881" s="344"/>
      <c r="V881" s="344"/>
      <c r="W881" s="344"/>
      <c r="X881" s="344"/>
      <c r="Y881" s="344"/>
      <c r="Z881" s="344"/>
      <c r="AA881" s="344"/>
      <c r="AB881" s="344"/>
      <c r="AC881" s="344"/>
      <c r="AD881" s="344"/>
    </row>
    <row r="882">
      <c r="A882" s="344"/>
      <c r="B882" s="548"/>
      <c r="C882" s="548"/>
      <c r="D882" s="344"/>
      <c r="E882" s="344"/>
      <c r="F882" s="549"/>
      <c r="G882" s="545"/>
      <c r="H882" s="545"/>
      <c r="I882" s="344"/>
      <c r="J882" s="344"/>
      <c r="K882" s="344"/>
      <c r="L882" s="344"/>
      <c r="M882" s="344"/>
      <c r="N882" s="344"/>
      <c r="O882" s="344"/>
      <c r="P882" s="344"/>
      <c r="Q882" s="344"/>
      <c r="R882" s="344"/>
      <c r="S882" s="344"/>
      <c r="T882" s="344"/>
      <c r="U882" s="344"/>
      <c r="V882" s="344"/>
      <c r="W882" s="344"/>
      <c r="X882" s="344"/>
      <c r="Y882" s="344"/>
      <c r="Z882" s="344"/>
      <c r="AA882" s="344"/>
      <c r="AB882" s="344"/>
      <c r="AC882" s="344"/>
      <c r="AD882" s="344"/>
    </row>
    <row r="883">
      <c r="A883" s="344"/>
      <c r="B883" s="548"/>
      <c r="C883" s="548"/>
      <c r="D883" s="344"/>
      <c r="E883" s="344"/>
      <c r="F883" s="549"/>
      <c r="G883" s="545"/>
      <c r="H883" s="545"/>
      <c r="I883" s="344"/>
      <c r="J883" s="344"/>
      <c r="K883" s="344"/>
      <c r="L883" s="344"/>
      <c r="M883" s="344"/>
      <c r="N883" s="344"/>
      <c r="O883" s="344"/>
      <c r="P883" s="344"/>
      <c r="Q883" s="344"/>
      <c r="R883" s="344"/>
      <c r="S883" s="344"/>
      <c r="T883" s="344"/>
      <c r="U883" s="344"/>
      <c r="V883" s="344"/>
      <c r="W883" s="344"/>
      <c r="X883" s="344"/>
      <c r="Y883" s="344"/>
      <c r="Z883" s="344"/>
      <c r="AA883" s="344"/>
      <c r="AB883" s="344"/>
      <c r="AC883" s="344"/>
      <c r="AD883" s="344"/>
    </row>
    <row r="884">
      <c r="A884" s="344"/>
      <c r="B884" s="548"/>
      <c r="C884" s="548"/>
      <c r="D884" s="344"/>
      <c r="E884" s="344"/>
      <c r="F884" s="549"/>
      <c r="G884" s="545"/>
      <c r="H884" s="545"/>
      <c r="I884" s="344"/>
      <c r="J884" s="344"/>
      <c r="K884" s="344"/>
      <c r="L884" s="344"/>
      <c r="M884" s="344"/>
      <c r="N884" s="344"/>
      <c r="O884" s="344"/>
      <c r="P884" s="344"/>
      <c r="Q884" s="344"/>
      <c r="R884" s="344"/>
      <c r="S884" s="344"/>
      <c r="T884" s="344"/>
      <c r="U884" s="344"/>
      <c r="V884" s="344"/>
      <c r="W884" s="344"/>
      <c r="X884" s="344"/>
      <c r="Y884" s="344"/>
      <c r="Z884" s="344"/>
      <c r="AA884" s="344"/>
      <c r="AB884" s="344"/>
      <c r="AC884" s="344"/>
      <c r="AD884" s="344"/>
    </row>
    <row r="885">
      <c r="A885" s="344"/>
      <c r="B885" s="548"/>
      <c r="C885" s="548"/>
      <c r="D885" s="344"/>
      <c r="E885" s="344"/>
      <c r="F885" s="549"/>
      <c r="G885" s="545"/>
      <c r="H885" s="545"/>
      <c r="I885" s="344"/>
      <c r="J885" s="344"/>
      <c r="K885" s="344"/>
      <c r="L885" s="344"/>
      <c r="M885" s="344"/>
      <c r="N885" s="344"/>
      <c r="O885" s="344"/>
      <c r="P885" s="344"/>
      <c r="Q885" s="344"/>
      <c r="R885" s="344"/>
      <c r="S885" s="344"/>
      <c r="T885" s="344"/>
      <c r="U885" s="344"/>
      <c r="V885" s="344"/>
      <c r="W885" s="344"/>
      <c r="X885" s="344"/>
      <c r="Y885" s="344"/>
      <c r="Z885" s="344"/>
      <c r="AA885" s="344"/>
      <c r="AB885" s="344"/>
      <c r="AC885" s="344"/>
      <c r="AD885" s="344"/>
    </row>
    <row r="886">
      <c r="A886" s="344"/>
      <c r="B886" s="548"/>
      <c r="C886" s="548"/>
      <c r="D886" s="344"/>
      <c r="E886" s="344"/>
      <c r="F886" s="549"/>
      <c r="G886" s="545"/>
      <c r="H886" s="545"/>
      <c r="I886" s="344"/>
      <c r="J886" s="344"/>
      <c r="K886" s="344"/>
      <c r="L886" s="344"/>
      <c r="M886" s="344"/>
      <c r="N886" s="344"/>
      <c r="O886" s="344"/>
      <c r="P886" s="344"/>
      <c r="Q886" s="344"/>
      <c r="R886" s="344"/>
      <c r="S886" s="344"/>
      <c r="T886" s="344"/>
      <c r="U886" s="344"/>
      <c r="V886" s="344"/>
      <c r="W886" s="344"/>
      <c r="X886" s="344"/>
      <c r="Y886" s="344"/>
      <c r="Z886" s="344"/>
      <c r="AA886" s="344"/>
      <c r="AB886" s="344"/>
      <c r="AC886" s="344"/>
      <c r="AD886" s="344"/>
    </row>
    <row r="887">
      <c r="A887" s="344"/>
      <c r="B887" s="548"/>
      <c r="C887" s="548"/>
      <c r="D887" s="344"/>
      <c r="E887" s="344"/>
      <c r="F887" s="549"/>
      <c r="G887" s="545"/>
      <c r="H887" s="545"/>
      <c r="I887" s="344"/>
      <c r="J887" s="344"/>
      <c r="K887" s="344"/>
      <c r="L887" s="344"/>
      <c r="M887" s="344"/>
      <c r="N887" s="344"/>
      <c r="O887" s="344"/>
      <c r="P887" s="344"/>
      <c r="Q887" s="344"/>
      <c r="R887" s="344"/>
      <c r="S887" s="344"/>
      <c r="T887" s="344"/>
      <c r="U887" s="344"/>
      <c r="V887" s="344"/>
      <c r="W887" s="344"/>
      <c r="X887" s="344"/>
      <c r="Y887" s="344"/>
      <c r="Z887" s="344"/>
      <c r="AA887" s="344"/>
      <c r="AB887" s="344"/>
      <c r="AC887" s="344"/>
      <c r="AD887" s="344"/>
    </row>
    <row r="888">
      <c r="A888" s="344"/>
      <c r="B888" s="548"/>
      <c r="C888" s="548"/>
      <c r="D888" s="344"/>
      <c r="E888" s="344"/>
      <c r="F888" s="549"/>
      <c r="G888" s="545"/>
      <c r="H888" s="545"/>
      <c r="I888" s="344"/>
      <c r="J888" s="344"/>
      <c r="K888" s="344"/>
      <c r="L888" s="344"/>
      <c r="M888" s="344"/>
      <c r="N888" s="344"/>
      <c r="O888" s="344"/>
      <c r="P888" s="344"/>
      <c r="Q888" s="344"/>
      <c r="R888" s="344"/>
      <c r="S888" s="344"/>
      <c r="T888" s="344"/>
      <c r="U888" s="344"/>
      <c r="V888" s="344"/>
      <c r="W888" s="344"/>
      <c r="X888" s="344"/>
      <c r="Y888" s="344"/>
      <c r="Z888" s="344"/>
      <c r="AA888" s="344"/>
      <c r="AB888" s="344"/>
      <c r="AC888" s="344"/>
      <c r="AD888" s="344"/>
    </row>
    <row r="889">
      <c r="A889" s="344"/>
      <c r="B889" s="548"/>
      <c r="C889" s="548"/>
      <c r="D889" s="344"/>
      <c r="E889" s="344"/>
      <c r="F889" s="549"/>
      <c r="G889" s="545"/>
      <c r="H889" s="545"/>
      <c r="I889" s="344"/>
      <c r="J889" s="344"/>
      <c r="K889" s="344"/>
      <c r="L889" s="344"/>
      <c r="M889" s="344"/>
      <c r="N889" s="344"/>
      <c r="O889" s="344"/>
      <c r="P889" s="344"/>
      <c r="Q889" s="344"/>
      <c r="R889" s="344"/>
      <c r="S889" s="344"/>
      <c r="T889" s="344"/>
      <c r="U889" s="344"/>
      <c r="V889" s="344"/>
      <c r="W889" s="344"/>
      <c r="X889" s="344"/>
      <c r="Y889" s="344"/>
      <c r="Z889" s="344"/>
      <c r="AA889" s="344"/>
      <c r="AB889" s="344"/>
      <c r="AC889" s="344"/>
      <c r="AD889" s="344"/>
    </row>
    <row r="890">
      <c r="A890" s="344"/>
      <c r="B890" s="548"/>
      <c r="C890" s="548"/>
      <c r="D890" s="344"/>
      <c r="E890" s="344"/>
      <c r="F890" s="549"/>
      <c r="G890" s="545"/>
      <c r="H890" s="545"/>
      <c r="I890" s="344"/>
      <c r="J890" s="344"/>
      <c r="K890" s="344"/>
      <c r="L890" s="344"/>
      <c r="M890" s="344"/>
      <c r="N890" s="344"/>
      <c r="O890" s="344"/>
      <c r="P890" s="344"/>
      <c r="Q890" s="344"/>
      <c r="R890" s="344"/>
      <c r="S890" s="344"/>
      <c r="T890" s="344"/>
      <c r="U890" s="344"/>
      <c r="V890" s="344"/>
      <c r="W890" s="344"/>
      <c r="X890" s="344"/>
      <c r="Y890" s="344"/>
      <c r="Z890" s="344"/>
      <c r="AA890" s="344"/>
      <c r="AB890" s="344"/>
      <c r="AC890" s="344"/>
      <c r="AD890" s="344"/>
    </row>
    <row r="891">
      <c r="A891" s="344"/>
      <c r="B891" s="548"/>
      <c r="C891" s="548"/>
      <c r="D891" s="344"/>
      <c r="E891" s="344"/>
      <c r="F891" s="549"/>
      <c r="G891" s="545"/>
      <c r="H891" s="545"/>
      <c r="I891" s="344"/>
      <c r="J891" s="344"/>
      <c r="K891" s="344"/>
      <c r="L891" s="344"/>
      <c r="M891" s="344"/>
      <c r="N891" s="344"/>
      <c r="O891" s="344"/>
      <c r="P891" s="344"/>
      <c r="Q891" s="344"/>
      <c r="R891" s="344"/>
      <c r="S891" s="344"/>
      <c r="T891" s="344"/>
      <c r="U891" s="344"/>
      <c r="V891" s="344"/>
      <c r="W891" s="344"/>
      <c r="X891" s="344"/>
      <c r="Y891" s="344"/>
      <c r="Z891" s="344"/>
      <c r="AA891" s="344"/>
      <c r="AB891" s="344"/>
      <c r="AC891" s="344"/>
      <c r="AD891" s="344"/>
    </row>
    <row r="892">
      <c r="A892" s="344"/>
      <c r="B892" s="548"/>
      <c r="C892" s="548"/>
      <c r="D892" s="344"/>
      <c r="E892" s="344"/>
      <c r="F892" s="549"/>
      <c r="G892" s="545"/>
      <c r="H892" s="545"/>
      <c r="I892" s="344"/>
      <c r="J892" s="344"/>
      <c r="K892" s="344"/>
      <c r="L892" s="344"/>
      <c r="M892" s="344"/>
      <c r="N892" s="344"/>
      <c r="O892" s="344"/>
      <c r="P892" s="344"/>
      <c r="Q892" s="344"/>
      <c r="R892" s="344"/>
      <c r="S892" s="344"/>
      <c r="T892" s="344"/>
      <c r="U892" s="344"/>
      <c r="V892" s="344"/>
      <c r="W892" s="344"/>
      <c r="X892" s="344"/>
      <c r="Y892" s="344"/>
      <c r="Z892" s="344"/>
      <c r="AA892" s="344"/>
      <c r="AB892" s="344"/>
      <c r="AC892" s="344"/>
      <c r="AD892" s="344"/>
    </row>
    <row r="893">
      <c r="A893" s="344"/>
      <c r="B893" s="548"/>
      <c r="C893" s="548"/>
      <c r="D893" s="344"/>
      <c r="E893" s="344"/>
      <c r="F893" s="549"/>
      <c r="G893" s="545"/>
      <c r="H893" s="545"/>
      <c r="I893" s="344"/>
      <c r="J893" s="344"/>
      <c r="K893" s="344"/>
      <c r="L893" s="344"/>
      <c r="M893" s="344"/>
      <c r="N893" s="344"/>
      <c r="O893" s="344"/>
      <c r="P893" s="344"/>
      <c r="Q893" s="344"/>
      <c r="R893" s="344"/>
      <c r="S893" s="344"/>
      <c r="T893" s="344"/>
      <c r="U893" s="344"/>
      <c r="V893" s="344"/>
      <c r="W893" s="344"/>
      <c r="X893" s="344"/>
      <c r="Y893" s="344"/>
      <c r="Z893" s="344"/>
      <c r="AA893" s="344"/>
      <c r="AB893" s="344"/>
      <c r="AC893" s="344"/>
      <c r="AD893" s="344"/>
    </row>
    <row r="894">
      <c r="A894" s="344"/>
      <c r="B894" s="548"/>
      <c r="C894" s="548"/>
      <c r="D894" s="344"/>
      <c r="E894" s="344"/>
      <c r="F894" s="549"/>
      <c r="G894" s="545"/>
      <c r="H894" s="545"/>
      <c r="I894" s="344"/>
      <c r="J894" s="344"/>
      <c r="K894" s="344"/>
      <c r="L894" s="344"/>
      <c r="M894" s="344"/>
      <c r="N894" s="344"/>
      <c r="O894" s="344"/>
      <c r="P894" s="344"/>
      <c r="Q894" s="344"/>
      <c r="R894" s="344"/>
      <c r="S894" s="344"/>
      <c r="T894" s="344"/>
      <c r="U894" s="344"/>
      <c r="V894" s="344"/>
      <c r="W894" s="344"/>
      <c r="X894" s="344"/>
      <c r="Y894" s="344"/>
      <c r="Z894" s="344"/>
      <c r="AA894" s="344"/>
      <c r="AB894" s="344"/>
      <c r="AC894" s="344"/>
      <c r="AD894" s="344"/>
    </row>
    <row r="895">
      <c r="A895" s="344"/>
      <c r="B895" s="548"/>
      <c r="C895" s="548"/>
      <c r="D895" s="344"/>
      <c r="E895" s="344"/>
      <c r="F895" s="549"/>
      <c r="G895" s="545"/>
      <c r="H895" s="545"/>
      <c r="I895" s="344"/>
      <c r="J895" s="344"/>
      <c r="K895" s="344"/>
      <c r="L895" s="344"/>
      <c r="M895" s="344"/>
      <c r="N895" s="344"/>
      <c r="O895" s="344"/>
      <c r="P895" s="344"/>
      <c r="Q895" s="344"/>
      <c r="R895" s="344"/>
      <c r="S895" s="344"/>
      <c r="T895" s="344"/>
      <c r="U895" s="344"/>
      <c r="V895" s="344"/>
      <c r="W895" s="344"/>
      <c r="X895" s="344"/>
      <c r="Y895" s="344"/>
      <c r="Z895" s="344"/>
      <c r="AA895" s="344"/>
      <c r="AB895" s="344"/>
      <c r="AC895" s="344"/>
      <c r="AD895" s="344"/>
    </row>
    <row r="896">
      <c r="A896" s="344"/>
      <c r="B896" s="548"/>
      <c r="C896" s="548"/>
      <c r="D896" s="344"/>
      <c r="E896" s="344"/>
      <c r="F896" s="549"/>
      <c r="G896" s="545"/>
      <c r="H896" s="545"/>
      <c r="I896" s="344"/>
      <c r="J896" s="344"/>
      <c r="K896" s="344"/>
      <c r="L896" s="344"/>
      <c r="M896" s="344"/>
      <c r="N896" s="344"/>
      <c r="O896" s="344"/>
      <c r="P896" s="344"/>
      <c r="Q896" s="344"/>
      <c r="R896" s="344"/>
      <c r="S896" s="344"/>
      <c r="T896" s="344"/>
      <c r="U896" s="344"/>
      <c r="V896" s="344"/>
      <c r="W896" s="344"/>
      <c r="X896" s="344"/>
      <c r="Y896" s="344"/>
      <c r="Z896" s="344"/>
      <c r="AA896" s="344"/>
      <c r="AB896" s="344"/>
      <c r="AC896" s="344"/>
      <c r="AD896" s="344"/>
    </row>
    <row r="897">
      <c r="A897" s="344"/>
      <c r="B897" s="548"/>
      <c r="C897" s="548"/>
      <c r="D897" s="344"/>
      <c r="E897" s="344"/>
      <c r="F897" s="549"/>
      <c r="G897" s="545"/>
      <c r="H897" s="545"/>
      <c r="I897" s="344"/>
      <c r="J897" s="344"/>
      <c r="K897" s="344"/>
      <c r="L897" s="344"/>
      <c r="M897" s="344"/>
      <c r="N897" s="344"/>
      <c r="O897" s="344"/>
      <c r="P897" s="344"/>
      <c r="Q897" s="344"/>
      <c r="R897" s="344"/>
      <c r="S897" s="344"/>
      <c r="T897" s="344"/>
      <c r="U897" s="344"/>
      <c r="V897" s="344"/>
      <c r="W897" s="344"/>
      <c r="X897" s="344"/>
      <c r="Y897" s="344"/>
      <c r="Z897" s="344"/>
      <c r="AA897" s="344"/>
      <c r="AB897" s="344"/>
      <c r="AC897" s="344"/>
      <c r="AD897" s="344"/>
    </row>
    <row r="898">
      <c r="A898" s="344"/>
      <c r="B898" s="548"/>
      <c r="C898" s="548"/>
      <c r="D898" s="344"/>
      <c r="E898" s="344"/>
      <c r="F898" s="549"/>
      <c r="G898" s="545"/>
      <c r="H898" s="545"/>
      <c r="I898" s="344"/>
      <c r="J898" s="344"/>
      <c r="K898" s="344"/>
      <c r="L898" s="344"/>
      <c r="M898" s="344"/>
      <c r="N898" s="344"/>
      <c r="O898" s="344"/>
      <c r="P898" s="344"/>
      <c r="Q898" s="344"/>
      <c r="R898" s="344"/>
      <c r="S898" s="344"/>
      <c r="T898" s="344"/>
      <c r="U898" s="344"/>
      <c r="V898" s="344"/>
      <c r="W898" s="344"/>
      <c r="X898" s="344"/>
      <c r="Y898" s="344"/>
      <c r="Z898" s="344"/>
      <c r="AA898" s="344"/>
      <c r="AB898" s="344"/>
      <c r="AC898" s="344"/>
      <c r="AD898" s="344"/>
    </row>
    <row r="899">
      <c r="A899" s="344"/>
      <c r="B899" s="548"/>
      <c r="C899" s="548"/>
      <c r="D899" s="344"/>
      <c r="E899" s="344"/>
      <c r="F899" s="549"/>
      <c r="G899" s="545"/>
      <c r="H899" s="545"/>
      <c r="I899" s="344"/>
      <c r="J899" s="344"/>
      <c r="K899" s="344"/>
      <c r="L899" s="344"/>
      <c r="M899" s="344"/>
      <c r="N899" s="344"/>
      <c r="O899" s="344"/>
      <c r="P899" s="344"/>
      <c r="Q899" s="344"/>
      <c r="R899" s="344"/>
      <c r="S899" s="344"/>
      <c r="T899" s="344"/>
      <c r="U899" s="344"/>
      <c r="V899" s="344"/>
      <c r="W899" s="344"/>
      <c r="X899" s="344"/>
      <c r="Y899" s="344"/>
      <c r="Z899" s="344"/>
      <c r="AA899" s="344"/>
      <c r="AB899" s="344"/>
      <c r="AC899" s="344"/>
      <c r="AD899" s="344"/>
    </row>
    <row r="900">
      <c r="A900" s="344"/>
      <c r="B900" s="548"/>
      <c r="C900" s="548"/>
      <c r="D900" s="344"/>
      <c r="E900" s="344"/>
      <c r="F900" s="549"/>
      <c r="G900" s="545"/>
      <c r="H900" s="545"/>
      <c r="I900" s="344"/>
      <c r="J900" s="344"/>
      <c r="K900" s="344"/>
      <c r="L900" s="344"/>
      <c r="M900" s="344"/>
      <c r="N900" s="344"/>
      <c r="O900" s="344"/>
      <c r="P900" s="344"/>
      <c r="Q900" s="344"/>
      <c r="R900" s="344"/>
      <c r="S900" s="344"/>
      <c r="T900" s="344"/>
      <c r="U900" s="344"/>
      <c r="V900" s="344"/>
      <c r="W900" s="344"/>
      <c r="X900" s="344"/>
      <c r="Y900" s="344"/>
      <c r="Z900" s="344"/>
      <c r="AA900" s="344"/>
      <c r="AB900" s="344"/>
      <c r="AC900" s="344"/>
      <c r="AD900" s="344"/>
    </row>
    <row r="901">
      <c r="A901" s="344"/>
      <c r="B901" s="548"/>
      <c r="C901" s="548"/>
      <c r="D901" s="344"/>
      <c r="E901" s="344"/>
      <c r="F901" s="549"/>
      <c r="G901" s="545"/>
      <c r="H901" s="545"/>
      <c r="I901" s="344"/>
      <c r="J901" s="344"/>
      <c r="K901" s="344"/>
      <c r="L901" s="344"/>
      <c r="M901" s="344"/>
      <c r="N901" s="344"/>
      <c r="O901" s="344"/>
      <c r="P901" s="344"/>
      <c r="Q901" s="344"/>
      <c r="R901" s="344"/>
      <c r="S901" s="344"/>
      <c r="T901" s="344"/>
      <c r="U901" s="344"/>
      <c r="V901" s="344"/>
      <c r="W901" s="344"/>
      <c r="X901" s="344"/>
      <c r="Y901" s="344"/>
      <c r="Z901" s="344"/>
      <c r="AA901" s="344"/>
      <c r="AB901" s="344"/>
      <c r="AC901" s="344"/>
      <c r="AD901" s="344"/>
    </row>
    <row r="902">
      <c r="A902" s="344"/>
      <c r="B902" s="548"/>
      <c r="C902" s="548"/>
      <c r="D902" s="344"/>
      <c r="E902" s="344"/>
      <c r="F902" s="549"/>
      <c r="G902" s="545"/>
      <c r="H902" s="545"/>
      <c r="I902" s="344"/>
      <c r="J902" s="344"/>
      <c r="K902" s="344"/>
      <c r="L902" s="344"/>
      <c r="M902" s="344"/>
      <c r="N902" s="344"/>
      <c r="O902" s="344"/>
      <c r="P902" s="344"/>
      <c r="Q902" s="344"/>
      <c r="R902" s="344"/>
      <c r="S902" s="344"/>
      <c r="T902" s="344"/>
      <c r="U902" s="344"/>
      <c r="V902" s="344"/>
      <c r="W902" s="344"/>
      <c r="X902" s="344"/>
      <c r="Y902" s="344"/>
      <c r="Z902" s="344"/>
      <c r="AA902" s="344"/>
      <c r="AB902" s="344"/>
      <c r="AC902" s="344"/>
      <c r="AD902" s="344"/>
    </row>
    <row r="903">
      <c r="A903" s="344"/>
      <c r="B903" s="548"/>
      <c r="C903" s="548"/>
      <c r="D903" s="344"/>
      <c r="E903" s="344"/>
      <c r="F903" s="549"/>
      <c r="G903" s="545"/>
      <c r="H903" s="545"/>
      <c r="I903" s="344"/>
      <c r="J903" s="344"/>
      <c r="K903" s="344"/>
      <c r="L903" s="344"/>
      <c r="M903" s="344"/>
      <c r="N903" s="344"/>
      <c r="O903" s="344"/>
      <c r="P903" s="344"/>
      <c r="Q903" s="344"/>
      <c r="R903" s="344"/>
      <c r="S903" s="344"/>
      <c r="T903" s="344"/>
      <c r="U903" s="344"/>
      <c r="V903" s="344"/>
      <c r="W903" s="344"/>
      <c r="X903" s="344"/>
      <c r="Y903" s="344"/>
      <c r="Z903" s="344"/>
      <c r="AA903" s="344"/>
      <c r="AB903" s="344"/>
      <c r="AC903" s="344"/>
      <c r="AD903" s="344"/>
    </row>
    <row r="904">
      <c r="A904" s="344"/>
      <c r="B904" s="548"/>
      <c r="C904" s="548"/>
      <c r="D904" s="344"/>
      <c r="E904" s="344"/>
      <c r="F904" s="549"/>
      <c r="G904" s="545"/>
      <c r="H904" s="545"/>
      <c r="I904" s="344"/>
      <c r="J904" s="344"/>
      <c r="K904" s="344"/>
      <c r="L904" s="344"/>
      <c r="M904" s="344"/>
      <c r="N904" s="344"/>
      <c r="O904" s="344"/>
      <c r="P904" s="344"/>
      <c r="Q904" s="344"/>
      <c r="R904" s="344"/>
      <c r="S904" s="344"/>
      <c r="T904" s="344"/>
      <c r="U904" s="344"/>
      <c r="V904" s="344"/>
      <c r="W904" s="344"/>
      <c r="X904" s="344"/>
      <c r="Y904" s="344"/>
      <c r="Z904" s="344"/>
      <c r="AA904" s="344"/>
      <c r="AB904" s="344"/>
      <c r="AC904" s="344"/>
      <c r="AD904" s="344"/>
    </row>
    <row r="905">
      <c r="A905" s="344"/>
      <c r="B905" s="548"/>
      <c r="C905" s="548"/>
      <c r="D905" s="344"/>
      <c r="E905" s="344"/>
      <c r="F905" s="549"/>
      <c r="G905" s="545"/>
      <c r="H905" s="545"/>
      <c r="I905" s="344"/>
      <c r="J905" s="344"/>
      <c r="K905" s="344"/>
      <c r="L905" s="344"/>
      <c r="M905" s="344"/>
      <c r="N905" s="344"/>
      <c r="O905" s="344"/>
      <c r="P905" s="344"/>
      <c r="Q905" s="344"/>
      <c r="R905" s="344"/>
      <c r="S905" s="344"/>
      <c r="T905" s="344"/>
      <c r="U905" s="344"/>
      <c r="V905" s="344"/>
      <c r="W905" s="344"/>
      <c r="X905" s="344"/>
      <c r="Y905" s="344"/>
      <c r="Z905" s="344"/>
      <c r="AA905" s="344"/>
      <c r="AB905" s="344"/>
      <c r="AC905" s="344"/>
      <c r="AD905" s="344"/>
    </row>
    <row r="906">
      <c r="A906" s="344"/>
      <c r="B906" s="548"/>
      <c r="C906" s="548"/>
      <c r="D906" s="344"/>
      <c r="E906" s="344"/>
      <c r="F906" s="549"/>
      <c r="G906" s="545"/>
      <c r="H906" s="545"/>
      <c r="I906" s="344"/>
      <c r="J906" s="344"/>
      <c r="K906" s="344"/>
      <c r="L906" s="344"/>
      <c r="M906" s="344"/>
      <c r="N906" s="344"/>
      <c r="O906" s="344"/>
      <c r="P906" s="344"/>
      <c r="Q906" s="344"/>
      <c r="R906" s="344"/>
      <c r="S906" s="344"/>
      <c r="T906" s="344"/>
      <c r="U906" s="344"/>
      <c r="V906" s="344"/>
      <c r="W906" s="344"/>
      <c r="X906" s="344"/>
      <c r="Y906" s="344"/>
      <c r="Z906" s="344"/>
      <c r="AA906" s="344"/>
      <c r="AB906" s="344"/>
      <c r="AC906" s="344"/>
      <c r="AD906" s="344"/>
    </row>
    <row r="907">
      <c r="A907" s="344"/>
      <c r="B907" s="548"/>
      <c r="C907" s="548"/>
      <c r="D907" s="344"/>
      <c r="E907" s="344"/>
      <c r="F907" s="549"/>
      <c r="G907" s="545"/>
      <c r="H907" s="545"/>
      <c r="I907" s="344"/>
      <c r="J907" s="344"/>
      <c r="K907" s="344"/>
      <c r="L907" s="344"/>
      <c r="M907" s="344"/>
      <c r="N907" s="344"/>
      <c r="O907" s="344"/>
      <c r="P907" s="344"/>
      <c r="Q907" s="344"/>
      <c r="R907" s="344"/>
      <c r="S907" s="344"/>
      <c r="T907" s="344"/>
      <c r="U907" s="344"/>
      <c r="V907" s="344"/>
      <c r="W907" s="344"/>
      <c r="X907" s="344"/>
      <c r="Y907" s="344"/>
      <c r="Z907" s="344"/>
      <c r="AA907" s="344"/>
      <c r="AB907" s="344"/>
      <c r="AC907" s="344"/>
      <c r="AD907" s="344"/>
    </row>
    <row r="908">
      <c r="A908" s="344"/>
      <c r="B908" s="548"/>
      <c r="C908" s="548"/>
      <c r="D908" s="344"/>
      <c r="E908" s="344"/>
      <c r="F908" s="549"/>
      <c r="G908" s="545"/>
      <c r="H908" s="545"/>
      <c r="I908" s="344"/>
      <c r="J908" s="344"/>
      <c r="K908" s="344"/>
      <c r="L908" s="344"/>
      <c r="M908" s="344"/>
      <c r="N908" s="344"/>
      <c r="O908" s="344"/>
      <c r="P908" s="344"/>
      <c r="Q908" s="344"/>
      <c r="R908" s="344"/>
      <c r="S908" s="344"/>
      <c r="T908" s="344"/>
      <c r="U908" s="344"/>
      <c r="V908" s="344"/>
      <c r="W908" s="344"/>
      <c r="X908" s="344"/>
      <c r="Y908" s="344"/>
      <c r="Z908" s="344"/>
      <c r="AA908" s="344"/>
      <c r="AB908" s="344"/>
      <c r="AC908" s="344"/>
      <c r="AD908" s="344"/>
    </row>
    <row r="909">
      <c r="A909" s="344"/>
      <c r="B909" s="548"/>
      <c r="C909" s="548"/>
      <c r="D909" s="344"/>
      <c r="E909" s="344"/>
      <c r="F909" s="549"/>
      <c r="G909" s="545"/>
      <c r="H909" s="545"/>
      <c r="I909" s="344"/>
      <c r="J909" s="344"/>
      <c r="K909" s="344"/>
      <c r="L909" s="344"/>
      <c r="M909" s="344"/>
      <c r="N909" s="344"/>
      <c r="O909" s="344"/>
      <c r="P909" s="344"/>
      <c r="Q909" s="344"/>
      <c r="R909" s="344"/>
      <c r="S909" s="344"/>
      <c r="T909" s="344"/>
      <c r="U909" s="344"/>
      <c r="V909" s="344"/>
      <c r="W909" s="344"/>
      <c r="X909" s="344"/>
      <c r="Y909" s="344"/>
      <c r="Z909" s="344"/>
      <c r="AA909" s="344"/>
      <c r="AB909" s="344"/>
      <c r="AC909" s="344"/>
      <c r="AD909" s="344"/>
    </row>
    <row r="910">
      <c r="A910" s="344"/>
      <c r="B910" s="548"/>
      <c r="C910" s="548"/>
      <c r="D910" s="344"/>
      <c r="E910" s="344"/>
      <c r="F910" s="549"/>
      <c r="G910" s="545"/>
      <c r="H910" s="545"/>
      <c r="I910" s="344"/>
      <c r="J910" s="344"/>
      <c r="K910" s="344"/>
      <c r="L910" s="344"/>
      <c r="M910" s="344"/>
      <c r="N910" s="344"/>
      <c r="O910" s="344"/>
      <c r="P910" s="344"/>
      <c r="Q910" s="344"/>
      <c r="R910" s="344"/>
      <c r="S910" s="344"/>
      <c r="T910" s="344"/>
      <c r="U910" s="344"/>
      <c r="V910" s="344"/>
      <c r="W910" s="344"/>
      <c r="X910" s="344"/>
      <c r="Y910" s="344"/>
      <c r="Z910" s="344"/>
      <c r="AA910" s="344"/>
      <c r="AB910" s="344"/>
      <c r="AC910" s="344"/>
      <c r="AD910" s="344"/>
    </row>
    <row r="911">
      <c r="A911" s="344"/>
      <c r="B911" s="548"/>
      <c r="C911" s="548"/>
      <c r="D911" s="344"/>
      <c r="E911" s="344"/>
      <c r="F911" s="549"/>
      <c r="G911" s="545"/>
      <c r="H911" s="545"/>
      <c r="I911" s="344"/>
      <c r="J911" s="344"/>
      <c r="K911" s="344"/>
      <c r="L911" s="344"/>
      <c r="M911" s="344"/>
      <c r="N911" s="344"/>
      <c r="O911" s="344"/>
      <c r="P911" s="344"/>
      <c r="Q911" s="344"/>
      <c r="R911" s="344"/>
      <c r="S911" s="344"/>
      <c r="T911" s="344"/>
      <c r="U911" s="344"/>
      <c r="V911" s="344"/>
      <c r="W911" s="344"/>
      <c r="X911" s="344"/>
      <c r="Y911" s="344"/>
      <c r="Z911" s="344"/>
      <c r="AA911" s="344"/>
      <c r="AB911" s="344"/>
      <c r="AC911" s="344"/>
      <c r="AD911" s="344"/>
    </row>
    <row r="912">
      <c r="A912" s="344"/>
      <c r="B912" s="548"/>
      <c r="C912" s="548"/>
      <c r="D912" s="344"/>
      <c r="E912" s="344"/>
      <c r="F912" s="549"/>
      <c r="G912" s="545"/>
      <c r="H912" s="545"/>
      <c r="I912" s="344"/>
      <c r="J912" s="344"/>
      <c r="K912" s="344"/>
      <c r="L912" s="344"/>
      <c r="M912" s="344"/>
      <c r="N912" s="344"/>
      <c r="O912" s="344"/>
      <c r="P912" s="344"/>
      <c r="Q912" s="344"/>
      <c r="R912" s="344"/>
      <c r="S912" s="344"/>
      <c r="T912" s="344"/>
      <c r="U912" s="344"/>
      <c r="V912" s="344"/>
      <c r="W912" s="344"/>
      <c r="X912" s="344"/>
      <c r="Y912" s="344"/>
      <c r="Z912" s="344"/>
      <c r="AA912" s="344"/>
      <c r="AB912" s="344"/>
      <c r="AC912" s="344"/>
      <c r="AD912" s="344"/>
    </row>
    <row r="913">
      <c r="A913" s="344"/>
      <c r="B913" s="548"/>
      <c r="C913" s="548"/>
      <c r="D913" s="344"/>
      <c r="E913" s="344"/>
      <c r="F913" s="549"/>
      <c r="G913" s="545"/>
      <c r="H913" s="545"/>
      <c r="I913" s="344"/>
      <c r="J913" s="344"/>
      <c r="K913" s="344"/>
      <c r="L913" s="344"/>
      <c r="M913" s="344"/>
      <c r="N913" s="344"/>
      <c r="O913" s="344"/>
      <c r="P913" s="344"/>
      <c r="Q913" s="344"/>
      <c r="R913" s="344"/>
      <c r="S913" s="344"/>
      <c r="T913" s="344"/>
      <c r="U913" s="344"/>
      <c r="V913" s="344"/>
      <c r="W913" s="344"/>
      <c r="X913" s="344"/>
      <c r="Y913" s="344"/>
      <c r="Z913" s="344"/>
      <c r="AA913" s="344"/>
      <c r="AB913" s="344"/>
      <c r="AC913" s="344"/>
      <c r="AD913" s="344"/>
    </row>
    <row r="914">
      <c r="A914" s="344"/>
      <c r="B914" s="548"/>
      <c r="C914" s="548"/>
      <c r="D914" s="344"/>
      <c r="E914" s="344"/>
      <c r="F914" s="549"/>
      <c r="G914" s="545"/>
      <c r="H914" s="545"/>
      <c r="I914" s="344"/>
      <c r="J914" s="344"/>
      <c r="K914" s="344"/>
      <c r="L914" s="344"/>
      <c r="M914" s="344"/>
      <c r="N914" s="344"/>
      <c r="O914" s="344"/>
      <c r="P914" s="344"/>
      <c r="Q914" s="344"/>
      <c r="R914" s="344"/>
      <c r="S914" s="344"/>
      <c r="T914" s="344"/>
      <c r="U914" s="344"/>
      <c r="V914" s="344"/>
      <c r="W914" s="344"/>
      <c r="X914" s="344"/>
      <c r="Y914" s="344"/>
      <c r="Z914" s="344"/>
      <c r="AA914" s="344"/>
      <c r="AB914" s="344"/>
      <c r="AC914" s="344"/>
      <c r="AD914" s="344"/>
    </row>
    <row r="915">
      <c r="A915" s="344"/>
      <c r="B915" s="548"/>
      <c r="C915" s="548"/>
      <c r="D915" s="344"/>
      <c r="E915" s="344"/>
      <c r="F915" s="549"/>
      <c r="G915" s="545"/>
      <c r="H915" s="545"/>
      <c r="I915" s="344"/>
      <c r="J915" s="344"/>
      <c r="K915" s="344"/>
      <c r="L915" s="344"/>
      <c r="M915" s="344"/>
      <c r="N915" s="344"/>
      <c r="O915" s="344"/>
      <c r="P915" s="344"/>
      <c r="Q915" s="344"/>
      <c r="R915" s="344"/>
      <c r="S915" s="344"/>
      <c r="T915" s="344"/>
      <c r="U915" s="344"/>
      <c r="V915" s="344"/>
      <c r="W915" s="344"/>
      <c r="X915" s="344"/>
      <c r="Y915" s="344"/>
      <c r="Z915" s="344"/>
      <c r="AA915" s="344"/>
      <c r="AB915" s="344"/>
      <c r="AC915" s="344"/>
      <c r="AD915" s="344"/>
    </row>
    <row r="916">
      <c r="A916" s="344"/>
      <c r="B916" s="548"/>
      <c r="C916" s="548"/>
      <c r="D916" s="344"/>
      <c r="E916" s="344"/>
      <c r="F916" s="549"/>
      <c r="G916" s="545"/>
      <c r="H916" s="545"/>
      <c r="I916" s="344"/>
      <c r="J916" s="344"/>
      <c r="K916" s="344"/>
      <c r="L916" s="344"/>
      <c r="M916" s="344"/>
      <c r="N916" s="344"/>
      <c r="O916" s="344"/>
      <c r="P916" s="344"/>
      <c r="Q916" s="344"/>
      <c r="R916" s="344"/>
      <c r="S916" s="344"/>
      <c r="T916" s="344"/>
      <c r="U916" s="344"/>
      <c r="V916" s="344"/>
      <c r="W916" s="344"/>
      <c r="X916" s="344"/>
      <c r="Y916" s="344"/>
      <c r="Z916" s="344"/>
      <c r="AA916" s="344"/>
      <c r="AB916" s="344"/>
      <c r="AC916" s="344"/>
      <c r="AD916" s="344"/>
    </row>
    <row r="917">
      <c r="A917" s="344"/>
      <c r="B917" s="548"/>
      <c r="C917" s="548"/>
      <c r="D917" s="344"/>
      <c r="E917" s="344"/>
      <c r="F917" s="549"/>
      <c r="G917" s="545"/>
      <c r="H917" s="545"/>
      <c r="I917" s="344"/>
      <c r="J917" s="344"/>
      <c r="K917" s="344"/>
      <c r="L917" s="344"/>
      <c r="M917" s="344"/>
      <c r="N917" s="344"/>
      <c r="O917" s="344"/>
      <c r="P917" s="344"/>
      <c r="Q917" s="344"/>
      <c r="R917" s="344"/>
      <c r="S917" s="344"/>
      <c r="T917" s="344"/>
      <c r="U917" s="344"/>
      <c r="V917" s="344"/>
      <c r="W917" s="344"/>
      <c r="X917" s="344"/>
      <c r="Y917" s="344"/>
      <c r="Z917" s="344"/>
      <c r="AA917" s="344"/>
      <c r="AB917" s="344"/>
      <c r="AC917" s="344"/>
      <c r="AD917" s="344"/>
    </row>
    <row r="918">
      <c r="A918" s="344"/>
      <c r="B918" s="548"/>
      <c r="C918" s="548"/>
      <c r="D918" s="344"/>
      <c r="E918" s="344"/>
      <c r="F918" s="549"/>
      <c r="G918" s="545"/>
      <c r="H918" s="545"/>
      <c r="I918" s="344"/>
      <c r="J918" s="344"/>
      <c r="K918" s="344"/>
      <c r="L918" s="344"/>
      <c r="M918" s="344"/>
      <c r="N918" s="344"/>
      <c r="O918" s="344"/>
      <c r="P918" s="344"/>
      <c r="Q918" s="344"/>
      <c r="R918" s="344"/>
      <c r="S918" s="344"/>
      <c r="T918" s="344"/>
      <c r="U918" s="344"/>
      <c r="V918" s="344"/>
      <c r="W918" s="344"/>
      <c r="X918" s="344"/>
      <c r="Y918" s="344"/>
      <c r="Z918" s="344"/>
      <c r="AA918" s="344"/>
      <c r="AB918" s="344"/>
      <c r="AC918" s="344"/>
      <c r="AD918" s="344"/>
    </row>
    <row r="919">
      <c r="A919" s="344"/>
      <c r="B919" s="548"/>
      <c r="C919" s="548"/>
      <c r="D919" s="344"/>
      <c r="E919" s="344"/>
      <c r="F919" s="549"/>
      <c r="G919" s="545"/>
      <c r="H919" s="545"/>
      <c r="I919" s="344"/>
      <c r="J919" s="344"/>
      <c r="K919" s="344"/>
      <c r="L919" s="344"/>
      <c r="M919" s="344"/>
      <c r="N919" s="344"/>
      <c r="O919" s="344"/>
      <c r="P919" s="344"/>
      <c r="Q919" s="344"/>
      <c r="R919" s="344"/>
      <c r="S919" s="344"/>
      <c r="T919" s="344"/>
      <c r="U919" s="344"/>
      <c r="V919" s="344"/>
      <c r="W919" s="344"/>
      <c r="X919" s="344"/>
      <c r="Y919" s="344"/>
      <c r="Z919" s="344"/>
      <c r="AA919" s="344"/>
      <c r="AB919" s="344"/>
      <c r="AC919" s="344"/>
      <c r="AD919" s="344"/>
    </row>
    <row r="920">
      <c r="A920" s="344"/>
      <c r="B920" s="548"/>
      <c r="C920" s="548"/>
      <c r="D920" s="344"/>
      <c r="E920" s="344"/>
      <c r="F920" s="549"/>
      <c r="G920" s="545"/>
      <c r="H920" s="545"/>
      <c r="I920" s="344"/>
      <c r="J920" s="344"/>
      <c r="K920" s="344"/>
      <c r="L920" s="344"/>
      <c r="M920" s="344"/>
      <c r="N920" s="344"/>
      <c r="O920" s="344"/>
      <c r="P920" s="344"/>
      <c r="Q920" s="344"/>
      <c r="R920" s="344"/>
      <c r="S920" s="344"/>
      <c r="T920" s="344"/>
      <c r="U920" s="344"/>
      <c r="V920" s="344"/>
      <c r="W920" s="344"/>
      <c r="X920" s="344"/>
      <c r="Y920" s="344"/>
      <c r="Z920" s="344"/>
      <c r="AA920" s="344"/>
      <c r="AB920" s="344"/>
      <c r="AC920" s="344"/>
      <c r="AD920" s="344"/>
    </row>
    <row r="921">
      <c r="A921" s="344"/>
      <c r="B921" s="548"/>
      <c r="C921" s="548"/>
      <c r="D921" s="344"/>
      <c r="E921" s="344"/>
      <c r="F921" s="549"/>
      <c r="G921" s="545"/>
      <c r="H921" s="545"/>
      <c r="I921" s="344"/>
      <c r="J921" s="344"/>
      <c r="K921" s="344"/>
      <c r="L921" s="344"/>
      <c r="M921" s="344"/>
      <c r="N921" s="344"/>
      <c r="O921" s="344"/>
      <c r="P921" s="344"/>
      <c r="Q921" s="344"/>
      <c r="R921" s="344"/>
      <c r="S921" s="344"/>
      <c r="T921" s="344"/>
      <c r="U921" s="344"/>
      <c r="V921" s="344"/>
      <c r="W921" s="344"/>
      <c r="X921" s="344"/>
      <c r="Y921" s="344"/>
      <c r="Z921" s="344"/>
      <c r="AA921" s="344"/>
      <c r="AB921" s="344"/>
      <c r="AC921" s="344"/>
      <c r="AD921" s="344"/>
    </row>
    <row r="922">
      <c r="A922" s="344"/>
      <c r="B922" s="548"/>
      <c r="C922" s="548"/>
      <c r="D922" s="344"/>
      <c r="E922" s="344"/>
      <c r="F922" s="549"/>
      <c r="G922" s="545"/>
      <c r="H922" s="545"/>
      <c r="I922" s="344"/>
      <c r="J922" s="344"/>
      <c r="K922" s="344"/>
      <c r="L922" s="344"/>
      <c r="M922" s="344"/>
      <c r="N922" s="344"/>
      <c r="O922" s="344"/>
      <c r="P922" s="344"/>
      <c r="Q922" s="344"/>
      <c r="R922" s="344"/>
      <c r="S922" s="344"/>
      <c r="T922" s="344"/>
      <c r="U922" s="344"/>
      <c r="V922" s="344"/>
      <c r="W922" s="344"/>
      <c r="X922" s="344"/>
      <c r="Y922" s="344"/>
      <c r="Z922" s="344"/>
      <c r="AA922" s="344"/>
      <c r="AB922" s="344"/>
      <c r="AC922" s="344"/>
      <c r="AD922" s="344"/>
    </row>
    <row r="923">
      <c r="A923" s="344"/>
      <c r="B923" s="548"/>
      <c r="C923" s="548"/>
      <c r="D923" s="344"/>
      <c r="E923" s="344"/>
      <c r="F923" s="549"/>
      <c r="G923" s="545"/>
      <c r="H923" s="545"/>
      <c r="I923" s="344"/>
      <c r="J923" s="344"/>
      <c r="K923" s="344"/>
      <c r="L923" s="344"/>
      <c r="M923" s="344"/>
      <c r="N923" s="344"/>
      <c r="O923" s="344"/>
      <c r="P923" s="344"/>
      <c r="Q923" s="344"/>
      <c r="R923" s="344"/>
      <c r="S923" s="344"/>
      <c r="T923" s="344"/>
      <c r="U923" s="344"/>
      <c r="V923" s="344"/>
      <c r="W923" s="344"/>
      <c r="X923" s="344"/>
      <c r="Y923" s="344"/>
      <c r="Z923" s="344"/>
      <c r="AA923" s="344"/>
      <c r="AB923" s="344"/>
      <c r="AC923" s="344"/>
      <c r="AD923" s="344"/>
    </row>
    <row r="924">
      <c r="A924" s="344"/>
      <c r="B924" s="548"/>
      <c r="C924" s="548"/>
      <c r="D924" s="344"/>
      <c r="E924" s="344"/>
      <c r="F924" s="549"/>
      <c r="G924" s="545"/>
      <c r="H924" s="545"/>
      <c r="I924" s="344"/>
      <c r="J924" s="344"/>
      <c r="K924" s="344"/>
      <c r="L924" s="344"/>
      <c r="M924" s="344"/>
      <c r="N924" s="344"/>
      <c r="O924" s="344"/>
      <c r="P924" s="344"/>
      <c r="Q924" s="344"/>
      <c r="R924" s="344"/>
      <c r="S924" s="344"/>
      <c r="T924" s="344"/>
      <c r="U924" s="344"/>
      <c r="V924" s="344"/>
      <c r="W924" s="344"/>
      <c r="X924" s="344"/>
      <c r="Y924" s="344"/>
      <c r="Z924" s="344"/>
      <c r="AA924" s="344"/>
      <c r="AB924" s="344"/>
      <c r="AC924" s="344"/>
      <c r="AD924" s="344"/>
    </row>
    <row r="925">
      <c r="A925" s="344"/>
      <c r="B925" s="548"/>
      <c r="C925" s="548"/>
      <c r="D925" s="344"/>
      <c r="E925" s="344"/>
      <c r="F925" s="549"/>
      <c r="G925" s="545"/>
      <c r="H925" s="545"/>
      <c r="I925" s="344"/>
      <c r="J925" s="344"/>
      <c r="K925" s="344"/>
      <c r="L925" s="344"/>
      <c r="M925" s="344"/>
      <c r="N925" s="344"/>
      <c r="O925" s="344"/>
      <c r="P925" s="344"/>
      <c r="Q925" s="344"/>
      <c r="R925" s="344"/>
      <c r="S925" s="344"/>
      <c r="T925" s="344"/>
      <c r="U925" s="344"/>
      <c r="V925" s="344"/>
      <c r="W925" s="344"/>
      <c r="X925" s="344"/>
      <c r="Y925" s="344"/>
      <c r="Z925" s="344"/>
      <c r="AA925" s="344"/>
      <c r="AB925" s="344"/>
      <c r="AC925" s="344"/>
      <c r="AD925" s="344"/>
    </row>
    <row r="926">
      <c r="A926" s="344"/>
      <c r="B926" s="548"/>
      <c r="C926" s="548"/>
      <c r="D926" s="344"/>
      <c r="E926" s="344"/>
      <c r="F926" s="549"/>
      <c r="G926" s="545"/>
      <c r="H926" s="545"/>
      <c r="I926" s="344"/>
      <c r="J926" s="344"/>
      <c r="K926" s="344"/>
      <c r="L926" s="344"/>
      <c r="M926" s="344"/>
      <c r="N926" s="344"/>
      <c r="O926" s="344"/>
      <c r="P926" s="344"/>
      <c r="Q926" s="344"/>
      <c r="R926" s="344"/>
      <c r="S926" s="344"/>
      <c r="T926" s="344"/>
      <c r="U926" s="344"/>
      <c r="V926" s="344"/>
      <c r="W926" s="344"/>
      <c r="X926" s="344"/>
      <c r="Y926" s="344"/>
      <c r="Z926" s="344"/>
      <c r="AA926" s="344"/>
      <c r="AB926" s="344"/>
      <c r="AC926" s="344"/>
      <c r="AD926" s="344"/>
    </row>
    <row r="927">
      <c r="A927" s="344"/>
      <c r="B927" s="548"/>
      <c r="C927" s="548"/>
      <c r="D927" s="344"/>
      <c r="E927" s="344"/>
      <c r="F927" s="549"/>
      <c r="G927" s="545"/>
      <c r="H927" s="545"/>
      <c r="I927" s="344"/>
      <c r="J927" s="344"/>
      <c r="K927" s="344"/>
      <c r="L927" s="344"/>
      <c r="M927" s="344"/>
      <c r="N927" s="344"/>
      <c r="O927" s="344"/>
      <c r="P927" s="344"/>
      <c r="Q927" s="344"/>
      <c r="R927" s="344"/>
      <c r="S927" s="344"/>
      <c r="T927" s="344"/>
      <c r="U927" s="344"/>
      <c r="V927" s="344"/>
      <c r="W927" s="344"/>
      <c r="X927" s="344"/>
      <c r="Y927" s="344"/>
      <c r="Z927" s="344"/>
      <c r="AA927" s="344"/>
      <c r="AB927" s="344"/>
      <c r="AC927" s="344"/>
      <c r="AD927" s="344"/>
    </row>
    <row r="928">
      <c r="A928" s="344"/>
      <c r="B928" s="548"/>
      <c r="C928" s="548"/>
      <c r="D928" s="344"/>
      <c r="E928" s="344"/>
      <c r="F928" s="549"/>
      <c r="G928" s="545"/>
      <c r="H928" s="545"/>
      <c r="I928" s="344"/>
      <c r="J928" s="344"/>
      <c r="K928" s="344"/>
      <c r="L928" s="344"/>
      <c r="M928" s="344"/>
      <c r="N928" s="344"/>
      <c r="O928" s="344"/>
      <c r="P928" s="344"/>
      <c r="Q928" s="344"/>
      <c r="R928" s="344"/>
      <c r="S928" s="344"/>
      <c r="T928" s="344"/>
      <c r="U928" s="344"/>
      <c r="V928" s="344"/>
      <c r="W928" s="344"/>
      <c r="X928" s="344"/>
      <c r="Y928" s="344"/>
      <c r="Z928" s="344"/>
      <c r="AA928" s="344"/>
      <c r="AB928" s="344"/>
      <c r="AC928" s="344"/>
      <c r="AD928" s="344"/>
    </row>
    <row r="929">
      <c r="A929" s="344"/>
      <c r="B929" s="548"/>
      <c r="C929" s="548"/>
      <c r="D929" s="344"/>
      <c r="E929" s="344"/>
      <c r="F929" s="549"/>
      <c r="G929" s="545"/>
      <c r="H929" s="545"/>
      <c r="I929" s="344"/>
      <c r="J929" s="344"/>
      <c r="K929" s="344"/>
      <c r="L929" s="344"/>
      <c r="M929" s="344"/>
      <c r="N929" s="344"/>
      <c r="O929" s="344"/>
      <c r="P929" s="344"/>
      <c r="Q929" s="344"/>
      <c r="R929" s="344"/>
      <c r="S929" s="344"/>
      <c r="T929" s="344"/>
      <c r="U929" s="344"/>
      <c r="V929" s="344"/>
      <c r="W929" s="344"/>
      <c r="X929" s="344"/>
      <c r="Y929" s="344"/>
      <c r="Z929" s="344"/>
      <c r="AA929" s="344"/>
      <c r="AB929" s="344"/>
      <c r="AC929" s="344"/>
      <c r="AD929" s="344"/>
    </row>
    <row r="930">
      <c r="A930" s="344"/>
      <c r="B930" s="548"/>
      <c r="C930" s="548"/>
      <c r="D930" s="344"/>
      <c r="E930" s="344"/>
      <c r="F930" s="549"/>
      <c r="G930" s="545"/>
      <c r="H930" s="545"/>
      <c r="I930" s="344"/>
      <c r="J930" s="344"/>
      <c r="K930" s="344"/>
      <c r="L930" s="344"/>
      <c r="M930" s="344"/>
      <c r="N930" s="344"/>
      <c r="O930" s="344"/>
      <c r="P930" s="344"/>
      <c r="Q930" s="344"/>
      <c r="R930" s="344"/>
      <c r="S930" s="344"/>
      <c r="T930" s="344"/>
      <c r="U930" s="344"/>
      <c r="V930" s="344"/>
      <c r="W930" s="344"/>
      <c r="X930" s="344"/>
      <c r="Y930" s="344"/>
      <c r="Z930" s="344"/>
      <c r="AA930" s="344"/>
      <c r="AB930" s="344"/>
      <c r="AC930" s="344"/>
      <c r="AD930" s="344"/>
    </row>
    <row r="931">
      <c r="A931" s="344"/>
      <c r="B931" s="548"/>
      <c r="C931" s="548"/>
      <c r="D931" s="344"/>
      <c r="E931" s="344"/>
      <c r="F931" s="549"/>
      <c r="G931" s="545"/>
      <c r="H931" s="545"/>
      <c r="I931" s="344"/>
      <c r="J931" s="344"/>
      <c r="K931" s="344"/>
      <c r="L931" s="344"/>
      <c r="M931" s="344"/>
      <c r="N931" s="344"/>
      <c r="O931" s="344"/>
      <c r="P931" s="344"/>
      <c r="Q931" s="344"/>
      <c r="R931" s="344"/>
      <c r="S931" s="344"/>
      <c r="T931" s="344"/>
      <c r="U931" s="344"/>
      <c r="V931" s="344"/>
      <c r="W931" s="344"/>
      <c r="X931" s="344"/>
      <c r="Y931" s="344"/>
      <c r="Z931" s="344"/>
      <c r="AA931" s="344"/>
      <c r="AB931" s="344"/>
      <c r="AC931" s="344"/>
      <c r="AD931" s="344"/>
    </row>
    <row r="932">
      <c r="A932" s="344"/>
      <c r="B932" s="548"/>
      <c r="C932" s="548"/>
      <c r="D932" s="344"/>
      <c r="E932" s="344"/>
      <c r="F932" s="549"/>
      <c r="G932" s="545"/>
      <c r="H932" s="545"/>
      <c r="I932" s="344"/>
      <c r="J932" s="344"/>
      <c r="K932" s="344"/>
      <c r="L932" s="344"/>
      <c r="M932" s="344"/>
      <c r="N932" s="344"/>
      <c r="O932" s="344"/>
      <c r="P932" s="344"/>
      <c r="Q932" s="344"/>
      <c r="R932" s="344"/>
      <c r="S932" s="344"/>
      <c r="T932" s="344"/>
      <c r="U932" s="344"/>
      <c r="V932" s="344"/>
      <c r="W932" s="344"/>
      <c r="X932" s="344"/>
      <c r="Y932" s="344"/>
      <c r="Z932" s="344"/>
      <c r="AA932" s="344"/>
      <c r="AB932" s="344"/>
      <c r="AC932" s="344"/>
      <c r="AD932" s="344"/>
    </row>
    <row r="933">
      <c r="A933" s="344"/>
      <c r="B933" s="548"/>
      <c r="C933" s="548"/>
      <c r="D933" s="344"/>
      <c r="E933" s="344"/>
      <c r="F933" s="549"/>
      <c r="G933" s="545"/>
      <c r="H933" s="545"/>
      <c r="I933" s="344"/>
      <c r="J933" s="344"/>
      <c r="K933" s="344"/>
      <c r="L933" s="344"/>
      <c r="M933" s="344"/>
      <c r="N933" s="344"/>
      <c r="O933" s="344"/>
      <c r="P933" s="344"/>
      <c r="Q933" s="344"/>
      <c r="R933" s="344"/>
      <c r="S933" s="344"/>
      <c r="T933" s="344"/>
      <c r="U933" s="344"/>
      <c r="V933" s="344"/>
      <c r="W933" s="344"/>
      <c r="X933" s="344"/>
      <c r="Y933" s="344"/>
      <c r="Z933" s="344"/>
      <c r="AA933" s="344"/>
      <c r="AB933" s="344"/>
      <c r="AC933" s="344"/>
      <c r="AD933" s="344"/>
    </row>
    <row r="934">
      <c r="A934" s="344"/>
      <c r="B934" s="548"/>
      <c r="C934" s="548"/>
      <c r="D934" s="344"/>
      <c r="E934" s="344"/>
      <c r="F934" s="549"/>
      <c r="G934" s="545"/>
      <c r="H934" s="545"/>
      <c r="I934" s="344"/>
      <c r="J934" s="344"/>
      <c r="K934" s="344"/>
      <c r="L934" s="344"/>
      <c r="M934" s="344"/>
      <c r="N934" s="344"/>
      <c r="O934" s="344"/>
      <c r="P934" s="344"/>
      <c r="Q934" s="344"/>
      <c r="R934" s="344"/>
      <c r="S934" s="344"/>
      <c r="T934" s="344"/>
      <c r="U934" s="344"/>
      <c r="V934" s="344"/>
      <c r="W934" s="344"/>
      <c r="X934" s="344"/>
      <c r="Y934" s="344"/>
      <c r="Z934" s="344"/>
      <c r="AA934" s="344"/>
      <c r="AB934" s="344"/>
      <c r="AC934" s="344"/>
      <c r="AD934" s="344"/>
    </row>
    <row r="935">
      <c r="A935" s="344"/>
      <c r="B935" s="548"/>
      <c r="C935" s="548"/>
      <c r="D935" s="344"/>
      <c r="E935" s="344"/>
      <c r="F935" s="549"/>
      <c r="G935" s="545"/>
      <c r="H935" s="545"/>
      <c r="I935" s="344"/>
      <c r="J935" s="344"/>
      <c r="K935" s="344"/>
      <c r="L935" s="344"/>
      <c r="M935" s="344"/>
      <c r="N935" s="344"/>
      <c r="O935" s="344"/>
      <c r="P935" s="344"/>
      <c r="Q935" s="344"/>
      <c r="R935" s="344"/>
      <c r="S935" s="344"/>
      <c r="T935" s="344"/>
      <c r="U935" s="344"/>
      <c r="V935" s="344"/>
      <c r="W935" s="344"/>
      <c r="X935" s="344"/>
      <c r="Y935" s="344"/>
      <c r="Z935" s="344"/>
      <c r="AA935" s="344"/>
      <c r="AB935" s="344"/>
      <c r="AC935" s="344"/>
      <c r="AD935" s="344"/>
    </row>
    <row r="936">
      <c r="A936" s="344"/>
      <c r="B936" s="548"/>
      <c r="C936" s="548"/>
      <c r="D936" s="344"/>
      <c r="E936" s="344"/>
      <c r="F936" s="549"/>
      <c r="G936" s="545"/>
      <c r="H936" s="545"/>
      <c r="I936" s="344"/>
      <c r="J936" s="344"/>
      <c r="K936" s="344"/>
      <c r="L936" s="344"/>
      <c r="M936" s="344"/>
      <c r="N936" s="344"/>
      <c r="O936" s="344"/>
      <c r="P936" s="344"/>
      <c r="Q936" s="344"/>
      <c r="R936" s="344"/>
      <c r="S936" s="344"/>
      <c r="T936" s="344"/>
      <c r="U936" s="344"/>
      <c r="V936" s="344"/>
      <c r="W936" s="344"/>
      <c r="X936" s="344"/>
      <c r="Y936" s="344"/>
      <c r="Z936" s="344"/>
      <c r="AA936" s="344"/>
      <c r="AB936" s="344"/>
      <c r="AC936" s="344"/>
      <c r="AD936" s="344"/>
    </row>
    <row r="937">
      <c r="A937" s="344"/>
      <c r="B937" s="548"/>
      <c r="C937" s="548"/>
      <c r="D937" s="344"/>
      <c r="E937" s="344"/>
      <c r="F937" s="549"/>
      <c r="G937" s="545"/>
      <c r="H937" s="545"/>
      <c r="I937" s="344"/>
      <c r="J937" s="344"/>
      <c r="K937" s="344"/>
      <c r="L937" s="344"/>
      <c r="M937" s="344"/>
      <c r="N937" s="344"/>
      <c r="O937" s="344"/>
      <c r="P937" s="344"/>
      <c r="Q937" s="344"/>
      <c r="R937" s="344"/>
      <c r="S937" s="344"/>
      <c r="T937" s="344"/>
      <c r="U937" s="344"/>
      <c r="V937" s="344"/>
      <c r="W937" s="344"/>
      <c r="X937" s="344"/>
      <c r="Y937" s="344"/>
      <c r="Z937" s="344"/>
      <c r="AA937" s="344"/>
      <c r="AB937" s="344"/>
      <c r="AC937" s="344"/>
      <c r="AD937" s="344"/>
    </row>
    <row r="938">
      <c r="A938" s="344"/>
      <c r="B938" s="548"/>
      <c r="C938" s="548"/>
      <c r="D938" s="344"/>
      <c r="E938" s="344"/>
      <c r="F938" s="549"/>
      <c r="G938" s="545"/>
      <c r="H938" s="545"/>
      <c r="I938" s="344"/>
      <c r="J938" s="344"/>
      <c r="K938" s="344"/>
      <c r="L938" s="344"/>
      <c r="M938" s="344"/>
      <c r="N938" s="344"/>
      <c r="O938" s="344"/>
      <c r="P938" s="344"/>
      <c r="Q938" s="344"/>
      <c r="R938" s="344"/>
      <c r="S938" s="344"/>
      <c r="T938" s="344"/>
      <c r="U938" s="344"/>
      <c r="V938" s="344"/>
      <c r="W938" s="344"/>
      <c r="X938" s="344"/>
      <c r="Y938" s="344"/>
      <c r="Z938" s="344"/>
      <c r="AA938" s="344"/>
      <c r="AB938" s="344"/>
      <c r="AC938" s="344"/>
      <c r="AD938" s="344"/>
    </row>
    <row r="939">
      <c r="A939" s="344"/>
      <c r="B939" s="548"/>
      <c r="C939" s="548"/>
      <c r="D939" s="344"/>
      <c r="E939" s="344"/>
      <c r="F939" s="549"/>
      <c r="G939" s="545"/>
      <c r="H939" s="545"/>
      <c r="I939" s="344"/>
      <c r="J939" s="344"/>
      <c r="K939" s="344"/>
      <c r="L939" s="344"/>
      <c r="M939" s="344"/>
      <c r="N939" s="344"/>
      <c r="O939" s="344"/>
      <c r="P939" s="344"/>
      <c r="Q939" s="344"/>
      <c r="R939" s="344"/>
      <c r="S939" s="344"/>
      <c r="T939" s="344"/>
      <c r="U939" s="344"/>
      <c r="V939" s="344"/>
      <c r="W939" s="344"/>
      <c r="X939" s="344"/>
      <c r="Y939" s="344"/>
      <c r="Z939" s="344"/>
      <c r="AA939" s="344"/>
      <c r="AB939" s="344"/>
      <c r="AC939" s="344"/>
      <c r="AD939" s="344"/>
    </row>
    <row r="940">
      <c r="A940" s="344"/>
      <c r="B940" s="548"/>
      <c r="C940" s="548"/>
      <c r="D940" s="344"/>
      <c r="E940" s="344"/>
      <c r="F940" s="549"/>
      <c r="G940" s="545"/>
      <c r="H940" s="545"/>
      <c r="I940" s="344"/>
      <c r="J940" s="344"/>
      <c r="K940" s="344"/>
      <c r="L940" s="344"/>
      <c r="M940" s="344"/>
      <c r="N940" s="344"/>
      <c r="O940" s="344"/>
      <c r="P940" s="344"/>
      <c r="Q940" s="344"/>
      <c r="R940" s="344"/>
      <c r="S940" s="344"/>
      <c r="T940" s="344"/>
      <c r="U940" s="344"/>
      <c r="V940" s="344"/>
      <c r="W940" s="344"/>
      <c r="X940" s="344"/>
      <c r="Y940" s="344"/>
      <c r="Z940" s="344"/>
      <c r="AA940" s="344"/>
      <c r="AB940" s="344"/>
      <c r="AC940" s="344"/>
      <c r="AD940" s="344"/>
    </row>
    <row r="941">
      <c r="A941" s="344"/>
      <c r="B941" s="548"/>
      <c r="C941" s="548"/>
      <c r="D941" s="344"/>
      <c r="E941" s="344"/>
      <c r="F941" s="549"/>
      <c r="G941" s="545"/>
      <c r="H941" s="545"/>
      <c r="I941" s="344"/>
      <c r="J941" s="344"/>
      <c r="K941" s="344"/>
      <c r="L941" s="344"/>
      <c r="M941" s="344"/>
      <c r="N941" s="344"/>
      <c r="O941" s="344"/>
      <c r="P941" s="344"/>
      <c r="Q941" s="344"/>
      <c r="R941" s="344"/>
      <c r="S941" s="344"/>
      <c r="T941" s="344"/>
      <c r="U941" s="344"/>
      <c r="V941" s="344"/>
      <c r="W941" s="344"/>
      <c r="X941" s="344"/>
      <c r="Y941" s="344"/>
      <c r="Z941" s="344"/>
      <c r="AA941" s="344"/>
      <c r="AB941" s="344"/>
      <c r="AC941" s="344"/>
      <c r="AD941" s="344"/>
    </row>
    <row r="942">
      <c r="A942" s="344"/>
      <c r="B942" s="548"/>
      <c r="C942" s="548"/>
      <c r="D942" s="344"/>
      <c r="E942" s="344"/>
      <c r="F942" s="549"/>
      <c r="G942" s="545"/>
      <c r="H942" s="545"/>
      <c r="I942" s="344"/>
      <c r="J942" s="344"/>
      <c r="K942" s="344"/>
      <c r="L942" s="344"/>
      <c r="M942" s="344"/>
      <c r="N942" s="344"/>
      <c r="O942" s="344"/>
      <c r="P942" s="344"/>
      <c r="Q942" s="344"/>
      <c r="R942" s="344"/>
      <c r="S942" s="344"/>
      <c r="T942" s="344"/>
      <c r="U942" s="344"/>
      <c r="V942" s="344"/>
      <c r="W942" s="344"/>
      <c r="X942" s="344"/>
      <c r="Y942" s="344"/>
      <c r="Z942" s="344"/>
      <c r="AA942" s="344"/>
      <c r="AB942" s="344"/>
      <c r="AC942" s="344"/>
      <c r="AD942" s="344"/>
    </row>
    <row r="943">
      <c r="A943" s="344"/>
      <c r="B943" s="548"/>
      <c r="C943" s="548"/>
      <c r="D943" s="344"/>
      <c r="E943" s="344"/>
      <c r="F943" s="549"/>
      <c r="G943" s="545"/>
      <c r="H943" s="545"/>
      <c r="I943" s="344"/>
      <c r="J943" s="344"/>
      <c r="K943" s="344"/>
      <c r="L943" s="344"/>
      <c r="M943" s="344"/>
      <c r="N943" s="344"/>
      <c r="O943" s="344"/>
      <c r="P943" s="344"/>
      <c r="Q943" s="344"/>
      <c r="R943" s="344"/>
      <c r="S943" s="344"/>
      <c r="T943" s="344"/>
      <c r="U943" s="344"/>
      <c r="V943" s="344"/>
      <c r="W943" s="344"/>
      <c r="X943" s="344"/>
      <c r="Y943" s="344"/>
      <c r="Z943" s="344"/>
      <c r="AA943" s="344"/>
      <c r="AB943" s="344"/>
      <c r="AC943" s="344"/>
      <c r="AD943" s="344"/>
    </row>
    <row r="944">
      <c r="A944" s="344"/>
      <c r="B944" s="548"/>
      <c r="C944" s="548"/>
      <c r="D944" s="344"/>
      <c r="E944" s="344"/>
      <c r="F944" s="549"/>
      <c r="G944" s="545"/>
      <c r="H944" s="545"/>
      <c r="I944" s="344"/>
      <c r="J944" s="344"/>
      <c r="K944" s="344"/>
      <c r="L944" s="344"/>
      <c r="M944" s="344"/>
      <c r="N944" s="344"/>
      <c r="O944" s="344"/>
      <c r="P944" s="344"/>
      <c r="Q944" s="344"/>
      <c r="R944" s="344"/>
      <c r="S944" s="344"/>
      <c r="T944" s="344"/>
      <c r="U944" s="344"/>
      <c r="V944" s="344"/>
      <c r="W944" s="344"/>
      <c r="X944" s="344"/>
      <c r="Y944" s="344"/>
      <c r="Z944" s="344"/>
      <c r="AA944" s="344"/>
      <c r="AB944" s="344"/>
      <c r="AC944" s="344"/>
      <c r="AD944" s="344"/>
    </row>
    <row r="945">
      <c r="A945" s="344"/>
      <c r="B945" s="548"/>
      <c r="C945" s="548"/>
      <c r="D945" s="344"/>
      <c r="E945" s="344"/>
      <c r="F945" s="549"/>
      <c r="G945" s="545"/>
      <c r="H945" s="545"/>
      <c r="I945" s="344"/>
      <c r="J945" s="344"/>
      <c r="K945" s="344"/>
      <c r="L945" s="344"/>
      <c r="M945" s="344"/>
      <c r="N945" s="344"/>
      <c r="O945" s="344"/>
      <c r="P945" s="344"/>
      <c r="Q945" s="344"/>
      <c r="R945" s="344"/>
      <c r="S945" s="344"/>
      <c r="T945" s="344"/>
      <c r="U945" s="344"/>
      <c r="V945" s="344"/>
      <c r="W945" s="344"/>
      <c r="X945" s="344"/>
      <c r="Y945" s="344"/>
      <c r="Z945" s="344"/>
      <c r="AA945" s="344"/>
      <c r="AB945" s="344"/>
      <c r="AC945" s="344"/>
      <c r="AD945" s="344"/>
    </row>
    <row r="946">
      <c r="A946" s="344"/>
      <c r="B946" s="548"/>
      <c r="C946" s="548"/>
      <c r="D946" s="344"/>
      <c r="E946" s="344"/>
      <c r="F946" s="549"/>
      <c r="G946" s="545"/>
      <c r="H946" s="545"/>
      <c r="I946" s="344"/>
      <c r="J946" s="344"/>
      <c r="K946" s="344"/>
      <c r="L946" s="344"/>
      <c r="M946" s="344"/>
      <c r="N946" s="344"/>
      <c r="O946" s="344"/>
      <c r="P946" s="344"/>
      <c r="Q946" s="344"/>
      <c r="R946" s="344"/>
      <c r="S946" s="344"/>
      <c r="T946" s="344"/>
      <c r="U946" s="344"/>
      <c r="V946" s="344"/>
      <c r="W946" s="344"/>
      <c r="X946" s="344"/>
      <c r="Y946" s="344"/>
      <c r="Z946" s="344"/>
      <c r="AA946" s="344"/>
      <c r="AB946" s="344"/>
      <c r="AC946" s="344"/>
      <c r="AD946" s="344"/>
    </row>
    <row r="947">
      <c r="A947" s="344"/>
      <c r="B947" s="548"/>
      <c r="C947" s="548"/>
      <c r="D947" s="344"/>
      <c r="E947" s="344"/>
      <c r="F947" s="549"/>
      <c r="G947" s="545"/>
      <c r="H947" s="545"/>
      <c r="I947" s="344"/>
      <c r="J947" s="344"/>
      <c r="K947" s="344"/>
      <c r="L947" s="344"/>
      <c r="M947" s="344"/>
      <c r="N947" s="344"/>
      <c r="O947" s="344"/>
      <c r="P947" s="344"/>
      <c r="Q947" s="344"/>
      <c r="R947" s="344"/>
      <c r="S947" s="344"/>
      <c r="T947" s="344"/>
      <c r="U947" s="344"/>
      <c r="V947" s="344"/>
      <c r="W947" s="344"/>
      <c r="X947" s="344"/>
      <c r="Y947" s="344"/>
      <c r="Z947" s="344"/>
      <c r="AA947" s="344"/>
      <c r="AB947" s="344"/>
      <c r="AC947" s="344"/>
      <c r="AD947" s="344"/>
    </row>
    <row r="948">
      <c r="A948" s="344"/>
      <c r="B948" s="548"/>
      <c r="C948" s="548"/>
      <c r="D948" s="344"/>
      <c r="E948" s="344"/>
      <c r="F948" s="549"/>
      <c r="G948" s="545"/>
      <c r="H948" s="545"/>
      <c r="I948" s="344"/>
      <c r="J948" s="344"/>
      <c r="K948" s="344"/>
      <c r="L948" s="344"/>
      <c r="M948" s="344"/>
      <c r="N948" s="344"/>
      <c r="O948" s="344"/>
      <c r="P948" s="344"/>
      <c r="Q948" s="344"/>
      <c r="R948" s="344"/>
      <c r="S948" s="344"/>
      <c r="T948" s="344"/>
      <c r="U948" s="344"/>
      <c r="V948" s="344"/>
      <c r="W948" s="344"/>
      <c r="X948" s="344"/>
      <c r="Y948" s="344"/>
      <c r="Z948" s="344"/>
      <c r="AA948" s="344"/>
      <c r="AB948" s="344"/>
      <c r="AC948" s="344"/>
      <c r="AD948" s="344"/>
    </row>
    <row r="949">
      <c r="A949" s="344"/>
      <c r="B949" s="548"/>
      <c r="C949" s="548"/>
      <c r="D949" s="344"/>
      <c r="E949" s="344"/>
      <c r="F949" s="549"/>
      <c r="G949" s="545"/>
      <c r="H949" s="545"/>
      <c r="I949" s="344"/>
      <c r="J949" s="344"/>
      <c r="K949" s="344"/>
      <c r="L949" s="344"/>
      <c r="M949" s="344"/>
      <c r="N949" s="344"/>
      <c r="O949" s="344"/>
      <c r="P949" s="344"/>
      <c r="Q949" s="344"/>
      <c r="R949" s="344"/>
      <c r="S949" s="344"/>
      <c r="T949" s="344"/>
      <c r="U949" s="344"/>
      <c r="V949" s="344"/>
      <c r="W949" s="344"/>
      <c r="X949" s="344"/>
      <c r="Y949" s="344"/>
      <c r="Z949" s="344"/>
      <c r="AA949" s="344"/>
      <c r="AB949" s="344"/>
      <c r="AC949" s="344"/>
      <c r="AD949" s="344"/>
    </row>
    <row r="950">
      <c r="A950" s="344"/>
      <c r="B950" s="548"/>
      <c r="C950" s="548"/>
      <c r="D950" s="344"/>
      <c r="E950" s="344"/>
      <c r="F950" s="549"/>
      <c r="G950" s="545"/>
      <c r="H950" s="545"/>
      <c r="I950" s="344"/>
      <c r="J950" s="344"/>
      <c r="K950" s="344"/>
      <c r="L950" s="344"/>
      <c r="M950" s="344"/>
      <c r="N950" s="344"/>
      <c r="O950" s="344"/>
      <c r="P950" s="344"/>
      <c r="Q950" s="344"/>
      <c r="R950" s="344"/>
      <c r="S950" s="344"/>
      <c r="T950" s="344"/>
      <c r="U950" s="344"/>
      <c r="V950" s="344"/>
      <c r="W950" s="344"/>
      <c r="X950" s="344"/>
      <c r="Y950" s="344"/>
      <c r="Z950" s="344"/>
      <c r="AA950" s="344"/>
      <c r="AB950" s="344"/>
      <c r="AC950" s="344"/>
      <c r="AD950" s="344"/>
    </row>
    <row r="951">
      <c r="A951" s="344"/>
      <c r="B951" s="548"/>
      <c r="C951" s="548"/>
      <c r="D951" s="344"/>
      <c r="E951" s="344"/>
      <c r="F951" s="549"/>
      <c r="G951" s="545"/>
      <c r="H951" s="545"/>
      <c r="I951" s="344"/>
      <c r="J951" s="344"/>
      <c r="K951" s="344"/>
      <c r="L951" s="344"/>
      <c r="M951" s="344"/>
      <c r="N951" s="344"/>
      <c r="O951" s="344"/>
      <c r="P951" s="344"/>
      <c r="Q951" s="344"/>
      <c r="R951" s="344"/>
      <c r="S951" s="344"/>
      <c r="T951" s="344"/>
      <c r="U951" s="344"/>
      <c r="V951" s="344"/>
      <c r="W951" s="344"/>
      <c r="X951" s="344"/>
      <c r="Y951" s="344"/>
      <c r="Z951" s="344"/>
      <c r="AA951" s="344"/>
      <c r="AB951" s="344"/>
      <c r="AC951" s="344"/>
      <c r="AD951" s="344"/>
    </row>
    <row r="952">
      <c r="A952" s="344"/>
      <c r="B952" s="548"/>
      <c r="C952" s="548"/>
      <c r="D952" s="344"/>
      <c r="E952" s="344"/>
      <c r="F952" s="549"/>
      <c r="G952" s="545"/>
      <c r="H952" s="545"/>
      <c r="I952" s="344"/>
      <c r="J952" s="344"/>
      <c r="K952" s="344"/>
      <c r="L952" s="344"/>
      <c r="M952" s="344"/>
      <c r="N952" s="344"/>
      <c r="O952" s="344"/>
      <c r="P952" s="344"/>
      <c r="Q952" s="344"/>
      <c r="R952" s="344"/>
      <c r="S952" s="344"/>
      <c r="T952" s="344"/>
      <c r="U952" s="344"/>
      <c r="V952" s="344"/>
      <c r="W952" s="344"/>
      <c r="X952" s="344"/>
      <c r="Y952" s="344"/>
      <c r="Z952" s="344"/>
      <c r="AA952" s="344"/>
      <c r="AB952" s="344"/>
      <c r="AC952" s="344"/>
      <c r="AD952" s="344"/>
    </row>
    <row r="953">
      <c r="A953" s="344"/>
      <c r="B953" s="548"/>
      <c r="C953" s="548"/>
      <c r="D953" s="344"/>
      <c r="E953" s="344"/>
      <c r="F953" s="549"/>
      <c r="G953" s="545"/>
      <c r="H953" s="545"/>
      <c r="I953" s="344"/>
      <c r="J953" s="344"/>
      <c r="K953" s="344"/>
      <c r="L953" s="344"/>
      <c r="M953" s="344"/>
      <c r="N953" s="344"/>
      <c r="O953" s="344"/>
      <c r="P953" s="344"/>
      <c r="Q953" s="344"/>
      <c r="R953" s="344"/>
      <c r="S953" s="344"/>
      <c r="T953" s="344"/>
      <c r="U953" s="344"/>
      <c r="V953" s="344"/>
      <c r="W953" s="344"/>
      <c r="X953" s="344"/>
      <c r="Y953" s="344"/>
      <c r="Z953" s="344"/>
      <c r="AA953" s="344"/>
      <c r="AB953" s="344"/>
      <c r="AC953" s="344"/>
      <c r="AD953" s="344"/>
    </row>
    <row r="954">
      <c r="A954" s="344"/>
      <c r="B954" s="548"/>
      <c r="C954" s="548"/>
      <c r="D954" s="344"/>
      <c r="E954" s="344"/>
      <c r="F954" s="549"/>
      <c r="G954" s="545"/>
      <c r="H954" s="545"/>
      <c r="I954" s="344"/>
      <c r="J954" s="344"/>
      <c r="K954" s="344"/>
      <c r="L954" s="344"/>
      <c r="M954" s="344"/>
      <c r="N954" s="344"/>
      <c r="O954" s="344"/>
      <c r="P954" s="344"/>
      <c r="Q954" s="344"/>
      <c r="R954" s="344"/>
      <c r="S954" s="344"/>
      <c r="T954" s="344"/>
      <c r="U954" s="344"/>
      <c r="V954" s="344"/>
      <c r="W954" s="344"/>
      <c r="X954" s="344"/>
      <c r="Y954" s="344"/>
      <c r="Z954" s="344"/>
      <c r="AA954" s="344"/>
      <c r="AB954" s="344"/>
      <c r="AC954" s="344"/>
      <c r="AD954" s="344"/>
    </row>
    <row r="955">
      <c r="A955" s="344"/>
      <c r="B955" s="548"/>
      <c r="C955" s="548"/>
      <c r="D955" s="344"/>
      <c r="E955" s="344"/>
      <c r="F955" s="549"/>
      <c r="G955" s="545"/>
      <c r="H955" s="545"/>
      <c r="I955" s="344"/>
      <c r="J955" s="344"/>
      <c r="K955" s="344"/>
      <c r="L955" s="344"/>
      <c r="M955" s="344"/>
      <c r="N955" s="344"/>
      <c r="O955" s="344"/>
      <c r="P955" s="344"/>
      <c r="Q955" s="344"/>
      <c r="R955" s="344"/>
      <c r="S955" s="344"/>
      <c r="T955" s="344"/>
      <c r="U955" s="344"/>
      <c r="V955" s="344"/>
      <c r="W955" s="344"/>
      <c r="X955" s="344"/>
      <c r="Y955" s="344"/>
      <c r="Z955" s="344"/>
      <c r="AA955" s="344"/>
      <c r="AB955" s="344"/>
      <c r="AC955" s="344"/>
      <c r="AD955" s="344"/>
    </row>
    <row r="956">
      <c r="A956" s="344"/>
      <c r="B956" s="548"/>
      <c r="C956" s="548"/>
      <c r="D956" s="344"/>
      <c r="E956" s="344"/>
      <c r="F956" s="549"/>
      <c r="G956" s="545"/>
      <c r="H956" s="545"/>
      <c r="I956" s="344"/>
      <c r="J956" s="344"/>
      <c r="K956" s="344"/>
      <c r="L956" s="344"/>
      <c r="M956" s="344"/>
      <c r="N956" s="344"/>
      <c r="O956" s="344"/>
      <c r="P956" s="344"/>
      <c r="Q956" s="344"/>
      <c r="R956" s="344"/>
      <c r="S956" s="344"/>
      <c r="T956" s="344"/>
      <c r="U956" s="344"/>
      <c r="V956" s="344"/>
      <c r="W956" s="344"/>
      <c r="X956" s="344"/>
      <c r="Y956" s="344"/>
      <c r="Z956" s="344"/>
      <c r="AA956" s="344"/>
      <c r="AB956" s="344"/>
      <c r="AC956" s="344"/>
      <c r="AD956" s="344"/>
    </row>
    <row r="957">
      <c r="A957" s="344"/>
      <c r="B957" s="548"/>
      <c r="C957" s="548"/>
      <c r="D957" s="344"/>
      <c r="E957" s="344"/>
      <c r="F957" s="549"/>
      <c r="G957" s="545"/>
      <c r="H957" s="545"/>
      <c r="I957" s="344"/>
      <c r="J957" s="344"/>
      <c r="K957" s="344"/>
      <c r="L957" s="344"/>
      <c r="M957" s="344"/>
      <c r="N957" s="344"/>
      <c r="O957" s="344"/>
      <c r="P957" s="344"/>
      <c r="Q957" s="344"/>
      <c r="R957" s="344"/>
      <c r="S957" s="344"/>
      <c r="T957" s="344"/>
      <c r="U957" s="344"/>
      <c r="V957" s="344"/>
      <c r="W957" s="344"/>
      <c r="X957" s="344"/>
      <c r="Y957" s="344"/>
      <c r="Z957" s="344"/>
      <c r="AA957" s="344"/>
      <c r="AB957" s="344"/>
      <c r="AC957" s="344"/>
      <c r="AD957" s="344"/>
    </row>
    <row r="958">
      <c r="A958" s="344"/>
      <c r="B958" s="548"/>
      <c r="C958" s="548"/>
      <c r="D958" s="344"/>
      <c r="E958" s="344"/>
      <c r="F958" s="549"/>
      <c r="G958" s="545"/>
      <c r="H958" s="545"/>
      <c r="I958" s="344"/>
      <c r="J958" s="344"/>
      <c r="K958" s="344"/>
      <c r="L958" s="344"/>
      <c r="M958" s="344"/>
      <c r="N958" s="344"/>
      <c r="O958" s="344"/>
      <c r="P958" s="344"/>
      <c r="Q958" s="344"/>
      <c r="R958" s="344"/>
      <c r="S958" s="344"/>
      <c r="T958" s="344"/>
      <c r="U958" s="344"/>
      <c r="V958" s="344"/>
      <c r="W958" s="344"/>
      <c r="X958" s="344"/>
      <c r="Y958" s="344"/>
      <c r="Z958" s="344"/>
      <c r="AA958" s="344"/>
      <c r="AB958" s="344"/>
      <c r="AC958" s="344"/>
      <c r="AD958" s="344"/>
    </row>
    <row r="959">
      <c r="A959" s="344"/>
      <c r="B959" s="548"/>
      <c r="C959" s="548"/>
      <c r="D959" s="344"/>
      <c r="E959" s="344"/>
      <c r="F959" s="549"/>
      <c r="G959" s="545"/>
      <c r="H959" s="545"/>
      <c r="I959" s="344"/>
      <c r="J959" s="344"/>
      <c r="K959" s="344"/>
      <c r="L959" s="344"/>
      <c r="M959" s="344"/>
      <c r="N959" s="344"/>
      <c r="O959" s="344"/>
      <c r="P959" s="344"/>
      <c r="Q959" s="344"/>
      <c r="R959" s="344"/>
      <c r="S959" s="344"/>
      <c r="T959" s="344"/>
      <c r="U959" s="344"/>
      <c r="V959" s="344"/>
      <c r="W959" s="344"/>
      <c r="X959" s="344"/>
      <c r="Y959" s="344"/>
      <c r="Z959" s="344"/>
      <c r="AA959" s="344"/>
      <c r="AB959" s="344"/>
      <c r="AC959" s="344"/>
      <c r="AD959" s="344"/>
    </row>
    <row r="960">
      <c r="A960" s="344"/>
      <c r="B960" s="548"/>
      <c r="C960" s="548"/>
      <c r="D960" s="344"/>
      <c r="E960" s="344"/>
      <c r="F960" s="549"/>
      <c r="G960" s="545"/>
      <c r="H960" s="545"/>
      <c r="I960" s="344"/>
      <c r="J960" s="344"/>
      <c r="K960" s="344"/>
      <c r="L960" s="344"/>
      <c r="M960" s="344"/>
      <c r="N960" s="344"/>
      <c r="O960" s="344"/>
      <c r="P960" s="344"/>
      <c r="Q960" s="344"/>
      <c r="R960" s="344"/>
      <c r="S960" s="344"/>
      <c r="T960" s="344"/>
      <c r="U960" s="344"/>
      <c r="V960" s="344"/>
      <c r="W960" s="344"/>
      <c r="X960" s="344"/>
      <c r="Y960" s="344"/>
      <c r="Z960" s="344"/>
      <c r="AA960" s="344"/>
      <c r="AB960" s="344"/>
      <c r="AC960" s="344"/>
      <c r="AD960" s="344"/>
    </row>
    <row r="961">
      <c r="A961" s="344"/>
      <c r="B961" s="548"/>
      <c r="C961" s="548"/>
      <c r="D961" s="344"/>
      <c r="E961" s="344"/>
      <c r="F961" s="549"/>
      <c r="G961" s="545"/>
      <c r="H961" s="545"/>
      <c r="I961" s="344"/>
      <c r="J961" s="344"/>
      <c r="K961" s="344"/>
      <c r="L961" s="344"/>
      <c r="M961" s="344"/>
      <c r="N961" s="344"/>
      <c r="O961" s="344"/>
      <c r="P961" s="344"/>
      <c r="Q961" s="344"/>
      <c r="R961" s="344"/>
      <c r="S961" s="344"/>
      <c r="T961" s="344"/>
      <c r="U961" s="344"/>
      <c r="V961" s="344"/>
      <c r="W961" s="344"/>
      <c r="X961" s="344"/>
      <c r="Y961" s="344"/>
      <c r="Z961" s="344"/>
      <c r="AA961" s="344"/>
      <c r="AB961" s="344"/>
      <c r="AC961" s="344"/>
      <c r="AD961" s="344"/>
    </row>
    <row r="962">
      <c r="A962" s="344"/>
      <c r="B962" s="548"/>
      <c r="C962" s="548"/>
      <c r="D962" s="344"/>
      <c r="E962" s="344"/>
      <c r="F962" s="549"/>
      <c r="G962" s="545"/>
      <c r="H962" s="545"/>
      <c r="I962" s="344"/>
      <c r="J962" s="344"/>
      <c r="K962" s="344"/>
      <c r="L962" s="344"/>
      <c r="M962" s="344"/>
      <c r="N962" s="344"/>
      <c r="O962" s="344"/>
      <c r="P962" s="344"/>
      <c r="Q962" s="344"/>
      <c r="R962" s="344"/>
      <c r="S962" s="344"/>
      <c r="T962" s="344"/>
      <c r="U962" s="344"/>
      <c r="V962" s="344"/>
      <c r="W962" s="344"/>
      <c r="X962" s="344"/>
      <c r="Y962" s="344"/>
      <c r="Z962" s="344"/>
      <c r="AA962" s="344"/>
      <c r="AB962" s="344"/>
      <c r="AC962" s="344"/>
      <c r="AD962" s="344"/>
    </row>
    <row r="963">
      <c r="A963" s="344"/>
      <c r="B963" s="548"/>
      <c r="C963" s="548"/>
      <c r="D963" s="344"/>
      <c r="E963" s="344"/>
      <c r="F963" s="549"/>
      <c r="G963" s="545"/>
      <c r="H963" s="545"/>
      <c r="I963" s="344"/>
      <c r="J963" s="344"/>
      <c r="K963" s="344"/>
      <c r="L963" s="344"/>
      <c r="M963" s="344"/>
      <c r="N963" s="344"/>
      <c r="O963" s="344"/>
      <c r="P963" s="344"/>
      <c r="Q963" s="344"/>
      <c r="R963" s="344"/>
      <c r="S963" s="344"/>
      <c r="T963" s="344"/>
      <c r="U963" s="344"/>
      <c r="V963" s="344"/>
      <c r="W963" s="344"/>
      <c r="X963" s="344"/>
      <c r="Y963" s="344"/>
      <c r="Z963" s="344"/>
      <c r="AA963" s="344"/>
      <c r="AB963" s="344"/>
      <c r="AC963" s="344"/>
      <c r="AD963" s="344"/>
    </row>
    <row r="964">
      <c r="A964" s="344"/>
      <c r="B964" s="548"/>
      <c r="C964" s="548"/>
      <c r="D964" s="344"/>
      <c r="E964" s="344"/>
      <c r="F964" s="549"/>
      <c r="G964" s="545"/>
      <c r="H964" s="545"/>
      <c r="I964" s="344"/>
      <c r="J964" s="344"/>
      <c r="K964" s="344"/>
      <c r="L964" s="344"/>
      <c r="M964" s="344"/>
      <c r="N964" s="344"/>
      <c r="O964" s="344"/>
      <c r="P964" s="344"/>
      <c r="Q964" s="344"/>
      <c r="R964" s="344"/>
      <c r="S964" s="344"/>
      <c r="T964" s="344"/>
      <c r="U964" s="344"/>
      <c r="V964" s="344"/>
      <c r="W964" s="344"/>
      <c r="X964" s="344"/>
      <c r="Y964" s="344"/>
      <c r="Z964" s="344"/>
      <c r="AA964" s="344"/>
      <c r="AB964" s="344"/>
      <c r="AC964" s="344"/>
      <c r="AD964" s="344"/>
    </row>
    <row r="965">
      <c r="A965" s="344"/>
      <c r="B965" s="548"/>
      <c r="C965" s="548"/>
      <c r="D965" s="344"/>
      <c r="E965" s="344"/>
      <c r="F965" s="549"/>
      <c r="G965" s="545"/>
      <c r="H965" s="545"/>
      <c r="I965" s="344"/>
      <c r="J965" s="344"/>
      <c r="K965" s="344"/>
      <c r="L965" s="344"/>
      <c r="M965" s="344"/>
      <c r="N965" s="344"/>
      <c r="O965" s="344"/>
      <c r="P965" s="344"/>
      <c r="Q965" s="344"/>
      <c r="R965" s="344"/>
      <c r="S965" s="344"/>
      <c r="T965" s="344"/>
      <c r="U965" s="344"/>
      <c r="V965" s="344"/>
      <c r="W965" s="344"/>
      <c r="X965" s="344"/>
      <c r="Y965" s="344"/>
      <c r="Z965" s="344"/>
      <c r="AA965" s="344"/>
      <c r="AB965" s="344"/>
      <c r="AC965" s="344"/>
      <c r="AD965" s="344"/>
    </row>
    <row r="966">
      <c r="A966" s="344"/>
      <c r="B966" s="548"/>
      <c r="C966" s="548"/>
      <c r="D966" s="344"/>
      <c r="E966" s="344"/>
      <c r="F966" s="549"/>
      <c r="G966" s="545"/>
      <c r="H966" s="545"/>
      <c r="I966" s="344"/>
      <c r="J966" s="344"/>
      <c r="K966" s="344"/>
      <c r="L966" s="344"/>
      <c r="M966" s="344"/>
      <c r="N966" s="344"/>
      <c r="O966" s="344"/>
      <c r="P966" s="344"/>
      <c r="Q966" s="344"/>
      <c r="R966" s="344"/>
      <c r="S966" s="344"/>
      <c r="T966" s="344"/>
      <c r="U966" s="344"/>
      <c r="V966" s="344"/>
      <c r="W966" s="344"/>
      <c r="X966" s="344"/>
      <c r="Y966" s="344"/>
      <c r="Z966" s="344"/>
      <c r="AA966" s="344"/>
      <c r="AB966" s="344"/>
      <c r="AC966" s="344"/>
      <c r="AD966" s="344"/>
    </row>
    <row r="967">
      <c r="A967" s="344"/>
      <c r="B967" s="548"/>
      <c r="C967" s="548"/>
      <c r="D967" s="344"/>
      <c r="E967" s="344"/>
      <c r="F967" s="549"/>
      <c r="G967" s="545"/>
      <c r="H967" s="545"/>
      <c r="I967" s="344"/>
      <c r="J967" s="344"/>
      <c r="K967" s="344"/>
      <c r="L967" s="344"/>
      <c r="M967" s="344"/>
      <c r="N967" s="344"/>
      <c r="O967" s="344"/>
      <c r="P967" s="344"/>
      <c r="Q967" s="344"/>
      <c r="R967" s="344"/>
      <c r="S967" s="344"/>
      <c r="T967" s="344"/>
      <c r="U967" s="344"/>
      <c r="V967" s="344"/>
      <c r="W967" s="344"/>
      <c r="X967" s="344"/>
      <c r="Y967" s="344"/>
      <c r="Z967" s="344"/>
      <c r="AA967" s="344"/>
      <c r="AB967" s="344"/>
      <c r="AC967" s="344"/>
      <c r="AD967" s="344"/>
    </row>
    <row r="968">
      <c r="A968" s="344"/>
      <c r="B968" s="548"/>
      <c r="C968" s="548"/>
      <c r="D968" s="344"/>
      <c r="E968" s="344"/>
      <c r="F968" s="549"/>
      <c r="G968" s="545"/>
      <c r="H968" s="545"/>
      <c r="I968" s="344"/>
      <c r="J968" s="344"/>
      <c r="K968" s="344"/>
      <c r="L968" s="344"/>
      <c r="M968" s="344"/>
      <c r="N968" s="344"/>
      <c r="O968" s="344"/>
      <c r="P968" s="344"/>
      <c r="Q968" s="344"/>
      <c r="R968" s="344"/>
      <c r="S968" s="344"/>
      <c r="T968" s="344"/>
      <c r="U968" s="344"/>
      <c r="V968" s="344"/>
      <c r="W968" s="344"/>
      <c r="X968" s="344"/>
      <c r="Y968" s="344"/>
      <c r="Z968" s="344"/>
      <c r="AA968" s="344"/>
      <c r="AB968" s="344"/>
      <c r="AC968" s="344"/>
      <c r="AD968" s="344"/>
    </row>
    <row r="969">
      <c r="A969" s="344"/>
      <c r="B969" s="548"/>
      <c r="C969" s="548"/>
      <c r="D969" s="344"/>
      <c r="E969" s="344"/>
      <c r="F969" s="549"/>
      <c r="G969" s="545"/>
      <c r="H969" s="545"/>
      <c r="I969" s="344"/>
      <c r="J969" s="344"/>
      <c r="K969" s="344"/>
      <c r="L969" s="344"/>
      <c r="M969" s="344"/>
      <c r="N969" s="344"/>
      <c r="O969" s="344"/>
      <c r="P969" s="344"/>
      <c r="Q969" s="344"/>
      <c r="R969" s="344"/>
      <c r="S969" s="344"/>
      <c r="T969" s="344"/>
      <c r="U969" s="344"/>
      <c r="V969" s="344"/>
      <c r="W969" s="344"/>
      <c r="X969" s="344"/>
      <c r="Y969" s="344"/>
      <c r="Z969" s="344"/>
      <c r="AA969" s="344"/>
      <c r="AB969" s="344"/>
      <c r="AC969" s="344"/>
      <c r="AD969" s="344"/>
    </row>
    <row r="970">
      <c r="A970" s="344"/>
      <c r="B970" s="548"/>
      <c r="C970" s="548"/>
      <c r="D970" s="344"/>
      <c r="E970" s="344"/>
      <c r="F970" s="549"/>
      <c r="G970" s="545"/>
      <c r="H970" s="545"/>
      <c r="I970" s="344"/>
      <c r="J970" s="344"/>
      <c r="K970" s="344"/>
      <c r="L970" s="344"/>
      <c r="M970" s="344"/>
      <c r="N970" s="344"/>
      <c r="O970" s="344"/>
      <c r="P970" s="344"/>
      <c r="Q970" s="344"/>
      <c r="R970" s="344"/>
      <c r="S970" s="344"/>
      <c r="T970" s="344"/>
      <c r="U970" s="344"/>
      <c r="V970" s="344"/>
      <c r="W970" s="344"/>
      <c r="X970" s="344"/>
      <c r="Y970" s="344"/>
      <c r="Z970" s="344"/>
      <c r="AA970" s="344"/>
      <c r="AB970" s="344"/>
      <c r="AC970" s="344"/>
      <c r="AD970" s="344"/>
    </row>
    <row r="971">
      <c r="A971" s="344"/>
      <c r="B971" s="548"/>
      <c r="C971" s="548"/>
      <c r="D971" s="344"/>
      <c r="E971" s="344"/>
      <c r="F971" s="549"/>
      <c r="G971" s="545"/>
      <c r="H971" s="545"/>
      <c r="I971" s="344"/>
      <c r="J971" s="344"/>
      <c r="K971" s="344"/>
      <c r="L971" s="344"/>
      <c r="M971" s="344"/>
      <c r="N971" s="344"/>
      <c r="O971" s="344"/>
      <c r="P971" s="344"/>
      <c r="Q971" s="344"/>
      <c r="R971" s="344"/>
      <c r="S971" s="344"/>
      <c r="T971" s="344"/>
      <c r="U971" s="344"/>
      <c r="V971" s="344"/>
      <c r="W971" s="344"/>
      <c r="X971" s="344"/>
      <c r="Y971" s="344"/>
      <c r="Z971" s="344"/>
      <c r="AA971" s="344"/>
      <c r="AB971" s="344"/>
      <c r="AC971" s="344"/>
      <c r="AD971" s="344"/>
    </row>
    <row r="972">
      <c r="A972" s="344"/>
      <c r="B972" s="548"/>
      <c r="C972" s="548"/>
      <c r="D972" s="344"/>
      <c r="E972" s="344"/>
      <c r="F972" s="549"/>
      <c r="G972" s="545"/>
      <c r="H972" s="545"/>
      <c r="I972" s="344"/>
      <c r="J972" s="344"/>
      <c r="K972" s="344"/>
      <c r="L972" s="344"/>
      <c r="M972" s="344"/>
      <c r="N972" s="344"/>
      <c r="O972" s="344"/>
      <c r="P972" s="344"/>
      <c r="Q972" s="344"/>
      <c r="R972" s="344"/>
      <c r="S972" s="344"/>
      <c r="T972" s="344"/>
      <c r="U972" s="344"/>
      <c r="V972" s="344"/>
      <c r="W972" s="344"/>
      <c r="X972" s="344"/>
      <c r="Y972" s="344"/>
      <c r="Z972" s="344"/>
      <c r="AA972" s="344"/>
      <c r="AB972" s="344"/>
      <c r="AC972" s="344"/>
      <c r="AD972" s="344"/>
    </row>
    <row r="973">
      <c r="A973" s="344"/>
      <c r="B973" s="548"/>
      <c r="C973" s="548"/>
      <c r="D973" s="344"/>
      <c r="E973" s="344"/>
      <c r="F973" s="549"/>
      <c r="G973" s="545"/>
      <c r="H973" s="545"/>
      <c r="I973" s="344"/>
      <c r="J973" s="344"/>
      <c r="K973" s="344"/>
      <c r="L973" s="344"/>
      <c r="M973" s="344"/>
      <c r="N973" s="344"/>
      <c r="O973" s="344"/>
      <c r="P973" s="344"/>
      <c r="Q973" s="344"/>
      <c r="R973" s="344"/>
      <c r="S973" s="344"/>
      <c r="T973" s="344"/>
      <c r="U973" s="344"/>
      <c r="V973" s="344"/>
      <c r="W973" s="344"/>
      <c r="X973" s="344"/>
      <c r="Y973" s="344"/>
      <c r="Z973" s="344"/>
      <c r="AA973" s="344"/>
      <c r="AB973" s="344"/>
      <c r="AC973" s="344"/>
      <c r="AD973" s="344"/>
    </row>
    <row r="974">
      <c r="A974" s="344"/>
      <c r="B974" s="548"/>
      <c r="C974" s="548"/>
      <c r="D974" s="344"/>
      <c r="E974" s="344"/>
      <c r="F974" s="549"/>
      <c r="G974" s="545"/>
      <c r="H974" s="545"/>
      <c r="I974" s="344"/>
      <c r="J974" s="344"/>
      <c r="K974" s="344"/>
      <c r="L974" s="344"/>
      <c r="M974" s="344"/>
      <c r="N974" s="344"/>
      <c r="O974" s="344"/>
      <c r="P974" s="344"/>
      <c r="Q974" s="344"/>
      <c r="R974" s="344"/>
      <c r="S974" s="344"/>
      <c r="T974" s="344"/>
      <c r="U974" s="344"/>
      <c r="V974" s="344"/>
      <c r="W974" s="344"/>
      <c r="X974" s="344"/>
      <c r="Y974" s="344"/>
      <c r="Z974" s="344"/>
      <c r="AA974" s="344"/>
      <c r="AB974" s="344"/>
      <c r="AC974" s="344"/>
      <c r="AD974" s="344"/>
    </row>
    <row r="975">
      <c r="A975" s="344"/>
      <c r="B975" s="548"/>
      <c r="C975" s="548"/>
      <c r="D975" s="344"/>
      <c r="E975" s="344"/>
      <c r="F975" s="549"/>
      <c r="G975" s="545"/>
      <c r="H975" s="545"/>
      <c r="I975" s="344"/>
      <c r="J975" s="344"/>
      <c r="K975" s="344"/>
      <c r="L975" s="344"/>
      <c r="M975" s="344"/>
      <c r="N975" s="344"/>
      <c r="O975" s="344"/>
      <c r="P975" s="344"/>
      <c r="Q975" s="344"/>
      <c r="R975" s="344"/>
      <c r="S975" s="344"/>
      <c r="T975" s="344"/>
      <c r="U975" s="344"/>
      <c r="V975" s="344"/>
      <c r="W975" s="344"/>
      <c r="X975" s="344"/>
      <c r="Y975" s="344"/>
      <c r="Z975" s="344"/>
      <c r="AA975" s="344"/>
      <c r="AB975" s="344"/>
      <c r="AC975" s="344"/>
      <c r="AD975" s="344"/>
    </row>
    <row r="976">
      <c r="A976" s="344"/>
      <c r="B976" s="548"/>
      <c r="C976" s="548"/>
      <c r="D976" s="344"/>
      <c r="E976" s="344"/>
      <c r="F976" s="549"/>
      <c r="G976" s="545"/>
      <c r="H976" s="545"/>
      <c r="I976" s="344"/>
      <c r="J976" s="344"/>
      <c r="K976" s="344"/>
      <c r="L976" s="344"/>
      <c r="M976" s="344"/>
      <c r="N976" s="344"/>
      <c r="O976" s="344"/>
      <c r="P976" s="344"/>
      <c r="Q976" s="344"/>
      <c r="R976" s="344"/>
      <c r="S976" s="344"/>
      <c r="T976" s="344"/>
      <c r="U976" s="344"/>
      <c r="V976" s="344"/>
      <c r="W976" s="344"/>
      <c r="X976" s="344"/>
      <c r="Y976" s="344"/>
      <c r="Z976" s="344"/>
      <c r="AA976" s="344"/>
      <c r="AB976" s="344"/>
      <c r="AC976" s="344"/>
      <c r="AD976" s="344"/>
    </row>
    <row r="977">
      <c r="A977" s="344"/>
      <c r="B977" s="548"/>
      <c r="C977" s="548"/>
      <c r="D977" s="344"/>
      <c r="E977" s="344"/>
      <c r="F977" s="549"/>
      <c r="G977" s="545"/>
      <c r="H977" s="545"/>
      <c r="I977" s="344"/>
      <c r="J977" s="344"/>
      <c r="K977" s="344"/>
      <c r="L977" s="344"/>
      <c r="M977" s="344"/>
      <c r="N977" s="344"/>
      <c r="O977" s="344"/>
      <c r="P977" s="344"/>
      <c r="Q977" s="344"/>
      <c r="R977" s="344"/>
      <c r="S977" s="344"/>
      <c r="T977" s="344"/>
      <c r="U977" s="344"/>
      <c r="V977" s="344"/>
      <c r="W977" s="344"/>
      <c r="X977" s="344"/>
      <c r="Y977" s="344"/>
      <c r="Z977" s="344"/>
      <c r="AA977" s="344"/>
      <c r="AB977" s="344"/>
      <c r="AC977" s="344"/>
      <c r="AD977" s="344"/>
    </row>
    <row r="978">
      <c r="A978" s="344"/>
      <c r="B978" s="548"/>
      <c r="C978" s="548"/>
      <c r="D978" s="344"/>
      <c r="E978" s="344"/>
      <c r="F978" s="549"/>
      <c r="G978" s="545"/>
      <c r="H978" s="545"/>
      <c r="I978" s="344"/>
      <c r="J978" s="344"/>
      <c r="K978" s="344"/>
      <c r="L978" s="344"/>
      <c r="M978" s="344"/>
      <c r="N978" s="344"/>
      <c r="O978" s="344"/>
      <c r="P978" s="344"/>
      <c r="Q978" s="344"/>
      <c r="R978" s="344"/>
      <c r="S978" s="344"/>
      <c r="T978" s="344"/>
      <c r="U978" s="344"/>
      <c r="V978" s="344"/>
      <c r="W978" s="344"/>
      <c r="X978" s="344"/>
      <c r="Y978" s="344"/>
      <c r="Z978" s="344"/>
      <c r="AA978" s="344"/>
      <c r="AB978" s="344"/>
      <c r="AC978" s="344"/>
      <c r="AD978" s="344"/>
    </row>
    <row r="979">
      <c r="A979" s="344"/>
      <c r="B979" s="548"/>
      <c r="C979" s="548"/>
      <c r="D979" s="344"/>
      <c r="E979" s="344"/>
      <c r="F979" s="549"/>
      <c r="G979" s="545"/>
      <c r="H979" s="545"/>
      <c r="I979" s="344"/>
      <c r="J979" s="344"/>
      <c r="K979" s="344"/>
      <c r="L979" s="344"/>
      <c r="M979" s="344"/>
      <c r="N979" s="344"/>
      <c r="O979" s="344"/>
      <c r="P979" s="344"/>
      <c r="Q979" s="344"/>
      <c r="R979" s="344"/>
      <c r="S979" s="344"/>
      <c r="T979" s="344"/>
      <c r="U979" s="344"/>
      <c r="V979" s="344"/>
      <c r="W979" s="344"/>
      <c r="X979" s="344"/>
      <c r="Y979" s="344"/>
      <c r="Z979" s="344"/>
      <c r="AA979" s="344"/>
      <c r="AB979" s="344"/>
      <c r="AC979" s="344"/>
      <c r="AD979" s="344"/>
    </row>
    <row r="980">
      <c r="A980" s="344"/>
      <c r="B980" s="548"/>
      <c r="C980" s="548"/>
      <c r="D980" s="344"/>
      <c r="E980" s="344"/>
      <c r="F980" s="549"/>
      <c r="G980" s="545"/>
      <c r="H980" s="545"/>
      <c r="I980" s="344"/>
      <c r="J980" s="344"/>
      <c r="K980" s="344"/>
      <c r="L980" s="344"/>
      <c r="M980" s="344"/>
      <c r="N980" s="344"/>
      <c r="O980" s="344"/>
      <c r="P980" s="344"/>
      <c r="Q980" s="344"/>
      <c r="R980" s="344"/>
      <c r="S980" s="344"/>
      <c r="T980" s="344"/>
      <c r="U980" s="344"/>
      <c r="V980" s="344"/>
      <c r="W980" s="344"/>
      <c r="X980" s="344"/>
      <c r="Y980" s="344"/>
      <c r="Z980" s="344"/>
      <c r="AA980" s="344"/>
      <c r="AB980" s="344"/>
      <c r="AC980" s="344"/>
      <c r="AD980" s="344"/>
    </row>
    <row r="981">
      <c r="A981" s="344"/>
      <c r="B981" s="548"/>
      <c r="C981" s="548"/>
      <c r="D981" s="344"/>
      <c r="E981" s="344"/>
      <c r="F981" s="549"/>
      <c r="G981" s="545"/>
      <c r="H981" s="545"/>
      <c r="I981" s="344"/>
      <c r="J981" s="344"/>
      <c r="K981" s="344"/>
      <c r="L981" s="344"/>
      <c r="M981" s="344"/>
      <c r="N981" s="344"/>
      <c r="O981" s="344"/>
      <c r="P981" s="344"/>
      <c r="Q981" s="344"/>
      <c r="R981" s="344"/>
      <c r="S981" s="344"/>
      <c r="T981" s="344"/>
      <c r="U981" s="344"/>
      <c r="V981" s="344"/>
      <c r="W981" s="344"/>
      <c r="X981" s="344"/>
      <c r="Y981" s="344"/>
      <c r="Z981" s="344"/>
      <c r="AA981" s="344"/>
      <c r="AB981" s="344"/>
      <c r="AC981" s="344"/>
      <c r="AD981" s="344"/>
    </row>
    <row r="982">
      <c r="A982" s="344"/>
      <c r="B982" s="548"/>
      <c r="C982" s="548"/>
      <c r="D982" s="344"/>
      <c r="E982" s="344"/>
      <c r="F982" s="549"/>
      <c r="G982" s="545"/>
      <c r="H982" s="545"/>
      <c r="I982" s="344"/>
      <c r="J982" s="344"/>
      <c r="K982" s="344"/>
      <c r="L982" s="344"/>
      <c r="M982" s="344"/>
      <c r="N982" s="344"/>
      <c r="O982" s="344"/>
      <c r="P982" s="344"/>
      <c r="Q982" s="344"/>
      <c r="R982" s="344"/>
      <c r="S982" s="344"/>
      <c r="T982" s="344"/>
      <c r="U982" s="344"/>
      <c r="V982" s="344"/>
      <c r="W982" s="344"/>
      <c r="X982" s="344"/>
      <c r="Y982" s="344"/>
      <c r="Z982" s="344"/>
      <c r="AA982" s="344"/>
      <c r="AB982" s="344"/>
      <c r="AC982" s="344"/>
      <c r="AD982" s="344"/>
    </row>
    <row r="983">
      <c r="A983" s="344"/>
      <c r="B983" s="548"/>
      <c r="C983" s="548"/>
      <c r="D983" s="344"/>
      <c r="E983" s="344"/>
      <c r="F983" s="549"/>
      <c r="G983" s="545"/>
      <c r="H983" s="545"/>
      <c r="I983" s="344"/>
      <c r="J983" s="344"/>
      <c r="K983" s="344"/>
      <c r="L983" s="344"/>
      <c r="M983" s="344"/>
      <c r="N983" s="344"/>
      <c r="O983" s="344"/>
      <c r="P983" s="344"/>
      <c r="Q983" s="344"/>
      <c r="R983" s="344"/>
      <c r="S983" s="344"/>
      <c r="T983" s="344"/>
      <c r="U983" s="344"/>
      <c r="V983" s="344"/>
      <c r="W983" s="344"/>
      <c r="X983" s="344"/>
      <c r="Y983" s="344"/>
      <c r="Z983" s="344"/>
      <c r="AA983" s="344"/>
      <c r="AB983" s="344"/>
      <c r="AC983" s="344"/>
      <c r="AD983" s="344"/>
    </row>
    <row r="984">
      <c r="A984" s="344"/>
      <c r="B984" s="548"/>
      <c r="C984" s="548"/>
      <c r="D984" s="344"/>
      <c r="E984" s="344"/>
      <c r="F984" s="549"/>
      <c r="G984" s="545"/>
      <c r="H984" s="545"/>
      <c r="I984" s="344"/>
      <c r="J984" s="344"/>
      <c r="K984" s="344"/>
      <c r="L984" s="344"/>
      <c r="M984" s="344"/>
      <c r="N984" s="344"/>
      <c r="O984" s="344"/>
      <c r="P984" s="344"/>
      <c r="Q984" s="344"/>
      <c r="R984" s="344"/>
      <c r="S984" s="344"/>
      <c r="T984" s="344"/>
      <c r="U984" s="344"/>
      <c r="V984" s="344"/>
      <c r="W984" s="344"/>
      <c r="X984" s="344"/>
      <c r="Y984" s="344"/>
      <c r="Z984" s="344"/>
      <c r="AA984" s="344"/>
      <c r="AB984" s="344"/>
      <c r="AC984" s="344"/>
      <c r="AD984" s="344"/>
    </row>
    <row r="985">
      <c r="A985" s="344"/>
      <c r="B985" s="548"/>
      <c r="C985" s="548"/>
      <c r="D985" s="344"/>
      <c r="E985" s="344"/>
      <c r="F985" s="549"/>
      <c r="G985" s="545"/>
      <c r="H985" s="545"/>
      <c r="I985" s="344"/>
      <c r="J985" s="344"/>
      <c r="K985" s="344"/>
      <c r="L985" s="344"/>
      <c r="M985" s="344"/>
      <c r="N985" s="344"/>
      <c r="O985" s="344"/>
      <c r="P985" s="344"/>
      <c r="Q985" s="344"/>
      <c r="R985" s="344"/>
      <c r="S985" s="344"/>
      <c r="T985" s="344"/>
      <c r="U985" s="344"/>
      <c r="V985" s="344"/>
      <c r="W985" s="344"/>
      <c r="X985" s="344"/>
      <c r="Y985" s="344"/>
      <c r="Z985" s="344"/>
      <c r="AA985" s="344"/>
      <c r="AB985" s="344"/>
      <c r="AC985" s="344"/>
      <c r="AD985" s="344"/>
    </row>
    <row r="986">
      <c r="A986" s="344"/>
      <c r="B986" s="548"/>
      <c r="C986" s="548"/>
      <c r="D986" s="344"/>
      <c r="E986" s="344"/>
      <c r="F986" s="549"/>
      <c r="G986" s="545"/>
      <c r="H986" s="545"/>
      <c r="I986" s="344"/>
      <c r="J986" s="344"/>
      <c r="K986" s="344"/>
      <c r="L986" s="344"/>
      <c r="M986" s="344"/>
      <c r="N986" s="344"/>
      <c r="O986" s="344"/>
      <c r="P986" s="344"/>
      <c r="Q986" s="344"/>
      <c r="R986" s="344"/>
      <c r="S986" s="344"/>
      <c r="T986" s="344"/>
      <c r="U986" s="344"/>
      <c r="V986" s="344"/>
      <c r="W986" s="344"/>
      <c r="X986" s="344"/>
      <c r="Y986" s="344"/>
      <c r="Z986" s="344"/>
      <c r="AA986" s="344"/>
      <c r="AB986" s="344"/>
      <c r="AC986" s="344"/>
      <c r="AD986" s="344"/>
    </row>
    <row r="987">
      <c r="A987" s="344"/>
      <c r="B987" s="548"/>
      <c r="C987" s="548"/>
      <c r="D987" s="344"/>
      <c r="E987" s="344"/>
      <c r="F987" s="549"/>
      <c r="G987" s="545"/>
      <c r="H987" s="545"/>
      <c r="I987" s="344"/>
      <c r="J987" s="344"/>
      <c r="K987" s="344"/>
      <c r="L987" s="344"/>
      <c r="M987" s="344"/>
      <c r="N987" s="344"/>
      <c r="O987" s="344"/>
      <c r="P987" s="344"/>
      <c r="Q987" s="344"/>
      <c r="R987" s="344"/>
      <c r="S987" s="344"/>
      <c r="T987" s="344"/>
      <c r="U987" s="344"/>
      <c r="V987" s="344"/>
      <c r="W987" s="344"/>
      <c r="X987" s="344"/>
      <c r="Y987" s="344"/>
      <c r="Z987" s="344"/>
      <c r="AA987" s="344"/>
      <c r="AB987" s="344"/>
      <c r="AC987" s="344"/>
      <c r="AD987" s="344"/>
    </row>
    <row r="988">
      <c r="A988" s="344"/>
      <c r="B988" s="548"/>
      <c r="C988" s="548"/>
      <c r="D988" s="344"/>
      <c r="E988" s="344"/>
      <c r="F988" s="549"/>
      <c r="G988" s="545"/>
      <c r="H988" s="545"/>
      <c r="I988" s="344"/>
      <c r="J988" s="344"/>
      <c r="K988" s="344"/>
      <c r="L988" s="344"/>
      <c r="M988" s="344"/>
      <c r="N988" s="344"/>
      <c r="O988" s="344"/>
      <c r="P988" s="344"/>
      <c r="Q988" s="344"/>
      <c r="R988" s="344"/>
      <c r="S988" s="344"/>
      <c r="T988" s="344"/>
      <c r="U988" s="344"/>
      <c r="V988" s="344"/>
      <c r="W988" s="344"/>
      <c r="X988" s="344"/>
      <c r="Y988" s="344"/>
      <c r="Z988" s="344"/>
      <c r="AA988" s="344"/>
      <c r="AB988" s="344"/>
      <c r="AC988" s="344"/>
      <c r="AD988" s="344"/>
    </row>
    <row r="989">
      <c r="A989" s="344"/>
      <c r="B989" s="548"/>
      <c r="C989" s="548"/>
      <c r="D989" s="344"/>
      <c r="E989" s="344"/>
      <c r="F989" s="549"/>
      <c r="G989" s="545"/>
      <c r="H989" s="545"/>
      <c r="I989" s="344"/>
      <c r="J989" s="344"/>
      <c r="K989" s="344"/>
      <c r="L989" s="344"/>
      <c r="M989" s="344"/>
      <c r="N989" s="344"/>
      <c r="O989" s="344"/>
      <c r="P989" s="344"/>
      <c r="Q989" s="344"/>
      <c r="R989" s="344"/>
      <c r="S989" s="344"/>
      <c r="T989" s="344"/>
      <c r="U989" s="344"/>
      <c r="V989" s="344"/>
      <c r="W989" s="344"/>
      <c r="X989" s="344"/>
      <c r="Y989" s="344"/>
      <c r="Z989" s="344"/>
      <c r="AA989" s="344"/>
      <c r="AB989" s="344"/>
      <c r="AC989" s="344"/>
      <c r="AD989" s="344"/>
    </row>
    <row r="990">
      <c r="A990" s="344"/>
      <c r="B990" s="548"/>
      <c r="C990" s="548"/>
      <c r="D990" s="344"/>
      <c r="E990" s="344"/>
      <c r="F990" s="549"/>
      <c r="G990" s="545"/>
      <c r="H990" s="545"/>
      <c r="I990" s="344"/>
      <c r="J990" s="344"/>
      <c r="K990" s="344"/>
      <c r="L990" s="344"/>
      <c r="M990" s="344"/>
      <c r="N990" s="344"/>
      <c r="O990" s="344"/>
      <c r="P990" s="344"/>
      <c r="Q990" s="344"/>
      <c r="R990" s="344"/>
      <c r="S990" s="344"/>
      <c r="T990" s="344"/>
      <c r="U990" s="344"/>
      <c r="V990" s="344"/>
      <c r="W990" s="344"/>
      <c r="X990" s="344"/>
      <c r="Y990" s="344"/>
      <c r="Z990" s="344"/>
      <c r="AA990" s="344"/>
      <c r="AB990" s="344"/>
      <c r="AC990" s="344"/>
      <c r="AD990" s="344"/>
    </row>
    <row r="991">
      <c r="A991" s="344"/>
      <c r="B991" s="548"/>
      <c r="C991" s="548"/>
      <c r="D991" s="344"/>
      <c r="E991" s="344"/>
      <c r="F991" s="549"/>
      <c r="G991" s="545"/>
      <c r="H991" s="545"/>
      <c r="I991" s="344"/>
      <c r="J991" s="344"/>
      <c r="K991" s="344"/>
      <c r="L991" s="344"/>
      <c r="M991" s="344"/>
      <c r="N991" s="344"/>
      <c r="O991" s="344"/>
      <c r="P991" s="344"/>
      <c r="Q991" s="344"/>
      <c r="R991" s="344"/>
      <c r="S991" s="344"/>
      <c r="T991" s="344"/>
      <c r="U991" s="344"/>
      <c r="V991" s="344"/>
      <c r="W991" s="344"/>
      <c r="X991" s="344"/>
      <c r="Y991" s="344"/>
      <c r="Z991" s="344"/>
      <c r="AA991" s="344"/>
      <c r="AB991" s="344"/>
      <c r="AC991" s="344"/>
      <c r="AD991" s="344"/>
    </row>
    <row r="992">
      <c r="A992" s="344"/>
      <c r="B992" s="548"/>
      <c r="C992" s="548"/>
      <c r="D992" s="344"/>
      <c r="E992" s="344"/>
      <c r="F992" s="549"/>
      <c r="G992" s="545"/>
      <c r="H992" s="545"/>
      <c r="I992" s="344"/>
      <c r="J992" s="344"/>
      <c r="K992" s="344"/>
      <c r="L992" s="344"/>
      <c r="M992" s="344"/>
      <c r="N992" s="344"/>
      <c r="O992" s="344"/>
      <c r="P992" s="344"/>
      <c r="Q992" s="344"/>
      <c r="R992" s="344"/>
      <c r="S992" s="344"/>
      <c r="T992" s="344"/>
      <c r="U992" s="344"/>
      <c r="V992" s="344"/>
      <c r="W992" s="344"/>
      <c r="X992" s="344"/>
      <c r="Y992" s="344"/>
      <c r="Z992" s="344"/>
      <c r="AA992" s="344"/>
      <c r="AB992" s="344"/>
      <c r="AC992" s="344"/>
      <c r="AD992" s="344"/>
    </row>
    <row r="993">
      <c r="A993" s="344"/>
      <c r="B993" s="548"/>
      <c r="C993" s="548"/>
      <c r="D993" s="344"/>
      <c r="E993" s="344"/>
      <c r="F993" s="549"/>
      <c r="G993" s="545"/>
      <c r="H993" s="545"/>
      <c r="I993" s="344"/>
      <c r="J993" s="344"/>
      <c r="K993" s="344"/>
      <c r="L993" s="344"/>
      <c r="M993" s="344"/>
      <c r="N993" s="344"/>
      <c r="O993" s="344"/>
      <c r="P993" s="344"/>
      <c r="Q993" s="344"/>
      <c r="R993" s="344"/>
      <c r="S993" s="344"/>
      <c r="T993" s="344"/>
      <c r="U993" s="344"/>
      <c r="V993" s="344"/>
      <c r="W993" s="344"/>
      <c r="X993" s="344"/>
      <c r="Y993" s="344"/>
      <c r="Z993" s="344"/>
      <c r="AA993" s="344"/>
      <c r="AB993" s="344"/>
      <c r="AC993" s="344"/>
      <c r="AD993" s="344"/>
    </row>
    <row r="994">
      <c r="A994" s="344"/>
      <c r="B994" s="548"/>
      <c r="C994" s="548"/>
      <c r="D994" s="344"/>
      <c r="E994" s="344"/>
      <c r="F994" s="549"/>
      <c r="G994" s="545"/>
      <c r="H994" s="545"/>
      <c r="I994" s="344"/>
      <c r="J994" s="344"/>
      <c r="K994" s="344"/>
      <c r="L994" s="344"/>
      <c r="M994" s="344"/>
      <c r="N994" s="344"/>
      <c r="O994" s="344"/>
      <c r="P994" s="344"/>
      <c r="Q994" s="344"/>
      <c r="R994" s="344"/>
      <c r="S994" s="344"/>
      <c r="T994" s="344"/>
      <c r="U994" s="344"/>
      <c r="V994" s="344"/>
      <c r="W994" s="344"/>
      <c r="X994" s="344"/>
      <c r="Y994" s="344"/>
      <c r="Z994" s="344"/>
      <c r="AA994" s="344"/>
      <c r="AB994" s="344"/>
      <c r="AC994" s="344"/>
      <c r="AD994" s="344"/>
    </row>
    <row r="995">
      <c r="A995" s="344"/>
      <c r="B995" s="548"/>
      <c r="C995" s="548"/>
      <c r="D995" s="344"/>
      <c r="E995" s="344"/>
      <c r="F995" s="549"/>
      <c r="G995" s="545"/>
      <c r="H995" s="545"/>
      <c r="I995" s="344"/>
      <c r="J995" s="344"/>
      <c r="K995" s="344"/>
      <c r="L995" s="344"/>
      <c r="M995" s="344"/>
      <c r="N995" s="344"/>
      <c r="O995" s="344"/>
      <c r="P995" s="344"/>
      <c r="Q995" s="344"/>
      <c r="R995" s="344"/>
      <c r="S995" s="344"/>
      <c r="T995" s="344"/>
      <c r="U995" s="344"/>
      <c r="V995" s="344"/>
      <c r="W995" s="344"/>
      <c r="X995" s="344"/>
      <c r="Y995" s="344"/>
      <c r="Z995" s="344"/>
      <c r="AA995" s="344"/>
      <c r="AB995" s="344"/>
      <c r="AC995" s="344"/>
      <c r="AD995" s="344"/>
    </row>
    <row r="996">
      <c r="A996" s="344"/>
      <c r="B996" s="548"/>
      <c r="C996" s="548"/>
      <c r="D996" s="344"/>
      <c r="E996" s="344"/>
      <c r="F996" s="549"/>
      <c r="G996" s="545"/>
      <c r="H996" s="545"/>
      <c r="I996" s="344"/>
      <c r="J996" s="344"/>
      <c r="K996" s="344"/>
      <c r="L996" s="344"/>
      <c r="M996" s="344"/>
      <c r="N996" s="344"/>
      <c r="O996" s="344"/>
      <c r="P996" s="344"/>
      <c r="Q996" s="344"/>
      <c r="R996" s="344"/>
      <c r="S996" s="344"/>
      <c r="T996" s="344"/>
      <c r="U996" s="344"/>
      <c r="V996" s="344"/>
      <c r="W996" s="344"/>
      <c r="X996" s="344"/>
      <c r="Y996" s="344"/>
      <c r="Z996" s="344"/>
      <c r="AA996" s="344"/>
      <c r="AB996" s="344"/>
      <c r="AC996" s="344"/>
      <c r="AD996" s="344"/>
    </row>
    <row r="997">
      <c r="A997" s="344"/>
      <c r="B997" s="548"/>
      <c r="C997" s="548"/>
      <c r="D997" s="344"/>
      <c r="E997" s="344"/>
      <c r="F997" s="549"/>
      <c r="G997" s="545"/>
      <c r="H997" s="545"/>
      <c r="I997" s="344"/>
      <c r="J997" s="344"/>
      <c r="K997" s="344"/>
      <c r="L997" s="344"/>
      <c r="M997" s="344"/>
      <c r="N997" s="344"/>
      <c r="O997" s="344"/>
      <c r="P997" s="344"/>
      <c r="Q997" s="344"/>
      <c r="R997" s="344"/>
      <c r="S997" s="344"/>
      <c r="T997" s="344"/>
      <c r="U997" s="344"/>
      <c r="V997" s="344"/>
      <c r="W997" s="344"/>
      <c r="X997" s="344"/>
      <c r="Y997" s="344"/>
      <c r="Z997" s="344"/>
      <c r="AA997" s="344"/>
      <c r="AB997" s="344"/>
      <c r="AC997" s="344"/>
      <c r="AD997" s="344"/>
    </row>
    <row r="998">
      <c r="A998" s="344"/>
      <c r="B998" s="548"/>
      <c r="C998" s="548"/>
      <c r="D998" s="344"/>
      <c r="E998" s="344"/>
      <c r="F998" s="549"/>
      <c r="G998" s="545"/>
      <c r="H998" s="545"/>
      <c r="I998" s="344"/>
      <c r="J998" s="344"/>
      <c r="K998" s="344"/>
      <c r="L998" s="344"/>
      <c r="M998" s="344"/>
      <c r="N998" s="344"/>
      <c r="O998" s="344"/>
      <c r="P998" s="344"/>
      <c r="Q998" s="344"/>
      <c r="R998" s="344"/>
      <c r="S998" s="344"/>
      <c r="T998" s="344"/>
      <c r="U998" s="344"/>
      <c r="V998" s="344"/>
      <c r="W998" s="344"/>
      <c r="X998" s="344"/>
      <c r="Y998" s="344"/>
      <c r="Z998" s="344"/>
      <c r="AA998" s="344"/>
      <c r="AB998" s="344"/>
      <c r="AC998" s="344"/>
      <c r="AD998" s="344"/>
    </row>
    <row r="999">
      <c r="A999" s="344"/>
      <c r="B999" s="548"/>
      <c r="C999" s="548"/>
      <c r="D999" s="344"/>
      <c r="E999" s="344"/>
      <c r="F999" s="549"/>
      <c r="G999" s="545"/>
      <c r="H999" s="545"/>
      <c r="I999" s="344"/>
      <c r="J999" s="344"/>
      <c r="K999" s="344"/>
      <c r="L999" s="344"/>
      <c r="M999" s="344"/>
      <c r="N999" s="344"/>
      <c r="O999" s="344"/>
      <c r="P999" s="344"/>
      <c r="Q999" s="344"/>
      <c r="R999" s="344"/>
      <c r="S999" s="344"/>
      <c r="T999" s="344"/>
      <c r="U999" s="344"/>
      <c r="V999" s="344"/>
      <c r="W999" s="344"/>
      <c r="X999" s="344"/>
      <c r="Y999" s="344"/>
      <c r="Z999" s="344"/>
      <c r="AA999" s="344"/>
      <c r="AB999" s="344"/>
      <c r="AC999" s="344"/>
      <c r="AD999" s="344"/>
    </row>
    <row r="1000">
      <c r="A1000" s="344"/>
      <c r="B1000" s="548"/>
      <c r="C1000" s="548"/>
      <c r="D1000" s="344"/>
      <c r="E1000" s="344"/>
      <c r="F1000" s="549"/>
      <c r="G1000" s="545"/>
      <c r="H1000" s="545"/>
      <c r="I1000" s="344"/>
      <c r="J1000" s="344"/>
      <c r="K1000" s="344"/>
      <c r="L1000" s="344"/>
      <c r="M1000" s="344"/>
      <c r="N1000" s="344"/>
      <c r="O1000" s="344"/>
      <c r="P1000" s="344"/>
      <c r="Q1000" s="344"/>
      <c r="R1000" s="344"/>
      <c r="S1000" s="344"/>
      <c r="T1000" s="344"/>
      <c r="U1000" s="344"/>
      <c r="V1000" s="344"/>
      <c r="W1000" s="344"/>
      <c r="X1000" s="344"/>
      <c r="Y1000" s="344"/>
      <c r="Z1000" s="344"/>
      <c r="AA1000" s="344"/>
      <c r="AB1000" s="344"/>
      <c r="AC1000" s="344"/>
      <c r="AD1000" s="344"/>
    </row>
    <row r="1001">
      <c r="A1001" s="344"/>
      <c r="B1001" s="548"/>
      <c r="C1001" s="548"/>
      <c r="D1001" s="344"/>
      <c r="E1001" s="344"/>
      <c r="F1001" s="549"/>
      <c r="G1001" s="545"/>
      <c r="H1001" s="545"/>
      <c r="I1001" s="344"/>
      <c r="J1001" s="344"/>
      <c r="K1001" s="344"/>
      <c r="L1001" s="344"/>
      <c r="M1001" s="344"/>
      <c r="N1001" s="344"/>
      <c r="O1001" s="344"/>
      <c r="P1001" s="344"/>
      <c r="Q1001" s="344"/>
      <c r="R1001" s="344"/>
      <c r="S1001" s="344"/>
      <c r="T1001" s="344"/>
      <c r="U1001" s="344"/>
      <c r="V1001" s="344"/>
      <c r="W1001" s="344"/>
      <c r="X1001" s="344"/>
      <c r="Y1001" s="344"/>
      <c r="Z1001" s="344"/>
      <c r="AA1001" s="344"/>
      <c r="AB1001" s="344"/>
      <c r="AC1001" s="344"/>
      <c r="AD1001" s="344"/>
    </row>
    <row r="1002">
      <c r="A1002" s="344"/>
      <c r="B1002" s="548"/>
      <c r="C1002" s="548"/>
      <c r="D1002" s="344"/>
      <c r="E1002" s="344"/>
      <c r="F1002" s="549"/>
      <c r="G1002" s="545"/>
      <c r="H1002" s="545"/>
      <c r="I1002" s="344"/>
      <c r="J1002" s="344"/>
      <c r="K1002" s="344"/>
      <c r="L1002" s="344"/>
      <c r="M1002" s="344"/>
      <c r="N1002" s="344"/>
      <c r="O1002" s="344"/>
      <c r="P1002" s="344"/>
      <c r="Q1002" s="344"/>
      <c r="R1002" s="344"/>
      <c r="S1002" s="344"/>
      <c r="T1002" s="344"/>
      <c r="U1002" s="344"/>
      <c r="V1002" s="344"/>
      <c r="W1002" s="344"/>
      <c r="X1002" s="344"/>
      <c r="Y1002" s="344"/>
      <c r="Z1002" s="344"/>
      <c r="AA1002" s="344"/>
      <c r="AB1002" s="344"/>
      <c r="AC1002" s="344"/>
      <c r="AD1002" s="344"/>
    </row>
    <row r="1003">
      <c r="A1003" s="344"/>
      <c r="B1003" s="548"/>
      <c r="C1003" s="548"/>
      <c r="D1003" s="344"/>
      <c r="E1003" s="344"/>
      <c r="F1003" s="549"/>
      <c r="G1003" s="545"/>
      <c r="H1003" s="545"/>
      <c r="I1003" s="344"/>
      <c r="J1003" s="344"/>
      <c r="K1003" s="344"/>
      <c r="L1003" s="344"/>
      <c r="M1003" s="344"/>
      <c r="N1003" s="344"/>
      <c r="O1003" s="344"/>
      <c r="P1003" s="344"/>
      <c r="Q1003" s="344"/>
      <c r="R1003" s="344"/>
      <c r="S1003" s="344"/>
      <c r="T1003" s="344"/>
      <c r="U1003" s="344"/>
      <c r="V1003" s="344"/>
      <c r="W1003" s="344"/>
      <c r="X1003" s="344"/>
      <c r="Y1003" s="344"/>
      <c r="Z1003" s="344"/>
      <c r="AA1003" s="344"/>
      <c r="AB1003" s="344"/>
      <c r="AC1003" s="344"/>
      <c r="AD1003" s="344"/>
    </row>
    <row r="1004">
      <c r="A1004" s="344"/>
      <c r="B1004" s="548"/>
      <c r="C1004" s="548"/>
      <c r="D1004" s="344"/>
      <c r="E1004" s="344"/>
      <c r="F1004" s="549"/>
      <c r="G1004" s="545"/>
      <c r="H1004" s="545"/>
      <c r="I1004" s="344"/>
      <c r="J1004" s="344"/>
      <c r="K1004" s="344"/>
      <c r="L1004" s="344"/>
      <c r="M1004" s="344"/>
      <c r="N1004" s="344"/>
      <c r="O1004" s="344"/>
      <c r="P1004" s="344"/>
      <c r="Q1004" s="344"/>
      <c r="R1004" s="344"/>
      <c r="S1004" s="344"/>
      <c r="T1004" s="344"/>
      <c r="U1004" s="344"/>
      <c r="V1004" s="344"/>
      <c r="W1004" s="344"/>
      <c r="X1004" s="344"/>
      <c r="Y1004" s="344"/>
      <c r="Z1004" s="344"/>
      <c r="AA1004" s="344"/>
      <c r="AB1004" s="344"/>
      <c r="AC1004" s="344"/>
      <c r="AD1004" s="344"/>
    </row>
    <row r="1005">
      <c r="A1005" s="344"/>
      <c r="B1005" s="548"/>
      <c r="C1005" s="548"/>
      <c r="D1005" s="344"/>
      <c r="E1005" s="344"/>
      <c r="F1005" s="549"/>
      <c r="G1005" s="545"/>
      <c r="H1005" s="545"/>
      <c r="I1005" s="344"/>
      <c r="J1005" s="344"/>
      <c r="K1005" s="344"/>
      <c r="L1005" s="344"/>
      <c r="M1005" s="344"/>
      <c r="N1005" s="344"/>
      <c r="O1005" s="344"/>
      <c r="P1005" s="344"/>
      <c r="Q1005" s="344"/>
      <c r="R1005" s="344"/>
      <c r="S1005" s="344"/>
      <c r="T1005" s="344"/>
      <c r="U1005" s="344"/>
      <c r="V1005" s="344"/>
      <c r="W1005" s="344"/>
      <c r="X1005" s="344"/>
      <c r="Y1005" s="344"/>
      <c r="Z1005" s="344"/>
      <c r="AA1005" s="344"/>
      <c r="AB1005" s="344"/>
      <c r="AC1005" s="344"/>
      <c r="AD1005" s="344"/>
    </row>
    <row r="1006">
      <c r="A1006" s="344"/>
      <c r="B1006" s="548"/>
      <c r="C1006" s="548"/>
      <c r="D1006" s="344"/>
      <c r="E1006" s="344"/>
      <c r="F1006" s="549"/>
      <c r="G1006" s="545"/>
      <c r="H1006" s="545"/>
      <c r="I1006" s="344"/>
      <c r="J1006" s="344"/>
      <c r="K1006" s="344"/>
      <c r="L1006" s="344"/>
      <c r="M1006" s="344"/>
      <c r="N1006" s="344"/>
      <c r="O1006" s="344"/>
      <c r="P1006" s="344"/>
      <c r="Q1006" s="344"/>
      <c r="R1006" s="344"/>
      <c r="S1006" s="344"/>
      <c r="T1006" s="344"/>
      <c r="U1006" s="344"/>
      <c r="V1006" s="344"/>
      <c r="W1006" s="344"/>
      <c r="X1006" s="344"/>
      <c r="Y1006" s="344"/>
      <c r="Z1006" s="344"/>
      <c r="AA1006" s="344"/>
      <c r="AB1006" s="344"/>
      <c r="AC1006" s="344"/>
      <c r="AD1006" s="344"/>
    </row>
    <row r="1007">
      <c r="A1007" s="344"/>
      <c r="B1007" s="548"/>
      <c r="C1007" s="548"/>
      <c r="D1007" s="344"/>
      <c r="E1007" s="344"/>
      <c r="F1007" s="549"/>
      <c r="G1007" s="545"/>
      <c r="H1007" s="545"/>
      <c r="I1007" s="344"/>
      <c r="J1007" s="344"/>
      <c r="K1007" s="344"/>
      <c r="L1007" s="344"/>
      <c r="M1007" s="344"/>
      <c r="N1007" s="344"/>
      <c r="O1007" s="344"/>
      <c r="P1007" s="344"/>
      <c r="Q1007" s="344"/>
      <c r="R1007" s="344"/>
      <c r="S1007" s="344"/>
      <c r="T1007" s="344"/>
      <c r="U1007" s="344"/>
      <c r="V1007" s="344"/>
      <c r="W1007" s="344"/>
      <c r="X1007" s="344"/>
      <c r="Y1007" s="344"/>
      <c r="Z1007" s="344"/>
      <c r="AA1007" s="344"/>
      <c r="AB1007" s="344"/>
      <c r="AC1007" s="344"/>
      <c r="AD1007" s="344"/>
    </row>
    <row r="1008">
      <c r="A1008" s="344"/>
      <c r="B1008" s="548"/>
      <c r="C1008" s="548"/>
      <c r="D1008" s="344"/>
      <c r="E1008" s="344"/>
      <c r="F1008" s="549"/>
      <c r="G1008" s="545"/>
      <c r="H1008" s="545"/>
      <c r="I1008" s="344"/>
      <c r="J1008" s="344"/>
      <c r="K1008" s="344"/>
      <c r="L1008" s="344"/>
      <c r="M1008" s="344"/>
      <c r="N1008" s="344"/>
      <c r="O1008" s="344"/>
      <c r="P1008" s="344"/>
      <c r="Q1008" s="344"/>
      <c r="R1008" s="344"/>
      <c r="S1008" s="344"/>
      <c r="T1008" s="344"/>
      <c r="U1008" s="344"/>
      <c r="V1008" s="344"/>
      <c r="W1008" s="344"/>
      <c r="X1008" s="344"/>
      <c r="Y1008" s="344"/>
      <c r="Z1008" s="344"/>
      <c r="AA1008" s="344"/>
      <c r="AB1008" s="344"/>
      <c r="AC1008" s="344"/>
      <c r="AD1008" s="344"/>
    </row>
    <row r="1009">
      <c r="A1009" s="344"/>
      <c r="B1009" s="548"/>
      <c r="C1009" s="548"/>
      <c r="D1009" s="344"/>
      <c r="E1009" s="344"/>
      <c r="F1009" s="549"/>
      <c r="G1009" s="545"/>
      <c r="H1009" s="545"/>
      <c r="I1009" s="344"/>
      <c r="J1009" s="344"/>
      <c r="K1009" s="344"/>
      <c r="L1009" s="344"/>
      <c r="M1009" s="344"/>
      <c r="N1009" s="344"/>
      <c r="O1009" s="344"/>
      <c r="P1009" s="344"/>
      <c r="Q1009" s="344"/>
      <c r="R1009" s="344"/>
      <c r="S1009" s="344"/>
      <c r="T1009" s="344"/>
      <c r="U1009" s="344"/>
      <c r="V1009" s="344"/>
      <c r="W1009" s="344"/>
      <c r="X1009" s="344"/>
      <c r="Y1009" s="344"/>
      <c r="Z1009" s="344"/>
      <c r="AA1009" s="344"/>
      <c r="AB1009" s="344"/>
      <c r="AC1009" s="344"/>
      <c r="AD1009" s="344"/>
    </row>
    <row r="1010">
      <c r="A1010" s="344"/>
      <c r="B1010" s="548"/>
      <c r="C1010" s="548"/>
      <c r="D1010" s="344"/>
      <c r="E1010" s="344"/>
      <c r="F1010" s="549"/>
      <c r="G1010" s="545"/>
      <c r="H1010" s="545"/>
      <c r="I1010" s="344"/>
      <c r="J1010" s="344"/>
      <c r="K1010" s="344"/>
      <c r="L1010" s="344"/>
      <c r="M1010" s="344"/>
      <c r="N1010" s="344"/>
      <c r="O1010" s="344"/>
      <c r="P1010" s="344"/>
      <c r="Q1010" s="344"/>
      <c r="R1010" s="344"/>
      <c r="S1010" s="344"/>
      <c r="T1010" s="344"/>
      <c r="U1010" s="344"/>
      <c r="V1010" s="344"/>
      <c r="W1010" s="344"/>
      <c r="X1010" s="344"/>
      <c r="Y1010" s="344"/>
      <c r="Z1010" s="344"/>
      <c r="AA1010" s="344"/>
      <c r="AB1010" s="344"/>
      <c r="AC1010" s="344"/>
      <c r="AD1010" s="344"/>
    </row>
    <row r="1011">
      <c r="A1011" s="344"/>
      <c r="B1011" s="548"/>
      <c r="C1011" s="548"/>
      <c r="D1011" s="344"/>
      <c r="E1011" s="344"/>
      <c r="F1011" s="549"/>
      <c r="G1011" s="545"/>
      <c r="H1011" s="545"/>
      <c r="I1011" s="344"/>
      <c r="J1011" s="344"/>
      <c r="K1011" s="344"/>
      <c r="L1011" s="344"/>
      <c r="M1011" s="344"/>
      <c r="N1011" s="344"/>
      <c r="O1011" s="344"/>
      <c r="P1011" s="344"/>
      <c r="Q1011" s="344"/>
      <c r="R1011" s="344"/>
      <c r="S1011" s="344"/>
      <c r="T1011" s="344"/>
      <c r="U1011" s="344"/>
      <c r="V1011" s="344"/>
      <c r="W1011" s="344"/>
      <c r="X1011" s="344"/>
      <c r="Y1011" s="344"/>
      <c r="Z1011" s="344"/>
      <c r="AA1011" s="344"/>
      <c r="AB1011" s="344"/>
      <c r="AC1011" s="344"/>
      <c r="AD1011" s="344"/>
    </row>
    <row r="1012">
      <c r="A1012" s="344"/>
      <c r="B1012" s="548"/>
      <c r="C1012" s="548"/>
      <c r="D1012" s="344"/>
      <c r="E1012" s="344"/>
      <c r="F1012" s="549"/>
      <c r="G1012" s="545"/>
      <c r="H1012" s="545"/>
      <c r="I1012" s="344"/>
      <c r="J1012" s="344"/>
      <c r="K1012" s="344"/>
      <c r="L1012" s="344"/>
      <c r="M1012" s="344"/>
      <c r="N1012" s="344"/>
      <c r="O1012" s="344"/>
      <c r="P1012" s="344"/>
      <c r="Q1012" s="344"/>
      <c r="R1012" s="344"/>
      <c r="S1012" s="344"/>
      <c r="T1012" s="344"/>
      <c r="U1012" s="344"/>
      <c r="V1012" s="344"/>
      <c r="W1012" s="344"/>
      <c r="X1012" s="344"/>
      <c r="Y1012" s="344"/>
      <c r="Z1012" s="344"/>
      <c r="AA1012" s="344"/>
      <c r="AB1012" s="344"/>
      <c r="AC1012" s="344"/>
      <c r="AD1012" s="344"/>
    </row>
    <row r="1013">
      <c r="A1013" s="344"/>
      <c r="B1013" s="548"/>
      <c r="C1013" s="548"/>
      <c r="D1013" s="344"/>
      <c r="E1013" s="344"/>
      <c r="F1013" s="549"/>
      <c r="G1013" s="545"/>
      <c r="H1013" s="545"/>
      <c r="I1013" s="344"/>
      <c r="J1013" s="344"/>
      <c r="K1013" s="344"/>
      <c r="L1013" s="344"/>
      <c r="M1013" s="344"/>
      <c r="N1013" s="344"/>
      <c r="O1013" s="344"/>
      <c r="P1013" s="344"/>
      <c r="Q1013" s="344"/>
      <c r="R1013" s="344"/>
      <c r="S1013" s="344"/>
      <c r="T1013" s="344"/>
      <c r="U1013" s="344"/>
      <c r="V1013" s="344"/>
      <c r="W1013" s="344"/>
      <c r="X1013" s="344"/>
      <c r="Y1013" s="344"/>
      <c r="Z1013" s="344"/>
      <c r="AA1013" s="344"/>
      <c r="AB1013" s="344"/>
      <c r="AC1013" s="344"/>
      <c r="AD1013" s="344"/>
    </row>
    <row r="1014">
      <c r="A1014" s="344"/>
      <c r="B1014" s="548"/>
      <c r="C1014" s="548"/>
      <c r="D1014" s="344"/>
      <c r="E1014" s="344"/>
      <c r="F1014" s="549"/>
      <c r="G1014" s="545"/>
      <c r="H1014" s="545"/>
      <c r="I1014" s="344"/>
      <c r="J1014" s="344"/>
      <c r="K1014" s="344"/>
      <c r="L1014" s="344"/>
      <c r="M1014" s="344"/>
      <c r="N1014" s="344"/>
      <c r="O1014" s="344"/>
      <c r="P1014" s="344"/>
      <c r="Q1014" s="344"/>
      <c r="R1014" s="344"/>
      <c r="S1014" s="344"/>
      <c r="T1014" s="344"/>
      <c r="U1014" s="344"/>
      <c r="V1014" s="344"/>
      <c r="W1014" s="344"/>
      <c r="X1014" s="344"/>
      <c r="Y1014" s="344"/>
      <c r="Z1014" s="344"/>
      <c r="AA1014" s="344"/>
      <c r="AB1014" s="344"/>
      <c r="AC1014" s="344"/>
      <c r="AD1014" s="344"/>
    </row>
    <row r="1015">
      <c r="A1015" s="344"/>
      <c r="B1015" s="548"/>
      <c r="C1015" s="548"/>
      <c r="D1015" s="344"/>
      <c r="E1015" s="344"/>
      <c r="F1015" s="549"/>
      <c r="G1015" s="545"/>
      <c r="H1015" s="545"/>
      <c r="I1015" s="344"/>
      <c r="J1015" s="344"/>
      <c r="K1015" s="344"/>
      <c r="L1015" s="344"/>
      <c r="M1015" s="344"/>
      <c r="N1015" s="344"/>
      <c r="O1015" s="344"/>
      <c r="P1015" s="344"/>
      <c r="Q1015" s="344"/>
      <c r="R1015" s="344"/>
      <c r="S1015" s="344"/>
      <c r="T1015" s="344"/>
      <c r="U1015" s="344"/>
      <c r="V1015" s="344"/>
      <c r="W1015" s="344"/>
      <c r="X1015" s="344"/>
      <c r="Y1015" s="344"/>
      <c r="Z1015" s="344"/>
      <c r="AA1015" s="344"/>
      <c r="AB1015" s="344"/>
      <c r="AC1015" s="344"/>
      <c r="AD1015" s="344"/>
    </row>
    <row r="1016">
      <c r="A1016" s="344"/>
      <c r="B1016" s="548"/>
      <c r="C1016" s="548"/>
      <c r="D1016" s="344"/>
      <c r="E1016" s="344"/>
      <c r="F1016" s="549"/>
      <c r="G1016" s="545"/>
      <c r="H1016" s="545"/>
      <c r="I1016" s="344"/>
      <c r="J1016" s="344"/>
      <c r="K1016" s="344"/>
      <c r="L1016" s="344"/>
      <c r="M1016" s="344"/>
      <c r="N1016" s="344"/>
      <c r="O1016" s="344"/>
      <c r="P1016" s="344"/>
      <c r="Q1016" s="344"/>
      <c r="R1016" s="344"/>
      <c r="S1016" s="344"/>
      <c r="T1016" s="344"/>
      <c r="U1016" s="344"/>
      <c r="V1016" s="344"/>
      <c r="W1016" s="344"/>
      <c r="X1016" s="344"/>
      <c r="Y1016" s="344"/>
      <c r="Z1016" s="344"/>
      <c r="AA1016" s="344"/>
      <c r="AB1016" s="344"/>
      <c r="AC1016" s="344"/>
      <c r="AD1016" s="344"/>
    </row>
    <row r="1017">
      <c r="A1017" s="344"/>
      <c r="B1017" s="548"/>
      <c r="C1017" s="548"/>
      <c r="D1017" s="344"/>
      <c r="E1017" s="344"/>
      <c r="F1017" s="549"/>
      <c r="G1017" s="545"/>
      <c r="H1017" s="545"/>
      <c r="I1017" s="344"/>
      <c r="J1017" s="344"/>
      <c r="K1017" s="344"/>
      <c r="L1017" s="344"/>
      <c r="M1017" s="344"/>
      <c r="N1017" s="344"/>
      <c r="O1017" s="344"/>
      <c r="P1017" s="344"/>
      <c r="Q1017" s="344"/>
      <c r="R1017" s="344"/>
      <c r="S1017" s="344"/>
      <c r="T1017" s="344"/>
      <c r="U1017" s="344"/>
      <c r="V1017" s="344"/>
      <c r="W1017" s="344"/>
      <c r="X1017" s="344"/>
      <c r="Y1017" s="344"/>
      <c r="Z1017" s="344"/>
      <c r="AA1017" s="344"/>
      <c r="AB1017" s="344"/>
      <c r="AC1017" s="344"/>
      <c r="AD1017" s="344"/>
    </row>
    <row r="1018">
      <c r="A1018" s="344"/>
      <c r="B1018" s="548"/>
      <c r="C1018" s="548"/>
      <c r="D1018" s="344"/>
      <c r="E1018" s="344"/>
      <c r="F1018" s="549"/>
      <c r="G1018" s="545"/>
      <c r="H1018" s="545"/>
      <c r="I1018" s="344"/>
      <c r="J1018" s="344"/>
      <c r="K1018" s="344"/>
      <c r="L1018" s="344"/>
      <c r="M1018" s="344"/>
      <c r="N1018" s="344"/>
      <c r="O1018" s="344"/>
      <c r="P1018" s="344"/>
      <c r="Q1018" s="344"/>
      <c r="R1018" s="344"/>
      <c r="S1018" s="344"/>
      <c r="T1018" s="344"/>
      <c r="U1018" s="344"/>
      <c r="V1018" s="344"/>
      <c r="W1018" s="344"/>
      <c r="X1018" s="344"/>
      <c r="Y1018" s="344"/>
      <c r="Z1018" s="344"/>
      <c r="AA1018" s="344"/>
      <c r="AB1018" s="344"/>
      <c r="AC1018" s="344"/>
      <c r="AD1018" s="344"/>
    </row>
    <row r="1019">
      <c r="A1019" s="344"/>
      <c r="B1019" s="548"/>
      <c r="C1019" s="548"/>
      <c r="D1019" s="344"/>
      <c r="E1019" s="344"/>
      <c r="F1019" s="549"/>
      <c r="G1019" s="545"/>
      <c r="H1019" s="545"/>
      <c r="I1019" s="344"/>
      <c r="J1019" s="344"/>
      <c r="K1019" s="344"/>
      <c r="L1019" s="344"/>
      <c r="M1019" s="344"/>
      <c r="N1019" s="344"/>
      <c r="O1019" s="344"/>
      <c r="P1019" s="344"/>
      <c r="Q1019" s="344"/>
      <c r="R1019" s="344"/>
      <c r="S1019" s="344"/>
      <c r="T1019" s="344"/>
      <c r="U1019" s="344"/>
      <c r="V1019" s="344"/>
      <c r="W1019" s="344"/>
      <c r="X1019" s="344"/>
      <c r="Y1019" s="344"/>
      <c r="Z1019" s="344"/>
      <c r="AA1019" s="344"/>
      <c r="AB1019" s="344"/>
      <c r="AC1019" s="344"/>
      <c r="AD1019" s="344"/>
    </row>
    <row r="1020">
      <c r="A1020" s="344"/>
      <c r="B1020" s="548"/>
      <c r="C1020" s="548"/>
      <c r="D1020" s="344"/>
      <c r="E1020" s="344"/>
      <c r="F1020" s="549"/>
      <c r="G1020" s="545"/>
      <c r="H1020" s="545"/>
      <c r="I1020" s="344"/>
      <c r="J1020" s="344"/>
      <c r="K1020" s="344"/>
      <c r="L1020" s="344"/>
      <c r="M1020" s="344"/>
      <c r="N1020" s="344"/>
      <c r="O1020" s="344"/>
      <c r="P1020" s="344"/>
      <c r="Q1020" s="344"/>
      <c r="R1020" s="344"/>
      <c r="S1020" s="344"/>
      <c r="T1020" s="344"/>
      <c r="U1020" s="344"/>
      <c r="V1020" s="344"/>
      <c r="W1020" s="344"/>
      <c r="X1020" s="344"/>
      <c r="Y1020" s="344"/>
      <c r="Z1020" s="344"/>
      <c r="AA1020" s="344"/>
      <c r="AB1020" s="344"/>
      <c r="AC1020" s="344"/>
      <c r="AD1020" s="344"/>
    </row>
    <row r="1021">
      <c r="A1021" s="344"/>
      <c r="B1021" s="548"/>
      <c r="C1021" s="548"/>
      <c r="D1021" s="344"/>
      <c r="E1021" s="344"/>
      <c r="F1021" s="549"/>
      <c r="G1021" s="545"/>
      <c r="H1021" s="545"/>
      <c r="I1021" s="344"/>
      <c r="J1021" s="344"/>
      <c r="K1021" s="344"/>
      <c r="L1021" s="344"/>
      <c r="M1021" s="344"/>
      <c r="N1021" s="344"/>
      <c r="O1021" s="344"/>
      <c r="P1021" s="344"/>
      <c r="Q1021" s="344"/>
      <c r="R1021" s="344"/>
      <c r="S1021" s="344"/>
      <c r="T1021" s="344"/>
      <c r="U1021" s="344"/>
      <c r="V1021" s="344"/>
      <c r="W1021" s="344"/>
      <c r="X1021" s="344"/>
      <c r="Y1021" s="344"/>
      <c r="Z1021" s="344"/>
      <c r="AA1021" s="344"/>
      <c r="AB1021" s="344"/>
      <c r="AC1021" s="344"/>
      <c r="AD1021" s="344"/>
    </row>
    <row r="1022">
      <c r="A1022" s="344"/>
      <c r="B1022" s="548"/>
      <c r="C1022" s="548"/>
      <c r="D1022" s="344"/>
      <c r="E1022" s="344"/>
      <c r="F1022" s="549"/>
      <c r="G1022" s="545"/>
      <c r="H1022" s="545"/>
      <c r="I1022" s="344"/>
      <c r="J1022" s="344"/>
      <c r="K1022" s="344"/>
      <c r="L1022" s="344"/>
      <c r="M1022" s="344"/>
      <c r="N1022" s="344"/>
      <c r="O1022" s="344"/>
      <c r="P1022" s="344"/>
      <c r="Q1022" s="344"/>
      <c r="R1022" s="344"/>
      <c r="S1022" s="344"/>
      <c r="T1022" s="344"/>
      <c r="U1022" s="344"/>
      <c r="V1022" s="344"/>
      <c r="W1022" s="344"/>
      <c r="X1022" s="344"/>
      <c r="Y1022" s="344"/>
      <c r="Z1022" s="344"/>
      <c r="AA1022" s="344"/>
      <c r="AB1022" s="344"/>
      <c r="AC1022" s="344"/>
      <c r="AD1022" s="344"/>
    </row>
    <row r="1023">
      <c r="A1023" s="344"/>
      <c r="B1023" s="548"/>
      <c r="C1023" s="548"/>
      <c r="D1023" s="344"/>
      <c r="E1023" s="344"/>
      <c r="F1023" s="549"/>
      <c r="G1023" s="545"/>
      <c r="H1023" s="545"/>
      <c r="I1023" s="344"/>
      <c r="J1023" s="344"/>
      <c r="K1023" s="344"/>
      <c r="L1023" s="344"/>
      <c r="M1023" s="344"/>
      <c r="N1023" s="344"/>
      <c r="O1023" s="344"/>
      <c r="P1023" s="344"/>
      <c r="Q1023" s="344"/>
      <c r="R1023" s="344"/>
      <c r="S1023" s="344"/>
      <c r="T1023" s="344"/>
      <c r="U1023" s="344"/>
      <c r="V1023" s="344"/>
      <c r="W1023" s="344"/>
      <c r="X1023" s="344"/>
      <c r="Y1023" s="344"/>
      <c r="Z1023" s="344"/>
      <c r="AA1023" s="344"/>
      <c r="AB1023" s="344"/>
      <c r="AC1023" s="344"/>
      <c r="AD1023" s="344"/>
    </row>
    <row r="1024">
      <c r="A1024" s="344"/>
      <c r="B1024" s="548"/>
      <c r="C1024" s="548"/>
      <c r="D1024" s="344"/>
      <c r="E1024" s="344"/>
      <c r="F1024" s="549"/>
      <c r="G1024" s="545"/>
      <c r="H1024" s="545"/>
      <c r="I1024" s="344"/>
      <c r="J1024" s="344"/>
      <c r="K1024" s="344"/>
      <c r="L1024" s="344"/>
      <c r="M1024" s="344"/>
      <c r="N1024" s="344"/>
      <c r="O1024" s="344"/>
      <c r="P1024" s="344"/>
      <c r="Q1024" s="344"/>
      <c r="R1024" s="344"/>
      <c r="S1024" s="344"/>
      <c r="T1024" s="344"/>
      <c r="U1024" s="344"/>
      <c r="V1024" s="344"/>
      <c r="W1024" s="344"/>
      <c r="X1024" s="344"/>
      <c r="Y1024" s="344"/>
      <c r="Z1024" s="344"/>
      <c r="AA1024" s="344"/>
      <c r="AB1024" s="344"/>
      <c r="AC1024" s="344"/>
      <c r="AD1024" s="344"/>
    </row>
    <row r="1025">
      <c r="A1025" s="344"/>
      <c r="B1025" s="548"/>
      <c r="C1025" s="548"/>
      <c r="D1025" s="344"/>
      <c r="E1025" s="344"/>
      <c r="F1025" s="549"/>
      <c r="G1025" s="545"/>
      <c r="H1025" s="545"/>
      <c r="I1025" s="344"/>
      <c r="J1025" s="344"/>
      <c r="K1025" s="344"/>
      <c r="L1025" s="344"/>
      <c r="M1025" s="344"/>
      <c r="N1025" s="344"/>
      <c r="O1025" s="344"/>
      <c r="P1025" s="344"/>
      <c r="Q1025" s="344"/>
      <c r="R1025" s="344"/>
      <c r="S1025" s="344"/>
      <c r="T1025" s="344"/>
      <c r="U1025" s="344"/>
      <c r="V1025" s="344"/>
      <c r="W1025" s="344"/>
      <c r="X1025" s="344"/>
      <c r="Y1025" s="344"/>
      <c r="Z1025" s="344"/>
      <c r="AA1025" s="344"/>
      <c r="AB1025" s="344"/>
      <c r="AC1025" s="344"/>
      <c r="AD1025" s="344"/>
    </row>
    <row r="1026">
      <c r="A1026" s="344"/>
      <c r="B1026" s="548"/>
      <c r="C1026" s="548"/>
      <c r="D1026" s="344"/>
      <c r="E1026" s="344"/>
      <c r="F1026" s="549"/>
      <c r="G1026" s="545"/>
      <c r="H1026" s="545"/>
      <c r="I1026" s="344"/>
      <c r="J1026" s="344"/>
      <c r="K1026" s="344"/>
      <c r="L1026" s="344"/>
      <c r="M1026" s="344"/>
      <c r="N1026" s="344"/>
      <c r="O1026" s="344"/>
      <c r="P1026" s="344"/>
      <c r="Q1026" s="344"/>
      <c r="R1026" s="344"/>
      <c r="S1026" s="344"/>
      <c r="T1026" s="344"/>
      <c r="U1026" s="344"/>
      <c r="V1026" s="344"/>
      <c r="W1026" s="344"/>
      <c r="X1026" s="344"/>
      <c r="Y1026" s="344"/>
      <c r="Z1026" s="344"/>
      <c r="AA1026" s="344"/>
      <c r="AB1026" s="344"/>
      <c r="AC1026" s="344"/>
      <c r="AD1026" s="344"/>
    </row>
    <row r="1027">
      <c r="A1027" s="344"/>
      <c r="B1027" s="548"/>
      <c r="C1027" s="548"/>
      <c r="D1027" s="344"/>
      <c r="E1027" s="344"/>
      <c r="F1027" s="549"/>
      <c r="G1027" s="545"/>
      <c r="H1027" s="545"/>
      <c r="I1027" s="344"/>
      <c r="J1027" s="344"/>
      <c r="K1027" s="344"/>
      <c r="L1027" s="344"/>
      <c r="M1027" s="344"/>
      <c r="N1027" s="344"/>
      <c r="O1027" s="344"/>
      <c r="P1027" s="344"/>
      <c r="Q1027" s="344"/>
      <c r="R1027" s="344"/>
      <c r="S1027" s="344"/>
      <c r="T1027" s="344"/>
      <c r="U1027" s="344"/>
      <c r="V1027" s="344"/>
      <c r="W1027" s="344"/>
      <c r="X1027" s="344"/>
      <c r="Y1027" s="344"/>
      <c r="Z1027" s="344"/>
      <c r="AA1027" s="344"/>
      <c r="AB1027" s="344"/>
      <c r="AC1027" s="344"/>
      <c r="AD1027" s="344"/>
    </row>
    <row r="1028">
      <c r="A1028" s="344"/>
      <c r="B1028" s="548"/>
      <c r="C1028" s="548"/>
      <c r="D1028" s="344"/>
      <c r="E1028" s="344"/>
      <c r="F1028" s="549"/>
      <c r="G1028" s="545"/>
      <c r="H1028" s="545"/>
      <c r="I1028" s="344"/>
      <c r="J1028" s="344"/>
      <c r="K1028" s="344"/>
      <c r="L1028" s="344"/>
      <c r="M1028" s="344"/>
      <c r="N1028" s="344"/>
      <c r="O1028" s="344"/>
      <c r="P1028" s="344"/>
      <c r="Q1028" s="344"/>
      <c r="R1028" s="344"/>
      <c r="S1028" s="344"/>
      <c r="T1028" s="344"/>
      <c r="U1028" s="344"/>
      <c r="V1028" s="344"/>
      <c r="W1028" s="344"/>
      <c r="X1028" s="344"/>
      <c r="Y1028" s="344"/>
      <c r="Z1028" s="344"/>
      <c r="AA1028" s="344"/>
      <c r="AB1028" s="344"/>
      <c r="AC1028" s="344"/>
      <c r="AD1028" s="344"/>
    </row>
    <row r="1029">
      <c r="A1029" s="344"/>
      <c r="B1029" s="548"/>
      <c r="C1029" s="548"/>
      <c r="D1029" s="344"/>
      <c r="E1029" s="344"/>
      <c r="F1029" s="549"/>
      <c r="G1029" s="545"/>
      <c r="H1029" s="545"/>
      <c r="I1029" s="344"/>
      <c r="J1029" s="344"/>
      <c r="K1029" s="344"/>
      <c r="L1029" s="344"/>
      <c r="M1029" s="344"/>
      <c r="N1029" s="344"/>
      <c r="O1029" s="344"/>
      <c r="P1029" s="344"/>
      <c r="Q1029" s="344"/>
      <c r="R1029" s="344"/>
      <c r="S1029" s="344"/>
      <c r="T1029" s="344"/>
      <c r="U1029" s="344"/>
      <c r="V1029" s="344"/>
      <c r="W1029" s="344"/>
      <c r="X1029" s="344"/>
      <c r="Y1029" s="344"/>
      <c r="Z1029" s="344"/>
      <c r="AA1029" s="344"/>
      <c r="AB1029" s="344"/>
      <c r="AC1029" s="344"/>
      <c r="AD1029" s="344"/>
    </row>
    <row r="1030">
      <c r="A1030" s="344"/>
      <c r="B1030" s="548"/>
      <c r="C1030" s="548"/>
      <c r="D1030" s="344"/>
      <c r="E1030" s="344"/>
      <c r="F1030" s="549"/>
      <c r="G1030" s="545"/>
      <c r="H1030" s="545"/>
      <c r="I1030" s="344"/>
      <c r="J1030" s="344"/>
      <c r="K1030" s="344"/>
      <c r="L1030" s="344"/>
      <c r="M1030" s="344"/>
      <c r="N1030" s="344"/>
      <c r="O1030" s="344"/>
      <c r="P1030" s="344"/>
      <c r="Q1030" s="344"/>
      <c r="R1030" s="344"/>
      <c r="S1030" s="344"/>
      <c r="T1030" s="344"/>
      <c r="U1030" s="344"/>
      <c r="V1030" s="344"/>
      <c r="W1030" s="344"/>
      <c r="X1030" s="344"/>
      <c r="Y1030" s="344"/>
      <c r="Z1030" s="344"/>
      <c r="AA1030" s="344"/>
      <c r="AB1030" s="344"/>
      <c r="AC1030" s="344"/>
      <c r="AD1030" s="344"/>
    </row>
    <row r="1031">
      <c r="A1031" s="344"/>
      <c r="B1031" s="548"/>
      <c r="C1031" s="548"/>
      <c r="D1031" s="344"/>
      <c r="E1031" s="344"/>
      <c r="F1031" s="549"/>
      <c r="G1031" s="545"/>
      <c r="H1031" s="545"/>
      <c r="I1031" s="344"/>
      <c r="J1031" s="344"/>
      <c r="K1031" s="344"/>
      <c r="L1031" s="344"/>
      <c r="M1031" s="344"/>
      <c r="N1031" s="344"/>
      <c r="O1031" s="344"/>
      <c r="P1031" s="344"/>
      <c r="Q1031" s="344"/>
      <c r="R1031" s="344"/>
      <c r="S1031" s="344"/>
      <c r="T1031" s="344"/>
      <c r="U1031" s="344"/>
      <c r="V1031" s="344"/>
      <c r="W1031" s="344"/>
      <c r="X1031" s="344"/>
      <c r="Y1031" s="344"/>
      <c r="Z1031" s="344"/>
      <c r="AA1031" s="344"/>
      <c r="AB1031" s="344"/>
      <c r="AC1031" s="344"/>
      <c r="AD1031" s="344"/>
    </row>
    <row r="1032">
      <c r="A1032" s="344"/>
      <c r="B1032" s="548"/>
      <c r="C1032" s="548"/>
      <c r="D1032" s="344"/>
      <c r="E1032" s="344"/>
      <c r="F1032" s="549"/>
      <c r="G1032" s="545"/>
      <c r="H1032" s="545"/>
      <c r="I1032" s="344"/>
      <c r="J1032" s="344"/>
      <c r="K1032" s="344"/>
      <c r="L1032" s="344"/>
      <c r="M1032" s="344"/>
      <c r="N1032" s="344"/>
      <c r="O1032" s="344"/>
      <c r="P1032" s="344"/>
      <c r="Q1032" s="344"/>
      <c r="R1032" s="344"/>
      <c r="S1032" s="344"/>
      <c r="T1032" s="344"/>
      <c r="U1032" s="344"/>
      <c r="V1032" s="344"/>
      <c r="W1032" s="344"/>
      <c r="X1032" s="344"/>
      <c r="Y1032" s="344"/>
      <c r="Z1032" s="344"/>
      <c r="AA1032" s="344"/>
      <c r="AB1032" s="344"/>
      <c r="AC1032" s="344"/>
      <c r="AD1032" s="344"/>
    </row>
    <row r="1033">
      <c r="A1033" s="344"/>
      <c r="B1033" s="548"/>
      <c r="C1033" s="548"/>
      <c r="D1033" s="344"/>
      <c r="E1033" s="344"/>
      <c r="F1033" s="549"/>
      <c r="G1033" s="545"/>
      <c r="H1033" s="545"/>
      <c r="I1033" s="344"/>
      <c r="J1033" s="344"/>
      <c r="K1033" s="344"/>
      <c r="L1033" s="344"/>
      <c r="M1033" s="344"/>
      <c r="N1033" s="344"/>
      <c r="O1033" s="344"/>
      <c r="P1033" s="344"/>
      <c r="Q1033" s="344"/>
      <c r="R1033" s="344"/>
      <c r="S1033" s="344"/>
      <c r="T1033" s="344"/>
      <c r="U1033" s="344"/>
      <c r="V1033" s="344"/>
      <c r="W1033" s="344"/>
      <c r="X1033" s="344"/>
      <c r="Y1033" s="344"/>
      <c r="Z1033" s="344"/>
      <c r="AA1033" s="344"/>
      <c r="AB1033" s="344"/>
      <c r="AC1033" s="344"/>
      <c r="AD1033" s="344"/>
    </row>
    <row r="1034">
      <c r="A1034" s="344"/>
      <c r="B1034" s="548"/>
      <c r="C1034" s="548"/>
      <c r="D1034" s="344"/>
      <c r="E1034" s="344"/>
      <c r="F1034" s="549"/>
      <c r="G1034" s="545"/>
      <c r="H1034" s="545"/>
      <c r="I1034" s="344"/>
      <c r="J1034" s="344"/>
      <c r="K1034" s="344"/>
      <c r="L1034" s="344"/>
      <c r="M1034" s="344"/>
      <c r="N1034" s="344"/>
      <c r="O1034" s="344"/>
      <c r="P1034" s="344"/>
      <c r="Q1034" s="344"/>
      <c r="R1034" s="344"/>
      <c r="S1034" s="344"/>
      <c r="T1034" s="344"/>
      <c r="U1034" s="344"/>
      <c r="V1034" s="344"/>
      <c r="W1034" s="344"/>
      <c r="X1034" s="344"/>
      <c r="Y1034" s="344"/>
      <c r="Z1034" s="344"/>
      <c r="AA1034" s="344"/>
      <c r="AB1034" s="344"/>
      <c r="AC1034" s="344"/>
      <c r="AD1034" s="344"/>
    </row>
    <row r="1035">
      <c r="A1035" s="344"/>
      <c r="B1035" s="548"/>
      <c r="C1035" s="548"/>
      <c r="D1035" s="344"/>
      <c r="E1035" s="344"/>
      <c r="F1035" s="549"/>
      <c r="G1035" s="545"/>
      <c r="H1035" s="545"/>
      <c r="I1035" s="344"/>
      <c r="J1035" s="344"/>
      <c r="K1035" s="344"/>
      <c r="L1035" s="344"/>
      <c r="M1035" s="344"/>
      <c r="N1035" s="344"/>
      <c r="O1035" s="344"/>
      <c r="P1035" s="344"/>
      <c r="Q1035" s="344"/>
      <c r="R1035" s="344"/>
      <c r="S1035" s="344"/>
      <c r="T1035" s="344"/>
      <c r="U1035" s="344"/>
      <c r="V1035" s="344"/>
      <c r="W1035" s="344"/>
      <c r="X1035" s="344"/>
      <c r="Y1035" s="344"/>
      <c r="Z1035" s="344"/>
      <c r="AA1035" s="344"/>
      <c r="AB1035" s="344"/>
      <c r="AC1035" s="344"/>
      <c r="AD1035" s="344"/>
    </row>
    <row r="1036">
      <c r="A1036" s="344"/>
      <c r="B1036" s="548"/>
      <c r="C1036" s="548"/>
      <c r="D1036" s="344"/>
      <c r="E1036" s="344"/>
      <c r="F1036" s="549"/>
      <c r="G1036" s="545"/>
      <c r="H1036" s="545"/>
      <c r="I1036" s="344"/>
      <c r="J1036" s="344"/>
      <c r="K1036" s="344"/>
      <c r="L1036" s="344"/>
      <c r="M1036" s="344"/>
      <c r="N1036" s="344"/>
      <c r="O1036" s="344"/>
      <c r="P1036" s="344"/>
      <c r="Q1036" s="344"/>
      <c r="R1036" s="344"/>
      <c r="S1036" s="344"/>
      <c r="T1036" s="344"/>
      <c r="U1036" s="344"/>
      <c r="V1036" s="344"/>
      <c r="W1036" s="344"/>
      <c r="X1036" s="344"/>
      <c r="Y1036" s="344"/>
      <c r="Z1036" s="344"/>
      <c r="AA1036" s="344"/>
      <c r="AB1036" s="344"/>
      <c r="AC1036" s="344"/>
      <c r="AD1036" s="344"/>
    </row>
    <row r="1037">
      <c r="A1037" s="344"/>
      <c r="B1037" s="548"/>
      <c r="C1037" s="548"/>
      <c r="D1037" s="344"/>
      <c r="E1037" s="344"/>
      <c r="F1037" s="549"/>
      <c r="G1037" s="545"/>
      <c r="H1037" s="545"/>
      <c r="I1037" s="344"/>
      <c r="J1037" s="344"/>
      <c r="K1037" s="344"/>
      <c r="L1037" s="344"/>
      <c r="M1037" s="344"/>
      <c r="N1037" s="344"/>
      <c r="O1037" s="344"/>
      <c r="P1037" s="344"/>
      <c r="Q1037" s="344"/>
      <c r="R1037" s="344"/>
      <c r="S1037" s="344"/>
      <c r="T1037" s="344"/>
      <c r="U1037" s="344"/>
      <c r="V1037" s="344"/>
      <c r="W1037" s="344"/>
      <c r="X1037" s="344"/>
      <c r="Y1037" s="344"/>
      <c r="Z1037" s="344"/>
      <c r="AA1037" s="344"/>
      <c r="AB1037" s="344"/>
      <c r="AC1037" s="344"/>
      <c r="AD1037" s="344"/>
    </row>
    <row r="1038">
      <c r="A1038" s="344"/>
      <c r="B1038" s="548"/>
      <c r="C1038" s="548"/>
      <c r="D1038" s="344"/>
      <c r="E1038" s="344"/>
      <c r="F1038" s="549"/>
      <c r="G1038" s="545"/>
      <c r="H1038" s="545"/>
      <c r="I1038" s="344"/>
      <c r="J1038" s="344"/>
      <c r="K1038" s="344"/>
      <c r="L1038" s="344"/>
      <c r="M1038" s="344"/>
      <c r="N1038" s="344"/>
      <c r="O1038" s="344"/>
      <c r="P1038" s="344"/>
      <c r="Q1038" s="344"/>
      <c r="R1038" s="344"/>
      <c r="S1038" s="344"/>
      <c r="T1038" s="344"/>
      <c r="U1038" s="344"/>
      <c r="V1038" s="344"/>
      <c r="W1038" s="344"/>
      <c r="X1038" s="344"/>
      <c r="Y1038" s="344"/>
      <c r="Z1038" s="344"/>
      <c r="AA1038" s="344"/>
      <c r="AB1038" s="344"/>
      <c r="AC1038" s="344"/>
      <c r="AD1038" s="344"/>
    </row>
    <row r="1039">
      <c r="A1039" s="344"/>
      <c r="B1039" s="548"/>
      <c r="C1039" s="548"/>
      <c r="D1039" s="344"/>
      <c r="E1039" s="344"/>
      <c r="F1039" s="549"/>
      <c r="G1039" s="545"/>
      <c r="H1039" s="545"/>
      <c r="I1039" s="344"/>
      <c r="J1039" s="344"/>
      <c r="K1039" s="344"/>
      <c r="L1039" s="344"/>
      <c r="M1039" s="344"/>
      <c r="N1039" s="344"/>
      <c r="O1039" s="344"/>
      <c r="P1039" s="344"/>
      <c r="Q1039" s="344"/>
      <c r="R1039" s="344"/>
      <c r="S1039" s="344"/>
      <c r="T1039" s="344"/>
      <c r="U1039" s="344"/>
      <c r="V1039" s="344"/>
      <c r="W1039" s="344"/>
      <c r="X1039" s="344"/>
      <c r="Y1039" s="344"/>
      <c r="Z1039" s="344"/>
      <c r="AA1039" s="344"/>
      <c r="AB1039" s="344"/>
      <c r="AC1039" s="344"/>
      <c r="AD1039" s="344"/>
    </row>
    <row r="1040">
      <c r="A1040" s="344"/>
      <c r="B1040" s="548"/>
      <c r="C1040" s="548"/>
      <c r="D1040" s="344"/>
      <c r="E1040" s="344"/>
      <c r="F1040" s="549"/>
      <c r="G1040" s="545"/>
      <c r="H1040" s="545"/>
      <c r="I1040" s="344"/>
      <c r="J1040" s="344"/>
      <c r="K1040" s="344"/>
      <c r="L1040" s="344"/>
      <c r="M1040" s="344"/>
      <c r="N1040" s="344"/>
      <c r="O1040" s="344"/>
      <c r="P1040" s="344"/>
      <c r="Q1040" s="344"/>
      <c r="R1040" s="344"/>
      <c r="S1040" s="344"/>
      <c r="T1040" s="344"/>
      <c r="U1040" s="344"/>
      <c r="V1040" s="344"/>
      <c r="W1040" s="344"/>
      <c r="X1040" s="344"/>
      <c r="Y1040" s="344"/>
      <c r="Z1040" s="344"/>
      <c r="AA1040" s="344"/>
      <c r="AB1040" s="344"/>
      <c r="AC1040" s="344"/>
      <c r="AD1040" s="344"/>
    </row>
    <row r="1041">
      <c r="A1041" s="344"/>
      <c r="B1041" s="548"/>
      <c r="C1041" s="548"/>
      <c r="D1041" s="344"/>
      <c r="E1041" s="344"/>
      <c r="F1041" s="549"/>
      <c r="G1041" s="545"/>
      <c r="H1041" s="545"/>
      <c r="I1041" s="344"/>
      <c r="J1041" s="344"/>
      <c r="K1041" s="344"/>
      <c r="L1041" s="344"/>
      <c r="M1041" s="344"/>
      <c r="N1041" s="344"/>
      <c r="O1041" s="344"/>
      <c r="P1041" s="344"/>
      <c r="Q1041" s="344"/>
      <c r="R1041" s="344"/>
      <c r="S1041" s="344"/>
      <c r="T1041" s="344"/>
      <c r="U1041" s="344"/>
      <c r="V1041" s="344"/>
      <c r="W1041" s="344"/>
      <c r="X1041" s="344"/>
      <c r="Y1041" s="344"/>
      <c r="Z1041" s="344"/>
      <c r="AA1041" s="344"/>
      <c r="AB1041" s="344"/>
      <c r="AC1041" s="344"/>
      <c r="AD1041" s="344"/>
    </row>
    <row r="1042">
      <c r="A1042" s="344"/>
      <c r="B1042" s="548"/>
      <c r="C1042" s="548"/>
      <c r="D1042" s="344"/>
      <c r="E1042" s="344"/>
      <c r="F1042" s="549"/>
      <c r="G1042" s="545"/>
      <c r="H1042" s="545"/>
      <c r="I1042" s="344"/>
      <c r="J1042" s="344"/>
      <c r="K1042" s="344"/>
      <c r="L1042" s="344"/>
      <c r="M1042" s="344"/>
      <c r="N1042" s="344"/>
      <c r="O1042" s="344"/>
      <c r="P1042" s="344"/>
      <c r="Q1042" s="344"/>
      <c r="R1042" s="344"/>
      <c r="S1042" s="344"/>
      <c r="T1042" s="344"/>
      <c r="U1042" s="344"/>
      <c r="V1042" s="344"/>
      <c r="W1042" s="344"/>
      <c r="X1042" s="344"/>
      <c r="Y1042" s="344"/>
      <c r="Z1042" s="344"/>
      <c r="AA1042" s="344"/>
      <c r="AB1042" s="344"/>
      <c r="AC1042" s="344"/>
      <c r="AD1042" s="344"/>
    </row>
    <row r="1043">
      <c r="A1043" s="344"/>
      <c r="B1043" s="548"/>
      <c r="C1043" s="548"/>
      <c r="D1043" s="344"/>
      <c r="E1043" s="344"/>
      <c r="F1043" s="549"/>
      <c r="G1043" s="545"/>
      <c r="H1043" s="545"/>
      <c r="I1043" s="344"/>
      <c r="J1043" s="344"/>
      <c r="K1043" s="344"/>
      <c r="L1043" s="344"/>
      <c r="M1043" s="344"/>
      <c r="N1043" s="344"/>
      <c r="O1043" s="344"/>
      <c r="P1043" s="344"/>
      <c r="Q1043" s="344"/>
      <c r="R1043" s="344"/>
      <c r="S1043" s="344"/>
      <c r="T1043" s="344"/>
      <c r="U1043" s="344"/>
      <c r="V1043" s="344"/>
      <c r="W1043" s="344"/>
      <c r="X1043" s="344"/>
      <c r="Y1043" s="344"/>
      <c r="Z1043" s="344"/>
      <c r="AA1043" s="344"/>
      <c r="AB1043" s="344"/>
      <c r="AC1043" s="344"/>
      <c r="AD1043" s="344"/>
    </row>
    <row r="1044">
      <c r="A1044" s="344"/>
      <c r="B1044" s="548"/>
      <c r="C1044" s="548"/>
      <c r="D1044" s="344"/>
      <c r="E1044" s="344"/>
      <c r="F1044" s="549"/>
      <c r="G1044" s="545"/>
      <c r="H1044" s="545"/>
      <c r="I1044" s="344"/>
      <c r="J1044" s="344"/>
      <c r="K1044" s="344"/>
      <c r="L1044" s="344"/>
      <c r="M1044" s="344"/>
      <c r="N1044" s="344"/>
      <c r="O1044" s="344"/>
      <c r="P1044" s="344"/>
      <c r="Q1044" s="344"/>
      <c r="R1044" s="344"/>
      <c r="S1044" s="344"/>
      <c r="T1044" s="344"/>
      <c r="U1044" s="344"/>
      <c r="V1044" s="344"/>
      <c r="W1044" s="344"/>
      <c r="X1044" s="344"/>
      <c r="Y1044" s="344"/>
      <c r="Z1044" s="344"/>
      <c r="AA1044" s="344"/>
      <c r="AB1044" s="344"/>
      <c r="AC1044" s="344"/>
      <c r="AD1044" s="344"/>
    </row>
    <row r="1045">
      <c r="A1045" s="344"/>
      <c r="B1045" s="548"/>
      <c r="C1045" s="548"/>
      <c r="D1045" s="344"/>
      <c r="E1045" s="344"/>
      <c r="F1045" s="549"/>
      <c r="G1045" s="545"/>
      <c r="H1045" s="545"/>
      <c r="I1045" s="344"/>
      <c r="J1045" s="344"/>
      <c r="K1045" s="344"/>
      <c r="L1045" s="344"/>
      <c r="M1045" s="344"/>
      <c r="N1045" s="344"/>
      <c r="O1045" s="344"/>
      <c r="P1045" s="344"/>
      <c r="Q1045" s="344"/>
      <c r="R1045" s="344"/>
      <c r="S1045" s="344"/>
      <c r="T1045" s="344"/>
      <c r="U1045" s="344"/>
      <c r="V1045" s="344"/>
      <c r="W1045" s="344"/>
      <c r="X1045" s="344"/>
      <c r="Y1045" s="344"/>
      <c r="Z1045" s="344"/>
      <c r="AA1045" s="344"/>
      <c r="AB1045" s="344"/>
      <c r="AC1045" s="344"/>
      <c r="AD1045" s="344"/>
    </row>
    <row r="1046">
      <c r="A1046" s="344"/>
      <c r="B1046" s="548"/>
      <c r="C1046" s="548"/>
      <c r="D1046" s="344"/>
      <c r="E1046" s="344"/>
      <c r="F1046" s="549"/>
      <c r="G1046" s="545"/>
      <c r="H1046" s="545"/>
      <c r="I1046" s="344"/>
      <c r="J1046" s="344"/>
      <c r="K1046" s="344"/>
      <c r="L1046" s="344"/>
      <c r="M1046" s="344"/>
      <c r="N1046" s="344"/>
      <c r="O1046" s="344"/>
      <c r="P1046" s="344"/>
      <c r="Q1046" s="344"/>
      <c r="R1046" s="344"/>
      <c r="S1046" s="344"/>
      <c r="T1046" s="344"/>
      <c r="U1046" s="344"/>
      <c r="V1046" s="344"/>
      <c r="W1046" s="344"/>
      <c r="X1046" s="344"/>
      <c r="Y1046" s="344"/>
      <c r="Z1046" s="344"/>
      <c r="AA1046" s="344"/>
      <c r="AB1046" s="344"/>
      <c r="AC1046" s="344"/>
      <c r="AD1046" s="344"/>
    </row>
    <row r="1047">
      <c r="A1047" s="344"/>
      <c r="B1047" s="548"/>
      <c r="C1047" s="548"/>
      <c r="D1047" s="344"/>
      <c r="E1047" s="344"/>
      <c r="F1047" s="549"/>
      <c r="G1047" s="545"/>
      <c r="H1047" s="545"/>
      <c r="I1047" s="344"/>
      <c r="J1047" s="344"/>
      <c r="K1047" s="344"/>
      <c r="L1047" s="344"/>
      <c r="M1047" s="344"/>
      <c r="N1047" s="344"/>
      <c r="O1047" s="344"/>
      <c r="P1047" s="344"/>
      <c r="Q1047" s="344"/>
      <c r="R1047" s="344"/>
      <c r="S1047" s="344"/>
      <c r="T1047" s="344"/>
      <c r="U1047" s="344"/>
      <c r="V1047" s="344"/>
      <c r="W1047" s="344"/>
      <c r="X1047" s="344"/>
      <c r="Y1047" s="344"/>
      <c r="Z1047" s="344"/>
      <c r="AA1047" s="344"/>
      <c r="AB1047" s="344"/>
      <c r="AC1047" s="344"/>
      <c r="AD1047" s="344"/>
    </row>
    <row r="1048">
      <c r="A1048" s="344"/>
      <c r="B1048" s="548"/>
      <c r="C1048" s="548"/>
      <c r="D1048" s="344"/>
      <c r="E1048" s="344"/>
      <c r="F1048" s="549"/>
      <c r="G1048" s="545"/>
      <c r="H1048" s="545"/>
      <c r="I1048" s="344"/>
      <c r="J1048" s="344"/>
      <c r="K1048" s="344"/>
      <c r="L1048" s="344"/>
      <c r="M1048" s="344"/>
      <c r="N1048" s="344"/>
      <c r="O1048" s="344"/>
      <c r="P1048" s="344"/>
      <c r="Q1048" s="344"/>
      <c r="R1048" s="344"/>
      <c r="S1048" s="344"/>
      <c r="T1048" s="344"/>
      <c r="U1048" s="344"/>
      <c r="V1048" s="344"/>
      <c r="W1048" s="344"/>
      <c r="X1048" s="344"/>
      <c r="Y1048" s="344"/>
      <c r="Z1048" s="344"/>
      <c r="AA1048" s="344"/>
      <c r="AB1048" s="344"/>
      <c r="AC1048" s="344"/>
      <c r="AD1048" s="344"/>
    </row>
    <row r="1049">
      <c r="A1049" s="344"/>
      <c r="B1049" s="548"/>
      <c r="C1049" s="548"/>
      <c r="D1049" s="344"/>
      <c r="E1049" s="344"/>
      <c r="F1049" s="549"/>
      <c r="G1049" s="545"/>
      <c r="H1049" s="545"/>
      <c r="I1049" s="344"/>
      <c r="J1049" s="344"/>
      <c r="K1049" s="344"/>
      <c r="L1049" s="344"/>
      <c r="M1049" s="344"/>
      <c r="N1049" s="344"/>
      <c r="O1049" s="344"/>
      <c r="P1049" s="344"/>
      <c r="Q1049" s="344"/>
      <c r="R1049" s="344"/>
      <c r="S1049" s="344"/>
      <c r="T1049" s="344"/>
      <c r="U1049" s="344"/>
      <c r="V1049" s="344"/>
      <c r="W1049" s="344"/>
      <c r="X1049" s="344"/>
      <c r="Y1049" s="344"/>
      <c r="Z1049" s="344"/>
      <c r="AA1049" s="344"/>
      <c r="AB1049" s="344"/>
      <c r="AC1049" s="344"/>
      <c r="AD1049" s="344"/>
    </row>
    <row r="1050">
      <c r="A1050" s="344"/>
      <c r="B1050" s="548"/>
      <c r="C1050" s="548"/>
      <c r="D1050" s="344"/>
      <c r="E1050" s="344"/>
      <c r="F1050" s="549"/>
      <c r="G1050" s="545"/>
      <c r="H1050" s="545"/>
      <c r="I1050" s="344"/>
      <c r="J1050" s="344"/>
      <c r="K1050" s="344"/>
      <c r="L1050" s="344"/>
      <c r="M1050" s="344"/>
      <c r="N1050" s="344"/>
      <c r="O1050" s="344"/>
      <c r="P1050" s="344"/>
      <c r="Q1050" s="344"/>
      <c r="R1050" s="344"/>
      <c r="S1050" s="344"/>
      <c r="T1050" s="344"/>
      <c r="U1050" s="344"/>
      <c r="V1050" s="344"/>
      <c r="W1050" s="344"/>
      <c r="X1050" s="344"/>
      <c r="Y1050" s="344"/>
      <c r="Z1050" s="344"/>
      <c r="AA1050" s="344"/>
      <c r="AB1050" s="344"/>
      <c r="AC1050" s="344"/>
      <c r="AD1050" s="344"/>
    </row>
    <row r="1051">
      <c r="A1051" s="344"/>
      <c r="B1051" s="548"/>
      <c r="C1051" s="548"/>
      <c r="D1051" s="344"/>
      <c r="E1051" s="344"/>
      <c r="F1051" s="549"/>
      <c r="G1051" s="545"/>
      <c r="H1051" s="545"/>
      <c r="I1051" s="344"/>
      <c r="J1051" s="344"/>
      <c r="K1051" s="344"/>
      <c r="L1051" s="344"/>
      <c r="M1051" s="344"/>
      <c r="N1051" s="344"/>
      <c r="O1051" s="344"/>
      <c r="P1051" s="344"/>
      <c r="Q1051" s="344"/>
      <c r="R1051" s="344"/>
      <c r="S1051" s="344"/>
      <c r="T1051" s="344"/>
      <c r="U1051" s="344"/>
      <c r="V1051" s="344"/>
      <c r="W1051" s="344"/>
      <c r="X1051" s="344"/>
      <c r="Y1051" s="344"/>
      <c r="Z1051" s="344"/>
      <c r="AA1051" s="344"/>
      <c r="AB1051" s="344"/>
      <c r="AC1051" s="344"/>
      <c r="AD1051" s="344"/>
    </row>
    <row r="1052">
      <c r="A1052" s="344"/>
      <c r="B1052" s="548"/>
      <c r="C1052" s="548"/>
      <c r="D1052" s="344"/>
      <c r="E1052" s="344"/>
      <c r="F1052" s="549"/>
      <c r="G1052" s="545"/>
      <c r="H1052" s="545"/>
      <c r="I1052" s="344"/>
      <c r="J1052" s="344"/>
      <c r="K1052" s="344"/>
      <c r="L1052" s="344"/>
      <c r="M1052" s="344"/>
      <c r="N1052" s="344"/>
      <c r="O1052" s="344"/>
      <c r="P1052" s="344"/>
      <c r="Q1052" s="344"/>
      <c r="R1052" s="344"/>
      <c r="S1052" s="344"/>
      <c r="T1052" s="344"/>
      <c r="U1052" s="344"/>
      <c r="V1052" s="344"/>
      <c r="W1052" s="344"/>
      <c r="X1052" s="344"/>
      <c r="Y1052" s="344"/>
      <c r="Z1052" s="344"/>
      <c r="AA1052" s="344"/>
      <c r="AB1052" s="344"/>
      <c r="AC1052" s="344"/>
      <c r="AD1052" s="344"/>
    </row>
    <row r="1053">
      <c r="A1053" s="344"/>
      <c r="B1053" s="548"/>
      <c r="C1053" s="548"/>
      <c r="D1053" s="344"/>
      <c r="E1053" s="344"/>
      <c r="F1053" s="549"/>
      <c r="G1053" s="545"/>
      <c r="H1053" s="545"/>
      <c r="I1053" s="344"/>
      <c r="J1053" s="344"/>
      <c r="K1053" s="344"/>
      <c r="L1053" s="344"/>
      <c r="M1053" s="344"/>
      <c r="N1053" s="344"/>
      <c r="O1053" s="344"/>
      <c r="P1053" s="344"/>
      <c r="Q1053" s="344"/>
      <c r="R1053" s="344"/>
      <c r="S1053" s="344"/>
      <c r="T1053" s="344"/>
      <c r="U1053" s="344"/>
      <c r="V1053" s="344"/>
      <c r="W1053" s="344"/>
      <c r="X1053" s="344"/>
      <c r="Y1053" s="344"/>
      <c r="Z1053" s="344"/>
      <c r="AA1053" s="344"/>
      <c r="AB1053" s="344"/>
      <c r="AC1053" s="344"/>
      <c r="AD1053" s="344"/>
    </row>
    <row r="1054">
      <c r="A1054" s="344"/>
      <c r="B1054" s="548"/>
      <c r="C1054" s="548"/>
      <c r="D1054" s="344"/>
      <c r="E1054" s="344"/>
      <c r="F1054" s="549"/>
      <c r="G1054" s="545"/>
      <c r="H1054" s="545"/>
      <c r="I1054" s="344"/>
      <c r="J1054" s="344"/>
      <c r="K1054" s="344"/>
      <c r="L1054" s="344"/>
      <c r="M1054" s="344"/>
      <c r="N1054" s="344"/>
      <c r="O1054" s="344"/>
      <c r="P1054" s="344"/>
      <c r="Q1054" s="344"/>
      <c r="R1054" s="344"/>
      <c r="S1054" s="344"/>
      <c r="T1054" s="344"/>
      <c r="U1054" s="344"/>
      <c r="V1054" s="344"/>
      <c r="W1054" s="344"/>
      <c r="X1054" s="344"/>
      <c r="Y1054" s="344"/>
      <c r="Z1054" s="344"/>
      <c r="AA1054" s="344"/>
      <c r="AB1054" s="344"/>
      <c r="AC1054" s="344"/>
      <c r="AD1054" s="344"/>
    </row>
    <row r="1055">
      <c r="A1055" s="344"/>
      <c r="B1055" s="548"/>
      <c r="C1055" s="548"/>
      <c r="D1055" s="344"/>
      <c r="E1055" s="344"/>
      <c r="F1055" s="549"/>
      <c r="G1055" s="545"/>
      <c r="H1055" s="545"/>
      <c r="I1055" s="344"/>
      <c r="J1055" s="344"/>
      <c r="K1055" s="344"/>
      <c r="L1055" s="344"/>
      <c r="M1055" s="344"/>
      <c r="N1055" s="344"/>
      <c r="O1055" s="344"/>
      <c r="P1055" s="344"/>
      <c r="Q1055" s="344"/>
      <c r="R1055" s="344"/>
      <c r="S1055" s="344"/>
      <c r="T1055" s="344"/>
      <c r="U1055" s="344"/>
      <c r="V1055" s="344"/>
      <c r="W1055" s="344"/>
      <c r="X1055" s="344"/>
      <c r="Y1055" s="344"/>
      <c r="Z1055" s="344"/>
      <c r="AA1055" s="344"/>
      <c r="AB1055" s="344"/>
      <c r="AC1055" s="344"/>
      <c r="AD1055" s="344"/>
    </row>
    <row r="1056">
      <c r="A1056" s="344"/>
      <c r="B1056" s="548"/>
      <c r="C1056" s="548"/>
      <c r="D1056" s="344"/>
      <c r="E1056" s="344"/>
      <c r="F1056" s="549"/>
      <c r="G1056" s="545"/>
      <c r="H1056" s="545"/>
      <c r="I1056" s="344"/>
      <c r="J1056" s="344"/>
      <c r="K1056" s="344"/>
      <c r="L1056" s="344"/>
      <c r="M1056" s="344"/>
      <c r="N1056" s="344"/>
      <c r="O1056" s="344"/>
      <c r="P1056" s="344"/>
      <c r="Q1056" s="344"/>
      <c r="R1056" s="344"/>
      <c r="S1056" s="344"/>
      <c r="T1056" s="344"/>
      <c r="U1056" s="344"/>
      <c r="V1056" s="344"/>
      <c r="W1056" s="344"/>
      <c r="X1056" s="344"/>
      <c r="Y1056" s="344"/>
      <c r="Z1056" s="344"/>
      <c r="AA1056" s="344"/>
      <c r="AB1056" s="344"/>
      <c r="AC1056" s="344"/>
      <c r="AD1056" s="344"/>
    </row>
    <row r="1057">
      <c r="A1057" s="344"/>
      <c r="B1057" s="548"/>
      <c r="C1057" s="548"/>
      <c r="D1057" s="344"/>
      <c r="E1057" s="344"/>
      <c r="F1057" s="549"/>
      <c r="G1057" s="545"/>
      <c r="H1057" s="545"/>
      <c r="I1057" s="344"/>
      <c r="J1057" s="344"/>
      <c r="K1057" s="344"/>
      <c r="L1057" s="344"/>
      <c r="M1057" s="344"/>
      <c r="N1057" s="344"/>
      <c r="O1057" s="344"/>
      <c r="P1057" s="344"/>
      <c r="Q1057" s="344"/>
      <c r="R1057" s="344"/>
      <c r="S1057" s="344"/>
      <c r="T1057" s="344"/>
      <c r="U1057" s="344"/>
      <c r="V1057" s="344"/>
      <c r="W1057" s="344"/>
      <c r="X1057" s="344"/>
      <c r="Y1057" s="344"/>
      <c r="Z1057" s="344"/>
      <c r="AA1057" s="344"/>
      <c r="AB1057" s="344"/>
      <c r="AC1057" s="344"/>
      <c r="AD1057" s="344"/>
    </row>
    <row r="1058">
      <c r="A1058" s="344"/>
      <c r="B1058" s="548"/>
      <c r="C1058" s="548"/>
      <c r="D1058" s="344"/>
      <c r="E1058" s="344"/>
      <c r="F1058" s="549"/>
      <c r="G1058" s="545"/>
      <c r="H1058" s="545"/>
      <c r="I1058" s="344"/>
      <c r="J1058" s="344"/>
      <c r="K1058" s="344"/>
      <c r="L1058" s="344"/>
      <c r="M1058" s="344"/>
      <c r="N1058" s="344"/>
      <c r="O1058" s="344"/>
      <c r="P1058" s="344"/>
      <c r="Q1058" s="344"/>
      <c r="R1058" s="344"/>
      <c r="S1058" s="344"/>
      <c r="T1058" s="344"/>
      <c r="U1058" s="344"/>
      <c r="V1058" s="344"/>
      <c r="W1058" s="344"/>
      <c r="X1058" s="344"/>
      <c r="Y1058" s="344"/>
      <c r="Z1058" s="344"/>
      <c r="AA1058" s="344"/>
      <c r="AB1058" s="344"/>
      <c r="AC1058" s="344"/>
      <c r="AD1058" s="344"/>
    </row>
    <row r="1059">
      <c r="A1059" s="344"/>
      <c r="B1059" s="548"/>
      <c r="C1059" s="548"/>
      <c r="D1059" s="344"/>
      <c r="E1059" s="344"/>
      <c r="F1059" s="549"/>
      <c r="G1059" s="545"/>
      <c r="H1059" s="545"/>
      <c r="I1059" s="344"/>
      <c r="J1059" s="344"/>
      <c r="K1059" s="344"/>
      <c r="L1059" s="344"/>
      <c r="M1059" s="344"/>
      <c r="N1059" s="344"/>
      <c r="O1059" s="344"/>
      <c r="P1059" s="344"/>
      <c r="Q1059" s="344"/>
      <c r="R1059" s="344"/>
      <c r="S1059" s="344"/>
      <c r="T1059" s="344"/>
      <c r="U1059" s="344"/>
      <c r="V1059" s="344"/>
      <c r="W1059" s="344"/>
      <c r="X1059" s="344"/>
      <c r="Y1059" s="344"/>
      <c r="Z1059" s="344"/>
      <c r="AA1059" s="344"/>
      <c r="AB1059" s="344"/>
      <c r="AC1059" s="344"/>
      <c r="AD1059" s="344"/>
    </row>
    <row r="1060">
      <c r="A1060" s="344"/>
      <c r="B1060" s="548"/>
      <c r="C1060" s="548"/>
      <c r="D1060" s="344"/>
      <c r="E1060" s="344"/>
      <c r="F1060" s="549"/>
      <c r="G1060" s="545"/>
      <c r="H1060" s="545"/>
      <c r="I1060" s="344"/>
      <c r="J1060" s="344"/>
      <c r="K1060" s="344"/>
      <c r="L1060" s="344"/>
      <c r="M1060" s="344"/>
      <c r="N1060" s="344"/>
      <c r="O1060" s="344"/>
      <c r="P1060" s="344"/>
      <c r="Q1060" s="344"/>
      <c r="R1060" s="344"/>
      <c r="S1060" s="344"/>
      <c r="T1060" s="344"/>
      <c r="U1060" s="344"/>
      <c r="V1060" s="344"/>
      <c r="W1060" s="344"/>
      <c r="X1060" s="344"/>
      <c r="Y1060" s="344"/>
      <c r="Z1060" s="344"/>
      <c r="AA1060" s="344"/>
      <c r="AB1060" s="344"/>
      <c r="AC1060" s="344"/>
      <c r="AD1060" s="344"/>
    </row>
    <row r="1061">
      <c r="A1061" s="344"/>
      <c r="B1061" s="548"/>
      <c r="C1061" s="548"/>
      <c r="D1061" s="344"/>
      <c r="E1061" s="344"/>
      <c r="F1061" s="549"/>
      <c r="G1061" s="545"/>
      <c r="H1061" s="545"/>
      <c r="I1061" s="344"/>
      <c r="J1061" s="344"/>
      <c r="K1061" s="344"/>
      <c r="L1061" s="344"/>
      <c r="M1061" s="344"/>
      <c r="N1061" s="344"/>
      <c r="O1061" s="344"/>
      <c r="P1061" s="344"/>
      <c r="Q1061" s="344"/>
      <c r="R1061" s="344"/>
      <c r="S1061" s="344"/>
      <c r="T1061" s="344"/>
      <c r="U1061" s="344"/>
      <c r="V1061" s="344"/>
      <c r="W1061" s="344"/>
      <c r="X1061" s="344"/>
      <c r="Y1061" s="344"/>
      <c r="Z1061" s="344"/>
      <c r="AA1061" s="344"/>
      <c r="AB1061" s="344"/>
      <c r="AC1061" s="344"/>
      <c r="AD1061" s="344"/>
    </row>
    <row r="1062">
      <c r="A1062" s="344"/>
      <c r="B1062" s="548"/>
      <c r="C1062" s="548"/>
      <c r="D1062" s="344"/>
      <c r="E1062" s="344"/>
      <c r="F1062" s="549"/>
      <c r="G1062" s="545"/>
      <c r="H1062" s="545"/>
      <c r="I1062" s="344"/>
      <c r="J1062" s="344"/>
      <c r="K1062" s="344"/>
      <c r="L1062" s="344"/>
      <c r="M1062" s="344"/>
      <c r="N1062" s="344"/>
      <c r="O1062" s="344"/>
      <c r="P1062" s="344"/>
      <c r="Q1062" s="344"/>
      <c r="R1062" s="344"/>
      <c r="S1062" s="344"/>
      <c r="T1062" s="344"/>
      <c r="U1062" s="344"/>
      <c r="V1062" s="344"/>
      <c r="W1062" s="344"/>
      <c r="X1062" s="344"/>
      <c r="Y1062" s="344"/>
      <c r="Z1062" s="344"/>
      <c r="AA1062" s="344"/>
      <c r="AB1062" s="344"/>
      <c r="AC1062" s="344"/>
      <c r="AD1062" s="344"/>
    </row>
    <row r="1063">
      <c r="A1063" s="344"/>
      <c r="B1063" s="548"/>
      <c r="C1063" s="548"/>
      <c r="D1063" s="344"/>
      <c r="E1063" s="344"/>
      <c r="F1063" s="549"/>
      <c r="G1063" s="545"/>
      <c r="H1063" s="545"/>
      <c r="I1063" s="344"/>
      <c r="J1063" s="344"/>
      <c r="K1063" s="344"/>
      <c r="L1063" s="344"/>
      <c r="M1063" s="344"/>
      <c r="N1063" s="344"/>
      <c r="O1063" s="344"/>
      <c r="P1063" s="344"/>
      <c r="Q1063" s="344"/>
      <c r="R1063" s="344"/>
      <c r="S1063" s="344"/>
      <c r="T1063" s="344"/>
      <c r="U1063" s="344"/>
      <c r="V1063" s="344"/>
      <c r="W1063" s="344"/>
      <c r="X1063" s="344"/>
      <c r="Y1063" s="344"/>
      <c r="Z1063" s="344"/>
      <c r="AA1063" s="344"/>
      <c r="AB1063" s="344"/>
      <c r="AC1063" s="344"/>
      <c r="AD1063" s="344"/>
    </row>
    <row r="1064">
      <c r="A1064" s="344"/>
      <c r="B1064" s="548"/>
      <c r="C1064" s="548"/>
      <c r="D1064" s="344"/>
      <c r="E1064" s="344"/>
      <c r="F1064" s="549"/>
      <c r="G1064" s="545"/>
      <c r="H1064" s="545"/>
      <c r="I1064" s="344"/>
      <c r="J1064" s="344"/>
      <c r="K1064" s="344"/>
      <c r="L1064" s="344"/>
      <c r="M1064" s="344"/>
      <c r="N1064" s="344"/>
      <c r="O1064" s="344"/>
      <c r="P1064" s="344"/>
      <c r="Q1064" s="344"/>
      <c r="R1064" s="344"/>
      <c r="S1064" s="344"/>
      <c r="T1064" s="344"/>
      <c r="U1064" s="344"/>
      <c r="V1064" s="344"/>
      <c r="W1064" s="344"/>
      <c r="X1064" s="344"/>
      <c r="Y1064" s="344"/>
      <c r="Z1064" s="344"/>
      <c r="AA1064" s="344"/>
      <c r="AB1064" s="344"/>
      <c r="AC1064" s="344"/>
      <c r="AD1064" s="344"/>
    </row>
    <row r="1065">
      <c r="A1065" s="344"/>
      <c r="B1065" s="548"/>
      <c r="C1065" s="548"/>
      <c r="D1065" s="344"/>
      <c r="E1065" s="344"/>
      <c r="F1065" s="549"/>
      <c r="G1065" s="545"/>
      <c r="H1065" s="545"/>
      <c r="I1065" s="344"/>
      <c r="J1065" s="344"/>
      <c r="K1065" s="344"/>
      <c r="L1065" s="344"/>
      <c r="M1065" s="344"/>
      <c r="N1065" s="344"/>
      <c r="O1065" s="344"/>
      <c r="P1065" s="344"/>
      <c r="Q1065" s="344"/>
      <c r="R1065" s="344"/>
      <c r="S1065" s="344"/>
      <c r="T1065" s="344"/>
      <c r="U1065" s="344"/>
      <c r="V1065" s="344"/>
      <c r="W1065" s="344"/>
      <c r="X1065" s="344"/>
      <c r="Y1065" s="344"/>
      <c r="Z1065" s="344"/>
      <c r="AA1065" s="344"/>
      <c r="AB1065" s="344"/>
      <c r="AC1065" s="344"/>
      <c r="AD1065" s="344"/>
    </row>
    <row r="1066">
      <c r="A1066" s="344"/>
      <c r="B1066" s="548"/>
      <c r="C1066" s="548"/>
      <c r="D1066" s="344"/>
      <c r="E1066" s="344"/>
      <c r="F1066" s="549"/>
      <c r="G1066" s="545"/>
      <c r="H1066" s="545"/>
      <c r="I1066" s="344"/>
      <c r="J1066" s="344"/>
      <c r="K1066" s="344"/>
      <c r="L1066" s="344"/>
      <c r="M1066" s="344"/>
      <c r="N1066" s="344"/>
      <c r="O1066" s="344"/>
      <c r="P1066" s="344"/>
      <c r="Q1066" s="344"/>
      <c r="R1066" s="344"/>
      <c r="S1066" s="344"/>
      <c r="T1066" s="344"/>
      <c r="U1066" s="344"/>
      <c r="V1066" s="344"/>
      <c r="W1066" s="344"/>
      <c r="X1066" s="344"/>
      <c r="Y1066" s="344"/>
      <c r="Z1066" s="344"/>
      <c r="AA1066" s="344"/>
      <c r="AB1066" s="344"/>
      <c r="AC1066" s="344"/>
      <c r="AD1066" s="344"/>
    </row>
    <row r="1067">
      <c r="A1067" s="344"/>
      <c r="B1067" s="548"/>
      <c r="C1067" s="548"/>
      <c r="D1067" s="344"/>
      <c r="E1067" s="344"/>
      <c r="F1067" s="549"/>
      <c r="G1067" s="545"/>
      <c r="H1067" s="545"/>
      <c r="I1067" s="344"/>
      <c r="J1067" s="344"/>
      <c r="K1067" s="344"/>
      <c r="L1067" s="344"/>
      <c r="M1067" s="344"/>
      <c r="N1067" s="344"/>
      <c r="O1067" s="344"/>
      <c r="P1067" s="344"/>
      <c r="Q1067" s="344"/>
      <c r="R1067" s="344"/>
      <c r="S1067" s="344"/>
      <c r="T1067" s="344"/>
      <c r="U1067" s="344"/>
      <c r="V1067" s="344"/>
      <c r="W1067" s="344"/>
      <c r="X1067" s="344"/>
      <c r="Y1067" s="344"/>
      <c r="Z1067" s="344"/>
      <c r="AA1067" s="344"/>
      <c r="AB1067" s="344"/>
      <c r="AC1067" s="344"/>
      <c r="AD1067" s="344"/>
    </row>
    <row r="1068">
      <c r="A1068" s="344"/>
      <c r="B1068" s="548"/>
      <c r="C1068" s="548"/>
      <c r="D1068" s="344"/>
      <c r="E1068" s="344"/>
      <c r="F1068" s="549"/>
      <c r="G1068" s="545"/>
      <c r="H1068" s="545"/>
      <c r="I1068" s="344"/>
      <c r="J1068" s="344"/>
      <c r="K1068" s="344"/>
      <c r="L1068" s="344"/>
      <c r="M1068" s="344"/>
      <c r="N1068" s="344"/>
      <c r="O1068" s="344"/>
      <c r="P1068" s="344"/>
      <c r="Q1068" s="344"/>
      <c r="R1068" s="344"/>
      <c r="S1068" s="344"/>
      <c r="T1068" s="344"/>
      <c r="U1068" s="344"/>
      <c r="V1068" s="344"/>
      <c r="W1068" s="344"/>
      <c r="X1068" s="344"/>
      <c r="Y1068" s="344"/>
      <c r="Z1068" s="344"/>
      <c r="AA1068" s="344"/>
      <c r="AB1068" s="344"/>
      <c r="AC1068" s="344"/>
      <c r="AD1068" s="344"/>
    </row>
    <row r="1069">
      <c r="A1069" s="344"/>
      <c r="B1069" s="548"/>
      <c r="C1069" s="548"/>
      <c r="D1069" s="344"/>
      <c r="E1069" s="344"/>
      <c r="F1069" s="549"/>
      <c r="G1069" s="545"/>
      <c r="H1069" s="545"/>
      <c r="I1069" s="344"/>
      <c r="J1069" s="344"/>
      <c r="K1069" s="344"/>
      <c r="L1069" s="344"/>
      <c r="M1069" s="344"/>
      <c r="N1069" s="344"/>
      <c r="O1069" s="344"/>
      <c r="P1069" s="344"/>
      <c r="Q1069" s="344"/>
      <c r="R1069" s="344"/>
      <c r="S1069" s="344"/>
      <c r="T1069" s="344"/>
      <c r="U1069" s="344"/>
      <c r="V1069" s="344"/>
      <c r="W1069" s="344"/>
      <c r="X1069" s="344"/>
      <c r="Y1069" s="344"/>
      <c r="Z1069" s="344"/>
      <c r="AA1069" s="344"/>
      <c r="AB1069" s="344"/>
      <c r="AC1069" s="344"/>
      <c r="AD1069" s="344"/>
    </row>
    <row r="1070">
      <c r="A1070" s="344"/>
      <c r="B1070" s="548"/>
      <c r="C1070" s="548"/>
      <c r="D1070" s="344"/>
      <c r="E1070" s="344"/>
      <c r="F1070" s="549"/>
      <c r="G1070" s="545"/>
      <c r="H1070" s="545"/>
      <c r="I1070" s="344"/>
      <c r="J1070" s="344"/>
      <c r="K1070" s="344"/>
      <c r="L1070" s="344"/>
      <c r="M1070" s="344"/>
      <c r="N1070" s="344"/>
      <c r="O1070" s="344"/>
      <c r="P1070" s="344"/>
      <c r="Q1070" s="344"/>
      <c r="R1070" s="344"/>
      <c r="S1070" s="344"/>
      <c r="T1070" s="344"/>
      <c r="U1070" s="344"/>
      <c r="V1070" s="344"/>
      <c r="W1070" s="344"/>
      <c r="X1070" s="344"/>
      <c r="Y1070" s="344"/>
      <c r="Z1070" s="344"/>
      <c r="AA1070" s="344"/>
      <c r="AB1070" s="344"/>
      <c r="AC1070" s="344"/>
      <c r="AD1070" s="344"/>
    </row>
    <row r="1071">
      <c r="A1071" s="344"/>
      <c r="B1071" s="548"/>
      <c r="C1071" s="548"/>
      <c r="D1071" s="344"/>
      <c r="E1071" s="344"/>
      <c r="F1071" s="549"/>
      <c r="G1071" s="545"/>
      <c r="H1071" s="545"/>
      <c r="I1071" s="344"/>
      <c r="J1071" s="344"/>
      <c r="K1071" s="344"/>
      <c r="L1071" s="344"/>
      <c r="M1071" s="344"/>
      <c r="N1071" s="344"/>
      <c r="O1071" s="344"/>
      <c r="P1071" s="344"/>
      <c r="Q1071" s="344"/>
      <c r="R1071" s="344"/>
      <c r="S1071" s="344"/>
      <c r="T1071" s="344"/>
      <c r="U1071" s="344"/>
      <c r="V1071" s="344"/>
      <c r="W1071" s="344"/>
      <c r="X1071" s="344"/>
      <c r="Y1071" s="344"/>
      <c r="Z1071" s="344"/>
      <c r="AA1071" s="344"/>
      <c r="AB1071" s="344"/>
      <c r="AC1071" s="344"/>
      <c r="AD1071" s="344"/>
    </row>
    <row r="1072">
      <c r="A1072" s="344"/>
      <c r="B1072" s="548"/>
      <c r="C1072" s="548"/>
      <c r="D1072" s="344"/>
      <c r="E1072" s="344"/>
      <c r="F1072" s="549"/>
      <c r="G1072" s="545"/>
      <c r="H1072" s="545"/>
      <c r="I1072" s="344"/>
      <c r="J1072" s="344"/>
      <c r="K1072" s="344"/>
      <c r="L1072" s="344"/>
      <c r="M1072" s="344"/>
      <c r="N1072" s="344"/>
      <c r="O1072" s="344"/>
      <c r="P1072" s="344"/>
      <c r="Q1072" s="344"/>
      <c r="R1072" s="344"/>
      <c r="S1072" s="344"/>
      <c r="T1072" s="344"/>
      <c r="U1072" s="344"/>
      <c r="V1072" s="344"/>
      <c r="W1072" s="344"/>
      <c r="X1072" s="344"/>
      <c r="Y1072" s="344"/>
      <c r="Z1072" s="344"/>
      <c r="AA1072" s="344"/>
      <c r="AB1072" s="344"/>
      <c r="AC1072" s="344"/>
      <c r="AD1072" s="344"/>
    </row>
    <row r="1073">
      <c r="A1073" s="344"/>
      <c r="B1073" s="548"/>
      <c r="C1073" s="548"/>
      <c r="D1073" s="344"/>
      <c r="E1073" s="344"/>
      <c r="F1073" s="549"/>
      <c r="G1073" s="545"/>
      <c r="H1073" s="545"/>
      <c r="I1073" s="344"/>
      <c r="J1073" s="344"/>
      <c r="K1073" s="344"/>
      <c r="L1073" s="344"/>
      <c r="M1073" s="344"/>
      <c r="N1073" s="344"/>
      <c r="O1073" s="344"/>
      <c r="P1073" s="344"/>
      <c r="Q1073" s="344"/>
      <c r="R1073" s="344"/>
      <c r="S1073" s="344"/>
      <c r="T1073" s="344"/>
      <c r="U1073" s="344"/>
      <c r="V1073" s="344"/>
      <c r="W1073" s="344"/>
      <c r="X1073" s="344"/>
      <c r="Y1073" s="344"/>
      <c r="Z1073" s="344"/>
      <c r="AA1073" s="344"/>
      <c r="AB1073" s="344"/>
      <c r="AC1073" s="344"/>
      <c r="AD1073" s="344"/>
    </row>
    <row r="1074">
      <c r="A1074" s="344"/>
      <c r="B1074" s="548"/>
      <c r="C1074" s="548"/>
      <c r="D1074" s="344"/>
      <c r="E1074" s="344"/>
      <c r="F1074" s="549"/>
      <c r="G1074" s="545"/>
      <c r="H1074" s="545"/>
      <c r="I1074" s="344"/>
      <c r="J1074" s="344"/>
      <c r="K1074" s="344"/>
      <c r="L1074" s="344"/>
      <c r="M1074" s="344"/>
      <c r="N1074" s="344"/>
      <c r="O1074" s="344"/>
      <c r="P1074" s="344"/>
      <c r="Q1074" s="344"/>
      <c r="R1074" s="344"/>
      <c r="S1074" s="344"/>
      <c r="T1074" s="344"/>
      <c r="U1074" s="344"/>
      <c r="V1074" s="344"/>
      <c r="W1074" s="344"/>
      <c r="X1074" s="344"/>
      <c r="Y1074" s="344"/>
      <c r="Z1074" s="344"/>
      <c r="AA1074" s="344"/>
      <c r="AB1074" s="344"/>
      <c r="AC1074" s="344"/>
      <c r="AD1074" s="344"/>
    </row>
    <row r="1075">
      <c r="A1075" s="344"/>
      <c r="B1075" s="548"/>
      <c r="C1075" s="548"/>
      <c r="D1075" s="344"/>
      <c r="E1075" s="344"/>
      <c r="F1075" s="549"/>
      <c r="G1075" s="545"/>
      <c r="H1075" s="545"/>
      <c r="I1075" s="344"/>
      <c r="J1075" s="344"/>
      <c r="K1075" s="344"/>
      <c r="L1075" s="344"/>
      <c r="M1075" s="344"/>
      <c r="N1075" s="344"/>
      <c r="O1075" s="344"/>
      <c r="P1075" s="344"/>
      <c r="Q1075" s="344"/>
      <c r="R1075" s="344"/>
      <c r="S1075" s="344"/>
      <c r="T1075" s="344"/>
      <c r="U1075" s="344"/>
      <c r="V1075" s="344"/>
      <c r="W1075" s="344"/>
      <c r="X1075" s="344"/>
      <c r="Y1075" s="344"/>
      <c r="Z1075" s="344"/>
      <c r="AA1075" s="344"/>
      <c r="AB1075" s="344"/>
      <c r="AC1075" s="344"/>
      <c r="AD1075" s="344"/>
    </row>
    <row r="1076">
      <c r="A1076" s="344"/>
      <c r="B1076" s="548"/>
      <c r="C1076" s="548"/>
      <c r="D1076" s="344"/>
      <c r="E1076" s="344"/>
      <c r="F1076" s="549"/>
      <c r="G1076" s="545"/>
      <c r="H1076" s="545"/>
      <c r="I1076" s="344"/>
      <c r="J1076" s="344"/>
      <c r="K1076" s="344"/>
      <c r="L1076" s="344"/>
      <c r="M1076" s="344"/>
      <c r="N1076" s="344"/>
      <c r="O1076" s="344"/>
      <c r="P1076" s="344"/>
      <c r="Q1076" s="344"/>
      <c r="R1076" s="344"/>
      <c r="S1076" s="344"/>
      <c r="T1076" s="344"/>
      <c r="U1076" s="344"/>
      <c r="V1076" s="344"/>
      <c r="W1076" s="344"/>
      <c r="X1076" s="344"/>
      <c r="Y1076" s="344"/>
      <c r="Z1076" s="344"/>
      <c r="AA1076" s="344"/>
      <c r="AB1076" s="344"/>
      <c r="AC1076" s="344"/>
      <c r="AD1076" s="344"/>
    </row>
    <row r="1077">
      <c r="A1077" s="344"/>
      <c r="B1077" s="548"/>
      <c r="C1077" s="548"/>
      <c r="D1077" s="344"/>
      <c r="E1077" s="344"/>
      <c r="F1077" s="549"/>
      <c r="G1077" s="545"/>
      <c r="H1077" s="545"/>
      <c r="I1077" s="344"/>
      <c r="J1077" s="344"/>
      <c r="K1077" s="344"/>
      <c r="L1077" s="344"/>
      <c r="M1077" s="344"/>
      <c r="N1077" s="344"/>
      <c r="O1077" s="344"/>
      <c r="P1077" s="344"/>
      <c r="Q1077" s="344"/>
      <c r="R1077" s="344"/>
      <c r="S1077" s="344"/>
      <c r="T1077" s="344"/>
      <c r="U1077" s="344"/>
      <c r="V1077" s="344"/>
      <c r="W1077" s="344"/>
      <c r="X1077" s="344"/>
      <c r="Y1077" s="344"/>
      <c r="Z1077" s="344"/>
      <c r="AA1077" s="344"/>
      <c r="AB1077" s="344"/>
      <c r="AC1077" s="344"/>
      <c r="AD1077" s="344"/>
    </row>
    <row r="1078">
      <c r="A1078" s="344"/>
      <c r="B1078" s="548"/>
      <c r="C1078" s="548"/>
      <c r="D1078" s="344"/>
      <c r="E1078" s="344"/>
      <c r="F1078" s="549"/>
      <c r="G1078" s="545"/>
      <c r="H1078" s="545"/>
      <c r="I1078" s="344"/>
      <c r="J1078" s="344"/>
      <c r="K1078" s="344"/>
      <c r="L1078" s="344"/>
      <c r="M1078" s="344"/>
      <c r="N1078" s="344"/>
      <c r="O1078" s="344"/>
      <c r="P1078" s="344"/>
      <c r="Q1078" s="344"/>
      <c r="R1078" s="344"/>
      <c r="S1078" s="344"/>
      <c r="T1078" s="344"/>
      <c r="U1078" s="344"/>
      <c r="V1078" s="344"/>
      <c r="W1078" s="344"/>
      <c r="X1078" s="344"/>
      <c r="Y1078" s="344"/>
      <c r="Z1078" s="344"/>
      <c r="AA1078" s="344"/>
      <c r="AB1078" s="344"/>
      <c r="AC1078" s="344"/>
      <c r="AD1078" s="344"/>
    </row>
    <row r="1079">
      <c r="A1079" s="344"/>
      <c r="B1079" s="548"/>
      <c r="C1079" s="548"/>
      <c r="D1079" s="344"/>
      <c r="E1079" s="344"/>
      <c r="F1079" s="549"/>
      <c r="G1079" s="545"/>
      <c r="H1079" s="545"/>
      <c r="I1079" s="344"/>
      <c r="J1079" s="344"/>
      <c r="K1079" s="344"/>
      <c r="L1079" s="344"/>
      <c r="M1079" s="344"/>
      <c r="N1079" s="344"/>
      <c r="O1079" s="344"/>
      <c r="P1079" s="344"/>
      <c r="Q1079" s="344"/>
      <c r="R1079" s="344"/>
      <c r="S1079" s="344"/>
      <c r="T1079" s="344"/>
      <c r="U1079" s="344"/>
      <c r="V1079" s="344"/>
      <c r="W1079" s="344"/>
      <c r="X1079" s="344"/>
      <c r="Y1079" s="344"/>
      <c r="Z1079" s="344"/>
      <c r="AA1079" s="344"/>
      <c r="AB1079" s="344"/>
      <c r="AC1079" s="344"/>
      <c r="AD1079" s="344"/>
    </row>
    <row r="1080">
      <c r="A1080" s="344"/>
      <c r="B1080" s="548"/>
      <c r="C1080" s="548"/>
      <c r="D1080" s="344"/>
      <c r="E1080" s="344"/>
      <c r="F1080" s="549"/>
      <c r="G1080" s="545"/>
      <c r="H1080" s="545"/>
      <c r="I1080" s="344"/>
      <c r="J1080" s="344"/>
      <c r="K1080" s="344"/>
      <c r="L1080" s="344"/>
      <c r="M1080" s="344"/>
      <c r="N1080" s="344"/>
      <c r="O1080" s="344"/>
      <c r="P1080" s="344"/>
      <c r="Q1080" s="344"/>
      <c r="R1080" s="344"/>
      <c r="S1080" s="344"/>
      <c r="T1080" s="344"/>
      <c r="U1080" s="344"/>
      <c r="V1080" s="344"/>
      <c r="W1080" s="344"/>
      <c r="X1080" s="344"/>
      <c r="Y1080" s="344"/>
      <c r="Z1080" s="344"/>
      <c r="AA1080" s="344"/>
      <c r="AB1080" s="344"/>
      <c r="AC1080" s="344"/>
      <c r="AD1080" s="344"/>
    </row>
    <row r="1081">
      <c r="A1081" s="344"/>
      <c r="B1081" s="548"/>
      <c r="C1081" s="548"/>
      <c r="D1081" s="344"/>
      <c r="E1081" s="344"/>
      <c r="F1081" s="549"/>
      <c r="G1081" s="545"/>
      <c r="H1081" s="545"/>
      <c r="I1081" s="344"/>
      <c r="J1081" s="344"/>
      <c r="K1081" s="344"/>
      <c r="L1081" s="344"/>
      <c r="M1081" s="344"/>
      <c r="N1081" s="344"/>
      <c r="O1081" s="344"/>
      <c r="P1081" s="344"/>
      <c r="Q1081" s="344"/>
      <c r="R1081" s="344"/>
      <c r="S1081" s="344"/>
      <c r="T1081" s="344"/>
      <c r="U1081" s="344"/>
      <c r="V1081" s="344"/>
      <c r="W1081" s="344"/>
      <c r="X1081" s="344"/>
      <c r="Y1081" s="344"/>
      <c r="Z1081" s="344"/>
      <c r="AA1081" s="344"/>
      <c r="AB1081" s="344"/>
      <c r="AC1081" s="344"/>
      <c r="AD1081" s="344"/>
    </row>
    <row r="1082">
      <c r="A1082" s="344"/>
      <c r="B1082" s="548"/>
      <c r="C1082" s="548"/>
      <c r="D1082" s="344"/>
      <c r="E1082" s="344"/>
      <c r="F1082" s="549"/>
      <c r="G1082" s="545"/>
      <c r="H1082" s="545"/>
      <c r="I1082" s="344"/>
      <c r="J1082" s="344"/>
      <c r="K1082" s="344"/>
      <c r="L1082" s="344"/>
      <c r="M1082" s="344"/>
      <c r="N1082" s="344"/>
      <c r="O1082" s="344"/>
      <c r="P1082" s="344"/>
      <c r="Q1082" s="344"/>
      <c r="R1082" s="344"/>
      <c r="S1082" s="344"/>
      <c r="T1082" s="344"/>
      <c r="U1082" s="344"/>
      <c r="V1082" s="344"/>
      <c r="W1082" s="344"/>
      <c r="X1082" s="344"/>
      <c r="Y1082" s="344"/>
      <c r="Z1082" s="344"/>
      <c r="AA1082" s="344"/>
      <c r="AB1082" s="344"/>
      <c r="AC1082" s="344"/>
      <c r="AD1082" s="344"/>
    </row>
    <row r="1083">
      <c r="A1083" s="344"/>
      <c r="B1083" s="548"/>
      <c r="C1083" s="548"/>
      <c r="D1083" s="344"/>
      <c r="E1083" s="344"/>
      <c r="F1083" s="549"/>
      <c r="G1083" s="545"/>
      <c r="H1083" s="545"/>
      <c r="I1083" s="344"/>
      <c r="J1083" s="344"/>
      <c r="K1083" s="344"/>
      <c r="L1083" s="344"/>
      <c r="M1083" s="344"/>
      <c r="N1083" s="344"/>
      <c r="O1083" s="344"/>
      <c r="P1083" s="344"/>
      <c r="Q1083" s="344"/>
      <c r="R1083" s="344"/>
      <c r="S1083" s="344"/>
      <c r="T1083" s="344"/>
      <c r="U1083" s="344"/>
      <c r="V1083" s="344"/>
      <c r="W1083" s="344"/>
      <c r="X1083" s="344"/>
      <c r="Y1083" s="344"/>
      <c r="Z1083" s="344"/>
      <c r="AA1083" s="344"/>
      <c r="AB1083" s="344"/>
      <c r="AC1083" s="344"/>
      <c r="AD1083" s="344"/>
    </row>
    <row r="1084">
      <c r="A1084" s="344"/>
      <c r="B1084" s="548"/>
      <c r="C1084" s="548"/>
      <c r="D1084" s="344"/>
      <c r="E1084" s="344"/>
      <c r="F1084" s="549"/>
      <c r="G1084" s="545"/>
      <c r="H1084" s="545"/>
      <c r="I1084" s="344"/>
      <c r="J1084" s="344"/>
      <c r="K1084" s="344"/>
      <c r="L1084" s="344"/>
      <c r="M1084" s="344"/>
      <c r="N1084" s="344"/>
      <c r="O1084" s="344"/>
      <c r="P1084" s="344"/>
      <c r="Q1084" s="344"/>
      <c r="R1084" s="344"/>
      <c r="S1084" s="344"/>
      <c r="T1084" s="344"/>
      <c r="U1084" s="344"/>
      <c r="V1084" s="344"/>
      <c r="W1084" s="344"/>
      <c r="X1084" s="344"/>
      <c r="Y1084" s="344"/>
      <c r="Z1084" s="344"/>
      <c r="AA1084" s="344"/>
      <c r="AB1084" s="344"/>
      <c r="AC1084" s="344"/>
      <c r="AD1084" s="344"/>
    </row>
    <row r="1085">
      <c r="A1085" s="344"/>
      <c r="B1085" s="548"/>
      <c r="C1085" s="548"/>
      <c r="D1085" s="344"/>
      <c r="E1085" s="344"/>
      <c r="F1085" s="549"/>
      <c r="G1085" s="545"/>
      <c r="H1085" s="545"/>
      <c r="I1085" s="344"/>
      <c r="J1085" s="344"/>
      <c r="K1085" s="344"/>
      <c r="L1085" s="344"/>
      <c r="M1085" s="344"/>
      <c r="N1085" s="344"/>
      <c r="O1085" s="344"/>
      <c r="P1085" s="344"/>
      <c r="Q1085" s="344"/>
      <c r="R1085" s="344"/>
      <c r="S1085" s="344"/>
      <c r="T1085" s="344"/>
      <c r="U1085" s="344"/>
      <c r="V1085" s="344"/>
      <c r="W1085" s="344"/>
      <c r="X1085" s="344"/>
      <c r="Y1085" s="344"/>
      <c r="Z1085" s="344"/>
      <c r="AA1085" s="344"/>
      <c r="AB1085" s="344"/>
      <c r="AC1085" s="344"/>
      <c r="AD1085" s="344"/>
    </row>
    <row r="1086">
      <c r="A1086" s="344"/>
      <c r="B1086" s="548"/>
      <c r="C1086" s="548"/>
      <c r="D1086" s="344"/>
      <c r="E1086" s="344"/>
      <c r="F1086" s="549"/>
      <c r="G1086" s="545"/>
      <c r="H1086" s="545"/>
      <c r="I1086" s="344"/>
      <c r="J1086" s="344"/>
      <c r="K1086" s="344"/>
      <c r="L1086" s="344"/>
      <c r="M1086" s="344"/>
      <c r="N1086" s="344"/>
      <c r="O1086" s="344"/>
      <c r="P1086" s="344"/>
      <c r="Q1086" s="344"/>
      <c r="R1086" s="344"/>
      <c r="S1086" s="344"/>
      <c r="T1086" s="344"/>
      <c r="U1086" s="344"/>
      <c r="V1086" s="344"/>
      <c r="W1086" s="344"/>
      <c r="X1086" s="344"/>
      <c r="Y1086" s="344"/>
      <c r="Z1086" s="344"/>
      <c r="AA1086" s="344"/>
      <c r="AB1086" s="344"/>
      <c r="AC1086" s="344"/>
      <c r="AD1086" s="344"/>
    </row>
    <row r="1087">
      <c r="A1087" s="344"/>
      <c r="B1087" s="548"/>
      <c r="C1087" s="548"/>
      <c r="D1087" s="344"/>
      <c r="E1087" s="344"/>
      <c r="F1087" s="549"/>
      <c r="G1087" s="545"/>
      <c r="H1087" s="545"/>
      <c r="I1087" s="344"/>
      <c r="J1087" s="344"/>
      <c r="K1087" s="344"/>
      <c r="L1087" s="344"/>
      <c r="M1087" s="344"/>
      <c r="N1087" s="344"/>
      <c r="O1087" s="344"/>
      <c r="P1087" s="344"/>
      <c r="Q1087" s="344"/>
      <c r="R1087" s="344"/>
      <c r="S1087" s="344"/>
      <c r="T1087" s="344"/>
      <c r="U1087" s="344"/>
      <c r="V1087" s="344"/>
      <c r="W1087" s="344"/>
      <c r="X1087" s="344"/>
      <c r="Y1087" s="344"/>
      <c r="Z1087" s="344"/>
      <c r="AA1087" s="344"/>
      <c r="AB1087" s="344"/>
      <c r="AC1087" s="344"/>
      <c r="AD1087" s="344"/>
    </row>
    <row r="1088">
      <c r="A1088" s="344"/>
      <c r="B1088" s="548"/>
      <c r="C1088" s="548"/>
      <c r="D1088" s="344"/>
      <c r="E1088" s="344"/>
      <c r="F1088" s="549"/>
      <c r="G1088" s="545"/>
      <c r="H1088" s="545"/>
      <c r="I1088" s="344"/>
      <c r="J1088" s="344"/>
      <c r="K1088" s="344"/>
      <c r="L1088" s="344"/>
      <c r="M1088" s="344"/>
      <c r="N1088" s="344"/>
      <c r="O1088" s="344"/>
      <c r="P1088" s="344"/>
      <c r="Q1088" s="344"/>
      <c r="R1088" s="344"/>
      <c r="S1088" s="344"/>
      <c r="T1088" s="344"/>
      <c r="U1088" s="344"/>
      <c r="V1088" s="344"/>
      <c r="W1088" s="344"/>
      <c r="X1088" s="344"/>
      <c r="Y1088" s="344"/>
      <c r="Z1088" s="344"/>
      <c r="AA1088" s="344"/>
      <c r="AB1088" s="344"/>
      <c r="AC1088" s="344"/>
      <c r="AD1088" s="344"/>
    </row>
    <row r="1089">
      <c r="A1089" s="344"/>
      <c r="B1089" s="548"/>
      <c r="C1089" s="548"/>
      <c r="D1089" s="344"/>
      <c r="E1089" s="344"/>
      <c r="F1089" s="549"/>
      <c r="G1089" s="545"/>
      <c r="H1089" s="545"/>
      <c r="I1089" s="344"/>
      <c r="J1089" s="344"/>
      <c r="K1089" s="344"/>
      <c r="L1089" s="344"/>
      <c r="M1089" s="344"/>
      <c r="N1089" s="344"/>
      <c r="O1089" s="344"/>
      <c r="P1089" s="344"/>
      <c r="Q1089" s="344"/>
      <c r="R1089" s="344"/>
      <c r="S1089" s="344"/>
      <c r="T1089" s="344"/>
      <c r="U1089" s="344"/>
      <c r="V1089" s="344"/>
      <c r="W1089" s="344"/>
      <c r="X1089" s="344"/>
      <c r="Y1089" s="344"/>
      <c r="Z1089" s="344"/>
      <c r="AA1089" s="344"/>
      <c r="AB1089" s="344"/>
      <c r="AC1089" s="344"/>
      <c r="AD1089" s="344"/>
    </row>
    <row r="1090">
      <c r="A1090" s="344"/>
      <c r="B1090" s="548"/>
      <c r="C1090" s="548"/>
      <c r="D1090" s="344"/>
      <c r="E1090" s="344"/>
      <c r="F1090" s="549"/>
      <c r="G1090" s="545"/>
      <c r="H1090" s="545"/>
      <c r="I1090" s="344"/>
      <c r="J1090" s="344"/>
      <c r="K1090" s="344"/>
      <c r="L1090" s="344"/>
      <c r="M1090" s="344"/>
      <c r="N1090" s="344"/>
      <c r="O1090" s="344"/>
      <c r="P1090" s="344"/>
      <c r="Q1090" s="344"/>
      <c r="R1090" s="344"/>
      <c r="S1090" s="344"/>
      <c r="T1090" s="344"/>
      <c r="U1090" s="344"/>
      <c r="V1090" s="344"/>
      <c r="W1090" s="344"/>
      <c r="X1090" s="344"/>
      <c r="Y1090" s="344"/>
      <c r="Z1090" s="344"/>
      <c r="AA1090" s="344"/>
      <c r="AB1090" s="344"/>
      <c r="AC1090" s="344"/>
      <c r="AD1090" s="344"/>
    </row>
    <row r="1091">
      <c r="A1091" s="344"/>
      <c r="B1091" s="548"/>
      <c r="C1091" s="548"/>
      <c r="D1091" s="344"/>
      <c r="E1091" s="344"/>
      <c r="F1091" s="549"/>
      <c r="G1091" s="545"/>
      <c r="H1091" s="545"/>
      <c r="I1091" s="344"/>
      <c r="J1091" s="344"/>
      <c r="K1091" s="344"/>
      <c r="L1091" s="344"/>
      <c r="M1091" s="344"/>
      <c r="N1091" s="344"/>
      <c r="O1091" s="344"/>
      <c r="P1091" s="344"/>
      <c r="Q1091" s="344"/>
      <c r="R1091" s="344"/>
      <c r="S1091" s="344"/>
      <c r="T1091" s="344"/>
      <c r="U1091" s="344"/>
      <c r="V1091" s="344"/>
      <c r="W1091" s="344"/>
      <c r="X1091" s="344"/>
      <c r="Y1091" s="344"/>
      <c r="Z1091" s="344"/>
      <c r="AA1091" s="344"/>
      <c r="AB1091" s="344"/>
      <c r="AC1091" s="344"/>
      <c r="AD1091" s="344"/>
    </row>
    <row r="1092">
      <c r="A1092" s="344"/>
      <c r="B1092" s="548"/>
      <c r="C1092" s="548"/>
      <c r="D1092" s="344"/>
      <c r="E1092" s="344"/>
      <c r="F1092" s="549"/>
      <c r="G1092" s="545"/>
      <c r="H1092" s="545"/>
      <c r="I1092" s="344"/>
      <c r="J1092" s="344"/>
      <c r="K1092" s="344"/>
      <c r="L1092" s="344"/>
      <c r="M1092" s="344"/>
      <c r="N1092" s="344"/>
      <c r="O1092" s="344"/>
      <c r="P1092" s="344"/>
      <c r="Q1092" s="344"/>
      <c r="R1092" s="344"/>
      <c r="S1092" s="344"/>
      <c r="T1092" s="344"/>
      <c r="U1092" s="344"/>
      <c r="V1092" s="344"/>
      <c r="W1092" s="344"/>
      <c r="X1092" s="344"/>
      <c r="Y1092" s="344"/>
      <c r="Z1092" s="344"/>
      <c r="AA1092" s="344"/>
      <c r="AB1092" s="344"/>
      <c r="AC1092" s="344"/>
      <c r="AD1092" s="344"/>
    </row>
    <row r="1093">
      <c r="A1093" s="344"/>
      <c r="B1093" s="548"/>
      <c r="C1093" s="548"/>
      <c r="D1093" s="344"/>
      <c r="E1093" s="344"/>
      <c r="F1093" s="549"/>
      <c r="G1093" s="545"/>
      <c r="H1093" s="545"/>
      <c r="I1093" s="344"/>
      <c r="J1093" s="344"/>
      <c r="K1093" s="344"/>
      <c r="L1093" s="344"/>
      <c r="M1093" s="344"/>
      <c r="N1093" s="344"/>
      <c r="O1093" s="344"/>
      <c r="P1093" s="344"/>
      <c r="Q1093" s="344"/>
      <c r="R1093" s="344"/>
      <c r="S1093" s="344"/>
      <c r="T1093" s="344"/>
      <c r="U1093" s="344"/>
      <c r="V1093" s="344"/>
      <c r="W1093" s="344"/>
      <c r="X1093" s="344"/>
      <c r="Y1093" s="344"/>
      <c r="Z1093" s="344"/>
      <c r="AA1093" s="344"/>
      <c r="AB1093" s="344"/>
      <c r="AC1093" s="344"/>
      <c r="AD1093" s="344"/>
    </row>
    <row r="1094">
      <c r="A1094" s="344"/>
      <c r="B1094" s="548"/>
      <c r="C1094" s="548"/>
      <c r="D1094" s="344"/>
      <c r="E1094" s="344"/>
      <c r="F1094" s="549"/>
      <c r="G1094" s="545"/>
      <c r="H1094" s="545"/>
      <c r="I1094" s="344"/>
      <c r="J1094" s="344"/>
      <c r="K1094" s="344"/>
      <c r="L1094" s="344"/>
      <c r="M1094" s="344"/>
      <c r="N1094" s="344"/>
      <c r="O1094" s="344"/>
      <c r="P1094" s="344"/>
      <c r="Q1094" s="344"/>
      <c r="R1094" s="344"/>
      <c r="S1094" s="344"/>
      <c r="T1094" s="344"/>
      <c r="U1094" s="344"/>
      <c r="V1094" s="344"/>
      <c r="W1094" s="344"/>
      <c r="X1094" s="344"/>
      <c r="Y1094" s="344"/>
      <c r="Z1094" s="344"/>
      <c r="AA1094" s="344"/>
      <c r="AB1094" s="344"/>
      <c r="AC1094" s="344"/>
      <c r="AD1094" s="344"/>
    </row>
    <row r="1095">
      <c r="A1095" s="344"/>
      <c r="B1095" s="548"/>
      <c r="C1095" s="548"/>
      <c r="D1095" s="344"/>
      <c r="E1095" s="344"/>
      <c r="F1095" s="549"/>
      <c r="G1095" s="545"/>
      <c r="H1095" s="545"/>
      <c r="I1095" s="344"/>
      <c r="J1095" s="344"/>
      <c r="K1095" s="344"/>
      <c r="L1095" s="344"/>
      <c r="M1095" s="344"/>
      <c r="N1095" s="344"/>
      <c r="O1095" s="344"/>
      <c r="P1095" s="344"/>
      <c r="Q1095" s="344"/>
      <c r="R1095" s="344"/>
      <c r="S1095" s="344"/>
      <c r="T1095" s="344"/>
      <c r="U1095" s="344"/>
      <c r="V1095" s="344"/>
      <c r="W1095" s="344"/>
      <c r="X1095" s="344"/>
      <c r="Y1095" s="344"/>
      <c r="Z1095" s="344"/>
      <c r="AA1095" s="344"/>
      <c r="AB1095" s="344"/>
      <c r="AC1095" s="344"/>
      <c r="AD1095" s="344"/>
    </row>
    <row r="1096">
      <c r="A1096" s="344"/>
      <c r="B1096" s="548"/>
      <c r="C1096" s="548"/>
      <c r="D1096" s="344"/>
      <c r="E1096" s="344"/>
      <c r="F1096" s="549"/>
      <c r="G1096" s="545"/>
      <c r="H1096" s="545"/>
      <c r="I1096" s="344"/>
      <c r="J1096" s="344"/>
      <c r="K1096" s="344"/>
      <c r="L1096" s="344"/>
      <c r="M1096" s="344"/>
      <c r="N1096" s="344"/>
      <c r="O1096" s="344"/>
      <c r="P1096" s="344"/>
      <c r="Q1096" s="344"/>
      <c r="R1096" s="344"/>
      <c r="S1096" s="344"/>
      <c r="T1096" s="344"/>
      <c r="U1096" s="344"/>
      <c r="V1096" s="344"/>
      <c r="W1096" s="344"/>
      <c r="X1096" s="344"/>
      <c r="Y1096" s="344"/>
      <c r="Z1096" s="344"/>
      <c r="AA1096" s="344"/>
      <c r="AB1096" s="344"/>
      <c r="AC1096" s="344"/>
      <c r="AD1096" s="344"/>
    </row>
    <row r="1097">
      <c r="A1097" s="344"/>
      <c r="B1097" s="548"/>
      <c r="C1097" s="548"/>
      <c r="D1097" s="344"/>
      <c r="E1097" s="344"/>
      <c r="F1097" s="549"/>
      <c r="G1097" s="545"/>
      <c r="H1097" s="545"/>
      <c r="I1097" s="344"/>
      <c r="J1097" s="344"/>
      <c r="K1097" s="344"/>
      <c r="L1097" s="344"/>
      <c r="M1097" s="344"/>
      <c r="N1097" s="344"/>
      <c r="O1097" s="344"/>
      <c r="P1097" s="344"/>
      <c r="Q1097" s="344"/>
      <c r="R1097" s="344"/>
      <c r="S1097" s="344"/>
      <c r="T1097" s="344"/>
      <c r="U1097" s="344"/>
      <c r="V1097" s="344"/>
      <c r="W1097" s="344"/>
      <c r="X1097" s="344"/>
      <c r="Y1097" s="344"/>
      <c r="Z1097" s="344"/>
      <c r="AA1097" s="344"/>
      <c r="AB1097" s="344"/>
      <c r="AC1097" s="344"/>
      <c r="AD1097" s="344"/>
    </row>
    <row r="1098">
      <c r="A1098" s="344"/>
      <c r="B1098" s="548"/>
      <c r="C1098" s="548"/>
      <c r="D1098" s="344"/>
      <c r="E1098" s="344"/>
      <c r="F1098" s="549"/>
      <c r="G1098" s="545"/>
      <c r="H1098" s="545"/>
      <c r="I1098" s="344"/>
      <c r="J1098" s="344"/>
      <c r="K1098" s="344"/>
      <c r="L1098" s="344"/>
      <c r="M1098" s="344"/>
      <c r="N1098" s="344"/>
      <c r="O1098" s="344"/>
      <c r="P1098" s="344"/>
      <c r="Q1098" s="344"/>
      <c r="R1098" s="344"/>
      <c r="S1098" s="344"/>
      <c r="T1098" s="344"/>
      <c r="U1098" s="344"/>
      <c r="V1098" s="344"/>
      <c r="W1098" s="344"/>
      <c r="X1098" s="344"/>
      <c r="Y1098" s="344"/>
      <c r="Z1098" s="344"/>
      <c r="AA1098" s="344"/>
      <c r="AB1098" s="344"/>
      <c r="AC1098" s="344"/>
      <c r="AD1098" s="344"/>
    </row>
    <row r="1099">
      <c r="A1099" s="344"/>
      <c r="B1099" s="548"/>
      <c r="C1099" s="548"/>
      <c r="D1099" s="344"/>
      <c r="E1099" s="344"/>
      <c r="F1099" s="549"/>
      <c r="G1099" s="545"/>
      <c r="H1099" s="545"/>
      <c r="I1099" s="344"/>
      <c r="J1099" s="344"/>
      <c r="K1099" s="344"/>
      <c r="L1099" s="344"/>
      <c r="M1099" s="344"/>
      <c r="N1099" s="344"/>
      <c r="O1099" s="344"/>
      <c r="P1099" s="344"/>
      <c r="Q1099" s="344"/>
      <c r="R1099" s="344"/>
      <c r="S1099" s="344"/>
      <c r="T1099" s="344"/>
      <c r="U1099" s="344"/>
      <c r="V1099" s="344"/>
      <c r="W1099" s="344"/>
      <c r="X1099" s="344"/>
      <c r="Y1099" s="344"/>
      <c r="Z1099" s="344"/>
      <c r="AA1099" s="344"/>
      <c r="AB1099" s="344"/>
      <c r="AC1099" s="344"/>
      <c r="AD1099" s="344"/>
    </row>
    <row r="1100">
      <c r="A1100" s="344"/>
      <c r="B1100" s="548"/>
      <c r="C1100" s="548"/>
      <c r="D1100" s="344"/>
      <c r="E1100" s="344"/>
      <c r="F1100" s="549"/>
      <c r="G1100" s="545"/>
      <c r="H1100" s="545"/>
      <c r="I1100" s="344"/>
      <c r="J1100" s="344"/>
      <c r="K1100" s="344"/>
      <c r="L1100" s="344"/>
      <c r="M1100" s="344"/>
      <c r="N1100" s="344"/>
      <c r="O1100" s="344"/>
      <c r="P1100" s="344"/>
      <c r="Q1100" s="344"/>
      <c r="R1100" s="344"/>
      <c r="S1100" s="344"/>
      <c r="T1100" s="344"/>
      <c r="U1100" s="344"/>
      <c r="V1100" s="344"/>
      <c r="W1100" s="344"/>
      <c r="X1100" s="344"/>
      <c r="Y1100" s="344"/>
      <c r="Z1100" s="344"/>
      <c r="AA1100" s="344"/>
      <c r="AB1100" s="344"/>
      <c r="AC1100" s="344"/>
      <c r="AD1100" s="344"/>
    </row>
    <row r="1101">
      <c r="A1101" s="344"/>
      <c r="B1101" s="548"/>
      <c r="C1101" s="548"/>
      <c r="D1101" s="344"/>
      <c r="E1101" s="344"/>
      <c r="F1101" s="549"/>
      <c r="G1101" s="545"/>
      <c r="H1101" s="545"/>
      <c r="I1101" s="344"/>
      <c r="J1101" s="344"/>
      <c r="K1101" s="344"/>
      <c r="L1101" s="344"/>
      <c r="M1101" s="344"/>
      <c r="N1101" s="344"/>
      <c r="O1101" s="344"/>
      <c r="P1101" s="344"/>
      <c r="Q1101" s="344"/>
      <c r="R1101" s="344"/>
      <c r="S1101" s="344"/>
      <c r="T1101" s="344"/>
      <c r="U1101" s="344"/>
      <c r="V1101" s="344"/>
      <c r="W1101" s="344"/>
      <c r="X1101" s="344"/>
      <c r="Y1101" s="344"/>
      <c r="Z1101" s="344"/>
      <c r="AA1101" s="344"/>
      <c r="AB1101" s="344"/>
      <c r="AC1101" s="344"/>
      <c r="AD1101" s="344"/>
    </row>
    <row r="1102">
      <c r="A1102" s="344"/>
      <c r="B1102" s="548"/>
      <c r="C1102" s="548"/>
      <c r="D1102" s="344"/>
      <c r="E1102" s="344"/>
      <c r="F1102" s="549"/>
      <c r="G1102" s="545"/>
      <c r="H1102" s="545"/>
      <c r="I1102" s="344"/>
      <c r="J1102" s="344"/>
      <c r="K1102" s="344"/>
      <c r="L1102" s="344"/>
      <c r="M1102" s="344"/>
      <c r="N1102" s="344"/>
      <c r="O1102" s="344"/>
      <c r="P1102" s="344"/>
      <c r="Q1102" s="344"/>
      <c r="R1102" s="344"/>
      <c r="S1102" s="344"/>
      <c r="T1102" s="344"/>
      <c r="U1102" s="344"/>
      <c r="V1102" s="344"/>
      <c r="W1102" s="344"/>
      <c r="X1102" s="344"/>
      <c r="Y1102" s="344"/>
      <c r="Z1102" s="344"/>
      <c r="AA1102" s="344"/>
      <c r="AB1102" s="344"/>
      <c r="AC1102" s="344"/>
      <c r="AD1102" s="344"/>
    </row>
    <row r="1103">
      <c r="A1103" s="344"/>
      <c r="B1103" s="548"/>
      <c r="C1103" s="548"/>
      <c r="D1103" s="344"/>
      <c r="E1103" s="344"/>
      <c r="F1103" s="549"/>
      <c r="G1103" s="545"/>
      <c r="H1103" s="545"/>
      <c r="I1103" s="344"/>
      <c r="J1103" s="344"/>
      <c r="K1103" s="344"/>
      <c r="L1103" s="344"/>
      <c r="M1103" s="344"/>
      <c r="N1103" s="344"/>
      <c r="O1103" s="344"/>
      <c r="P1103" s="344"/>
      <c r="Q1103" s="344"/>
      <c r="R1103" s="344"/>
      <c r="S1103" s="344"/>
      <c r="T1103" s="344"/>
      <c r="U1103" s="344"/>
      <c r="V1103" s="344"/>
      <c r="W1103" s="344"/>
      <c r="X1103" s="344"/>
      <c r="Y1103" s="344"/>
      <c r="Z1103" s="344"/>
      <c r="AA1103" s="344"/>
      <c r="AB1103" s="344"/>
      <c r="AC1103" s="344"/>
      <c r="AD1103" s="344"/>
    </row>
    <row r="1104">
      <c r="A1104" s="344"/>
      <c r="B1104" s="548"/>
      <c r="C1104" s="548"/>
      <c r="D1104" s="344"/>
      <c r="E1104" s="344"/>
      <c r="F1104" s="549"/>
      <c r="G1104" s="545"/>
      <c r="H1104" s="545"/>
      <c r="I1104" s="344"/>
      <c r="J1104" s="344"/>
      <c r="K1104" s="344"/>
      <c r="L1104" s="344"/>
      <c r="M1104" s="344"/>
      <c r="N1104" s="344"/>
      <c r="O1104" s="344"/>
      <c r="P1104" s="344"/>
      <c r="Q1104" s="344"/>
      <c r="R1104" s="344"/>
      <c r="S1104" s="344"/>
      <c r="T1104" s="344"/>
      <c r="U1104" s="344"/>
      <c r="V1104" s="344"/>
      <c r="W1104" s="344"/>
      <c r="X1104" s="344"/>
      <c r="Y1104" s="344"/>
      <c r="Z1104" s="344"/>
      <c r="AA1104" s="344"/>
      <c r="AB1104" s="344"/>
      <c r="AC1104" s="344"/>
      <c r="AD1104" s="344"/>
    </row>
    <row r="1105">
      <c r="A1105" s="344"/>
      <c r="B1105" s="548"/>
      <c r="C1105" s="548"/>
      <c r="D1105" s="344"/>
      <c r="E1105" s="344"/>
      <c r="F1105" s="549"/>
      <c r="G1105" s="545"/>
      <c r="H1105" s="545"/>
      <c r="I1105" s="344"/>
      <c r="J1105" s="344"/>
      <c r="K1105" s="344"/>
      <c r="L1105" s="344"/>
      <c r="M1105" s="344"/>
      <c r="N1105" s="344"/>
      <c r="O1105" s="344"/>
      <c r="P1105" s="344"/>
      <c r="Q1105" s="344"/>
      <c r="R1105" s="344"/>
      <c r="S1105" s="344"/>
      <c r="T1105" s="344"/>
      <c r="U1105" s="344"/>
      <c r="V1105" s="344"/>
      <c r="W1105" s="344"/>
      <c r="X1105" s="344"/>
      <c r="Y1105" s="344"/>
      <c r="Z1105" s="344"/>
      <c r="AA1105" s="344"/>
      <c r="AB1105" s="344"/>
      <c r="AC1105" s="344"/>
      <c r="AD1105" s="344"/>
    </row>
    <row r="1106">
      <c r="A1106" s="344"/>
      <c r="B1106" s="548"/>
      <c r="C1106" s="548"/>
      <c r="D1106" s="344"/>
      <c r="E1106" s="344"/>
      <c r="F1106" s="549"/>
      <c r="G1106" s="545"/>
      <c r="H1106" s="545"/>
      <c r="I1106" s="344"/>
      <c r="J1106" s="344"/>
      <c r="K1106" s="344"/>
      <c r="L1106" s="344"/>
      <c r="M1106" s="344"/>
      <c r="N1106" s="344"/>
      <c r="O1106" s="344"/>
      <c r="P1106" s="344"/>
      <c r="Q1106" s="344"/>
      <c r="R1106" s="344"/>
      <c r="S1106" s="344"/>
      <c r="T1106" s="344"/>
      <c r="U1106" s="344"/>
      <c r="V1106" s="344"/>
      <c r="W1106" s="344"/>
      <c r="X1106" s="344"/>
      <c r="Y1106" s="344"/>
      <c r="Z1106" s="344"/>
      <c r="AA1106" s="344"/>
      <c r="AB1106" s="344"/>
      <c r="AC1106" s="344"/>
      <c r="AD1106" s="344"/>
    </row>
    <row r="1107">
      <c r="A1107" s="344"/>
      <c r="B1107" s="548"/>
      <c r="C1107" s="548"/>
      <c r="D1107" s="344"/>
      <c r="E1107" s="344"/>
      <c r="F1107" s="549"/>
      <c r="G1107" s="545"/>
      <c r="H1107" s="545"/>
      <c r="I1107" s="344"/>
      <c r="J1107" s="344"/>
      <c r="K1107" s="344"/>
      <c r="L1107" s="344"/>
      <c r="M1107" s="344"/>
      <c r="N1107" s="344"/>
      <c r="O1107" s="344"/>
      <c r="P1107" s="344"/>
      <c r="Q1107" s="344"/>
      <c r="R1107" s="344"/>
      <c r="S1107" s="344"/>
      <c r="T1107" s="344"/>
      <c r="U1107" s="344"/>
      <c r="V1107" s="344"/>
      <c r="W1107" s="344"/>
      <c r="X1107" s="344"/>
      <c r="Y1107" s="344"/>
      <c r="Z1107" s="344"/>
      <c r="AA1107" s="344"/>
      <c r="AB1107" s="344"/>
      <c r="AC1107" s="344"/>
      <c r="AD1107" s="344"/>
    </row>
    <row r="1108">
      <c r="A1108" s="344"/>
      <c r="B1108" s="548"/>
      <c r="C1108" s="548"/>
      <c r="D1108" s="344"/>
      <c r="E1108" s="344"/>
      <c r="F1108" s="549"/>
      <c r="G1108" s="545"/>
      <c r="H1108" s="545"/>
      <c r="I1108" s="344"/>
      <c r="J1108" s="344"/>
      <c r="K1108" s="344"/>
      <c r="L1108" s="344"/>
      <c r="M1108" s="344"/>
      <c r="N1108" s="344"/>
      <c r="O1108" s="344"/>
      <c r="P1108" s="344"/>
      <c r="Q1108" s="344"/>
      <c r="R1108" s="344"/>
      <c r="S1108" s="344"/>
      <c r="T1108" s="344"/>
      <c r="U1108" s="344"/>
      <c r="V1108" s="344"/>
      <c r="W1108" s="344"/>
      <c r="X1108" s="344"/>
      <c r="Y1108" s="344"/>
      <c r="Z1108" s="344"/>
      <c r="AA1108" s="344"/>
      <c r="AB1108" s="344"/>
      <c r="AC1108" s="344"/>
      <c r="AD1108" s="344"/>
    </row>
    <row r="1109">
      <c r="A1109" s="344"/>
      <c r="B1109" s="548"/>
      <c r="C1109" s="548"/>
      <c r="D1109" s="344"/>
      <c r="E1109" s="344"/>
      <c r="F1109" s="549"/>
      <c r="G1109" s="545"/>
      <c r="H1109" s="545"/>
      <c r="I1109" s="344"/>
      <c r="J1109" s="344"/>
      <c r="K1109" s="344"/>
      <c r="L1109" s="344"/>
      <c r="M1109" s="344"/>
      <c r="N1109" s="344"/>
      <c r="O1109" s="344"/>
      <c r="P1109" s="344"/>
      <c r="Q1109" s="344"/>
      <c r="R1109" s="344"/>
      <c r="S1109" s="344"/>
      <c r="T1109" s="344"/>
      <c r="U1109" s="344"/>
      <c r="V1109" s="344"/>
      <c r="W1109" s="344"/>
      <c r="X1109" s="344"/>
      <c r="Y1109" s="344"/>
      <c r="Z1109" s="344"/>
      <c r="AA1109" s="344"/>
      <c r="AB1109" s="344"/>
      <c r="AC1109" s="344"/>
      <c r="AD1109" s="344"/>
    </row>
    <row r="1110">
      <c r="A1110" s="344"/>
      <c r="B1110" s="548"/>
      <c r="C1110" s="548"/>
      <c r="D1110" s="344"/>
      <c r="E1110" s="344"/>
      <c r="F1110" s="549"/>
      <c r="G1110" s="545"/>
      <c r="H1110" s="545"/>
      <c r="I1110" s="344"/>
      <c r="J1110" s="344"/>
      <c r="K1110" s="344"/>
      <c r="L1110" s="344"/>
      <c r="M1110" s="344"/>
      <c r="N1110" s="344"/>
      <c r="O1110" s="344"/>
      <c r="P1110" s="344"/>
      <c r="Q1110" s="344"/>
      <c r="R1110" s="344"/>
      <c r="S1110" s="344"/>
      <c r="T1110" s="344"/>
      <c r="U1110" s="344"/>
      <c r="V1110" s="344"/>
      <c r="W1110" s="344"/>
      <c r="X1110" s="344"/>
      <c r="Y1110" s="344"/>
      <c r="Z1110" s="344"/>
      <c r="AA1110" s="344"/>
      <c r="AB1110" s="344"/>
      <c r="AC1110" s="344"/>
      <c r="AD1110" s="344"/>
    </row>
    <row r="1111">
      <c r="A1111" s="344"/>
      <c r="B1111" s="548"/>
      <c r="C1111" s="548"/>
      <c r="D1111" s="344"/>
      <c r="E1111" s="344"/>
      <c r="F1111" s="549"/>
      <c r="G1111" s="545"/>
      <c r="H1111" s="545"/>
      <c r="I1111" s="344"/>
      <c r="J1111" s="344"/>
      <c r="K1111" s="344"/>
      <c r="L1111" s="344"/>
      <c r="M1111" s="344"/>
      <c r="N1111" s="344"/>
      <c r="O1111" s="344"/>
      <c r="P1111" s="344"/>
      <c r="Q1111" s="344"/>
      <c r="R1111" s="344"/>
      <c r="S1111" s="344"/>
      <c r="T1111" s="344"/>
      <c r="U1111" s="344"/>
      <c r="V1111" s="344"/>
      <c r="W1111" s="344"/>
      <c r="X1111" s="344"/>
      <c r="Y1111" s="344"/>
      <c r="Z1111" s="344"/>
      <c r="AA1111" s="344"/>
      <c r="AB1111" s="344"/>
      <c r="AC1111" s="344"/>
      <c r="AD1111" s="344"/>
    </row>
    <row r="1112">
      <c r="A1112" s="344"/>
      <c r="B1112" s="548"/>
      <c r="C1112" s="548"/>
      <c r="D1112" s="344"/>
      <c r="E1112" s="344"/>
      <c r="F1112" s="549"/>
      <c r="G1112" s="545"/>
      <c r="H1112" s="545"/>
      <c r="I1112" s="344"/>
      <c r="J1112" s="344"/>
      <c r="K1112" s="344"/>
      <c r="L1112" s="344"/>
      <c r="M1112" s="344"/>
      <c r="N1112" s="344"/>
      <c r="O1112" s="344"/>
      <c r="P1112" s="344"/>
      <c r="Q1112" s="344"/>
      <c r="R1112" s="344"/>
      <c r="S1112" s="344"/>
      <c r="T1112" s="344"/>
      <c r="U1112" s="344"/>
      <c r="V1112" s="344"/>
      <c r="W1112" s="344"/>
      <c r="X1112" s="344"/>
      <c r="Y1112" s="344"/>
      <c r="Z1112" s="344"/>
      <c r="AA1112" s="344"/>
      <c r="AB1112" s="344"/>
      <c r="AC1112" s="344"/>
      <c r="AD1112" s="344"/>
    </row>
    <row r="1113">
      <c r="A1113" s="344"/>
      <c r="B1113" s="548"/>
      <c r="C1113" s="548"/>
      <c r="D1113" s="344"/>
      <c r="E1113" s="344"/>
      <c r="F1113" s="549"/>
      <c r="G1113" s="545"/>
      <c r="H1113" s="545"/>
      <c r="I1113" s="344"/>
      <c r="J1113" s="344"/>
      <c r="K1113" s="344"/>
      <c r="L1113" s="344"/>
      <c r="M1113" s="344"/>
      <c r="N1113" s="344"/>
      <c r="O1113" s="344"/>
      <c r="P1113" s="344"/>
      <c r="Q1113" s="344"/>
      <c r="R1113" s="344"/>
      <c r="S1113" s="344"/>
      <c r="T1113" s="344"/>
      <c r="U1113" s="344"/>
      <c r="V1113" s="344"/>
      <c r="W1113" s="344"/>
      <c r="X1113" s="344"/>
      <c r="Y1113" s="344"/>
      <c r="Z1113" s="344"/>
      <c r="AA1113" s="344"/>
      <c r="AB1113" s="344"/>
      <c r="AC1113" s="344"/>
      <c r="AD1113" s="344"/>
    </row>
    <row r="1114">
      <c r="A1114" s="344"/>
      <c r="B1114" s="548"/>
      <c r="C1114" s="548"/>
      <c r="D1114" s="344"/>
      <c r="E1114" s="344"/>
      <c r="F1114" s="549"/>
      <c r="G1114" s="545"/>
      <c r="H1114" s="545"/>
      <c r="I1114" s="344"/>
      <c r="J1114" s="344"/>
      <c r="K1114" s="344"/>
      <c r="L1114" s="344"/>
      <c r="M1114" s="344"/>
      <c r="N1114" s="344"/>
      <c r="O1114" s="344"/>
      <c r="P1114" s="344"/>
      <c r="Q1114" s="344"/>
      <c r="R1114" s="344"/>
      <c r="S1114" s="344"/>
      <c r="T1114" s="344"/>
      <c r="U1114" s="344"/>
      <c r="V1114" s="344"/>
      <c r="W1114" s="344"/>
      <c r="X1114" s="344"/>
      <c r="Y1114" s="344"/>
      <c r="Z1114" s="344"/>
      <c r="AA1114" s="344"/>
      <c r="AB1114" s="344"/>
      <c r="AC1114" s="344"/>
      <c r="AD1114" s="344"/>
    </row>
    <row r="1115">
      <c r="A1115" s="344"/>
      <c r="B1115" s="548"/>
      <c r="C1115" s="548"/>
      <c r="D1115" s="344"/>
      <c r="E1115" s="344"/>
      <c r="F1115" s="549"/>
      <c r="G1115" s="545"/>
      <c r="H1115" s="545"/>
      <c r="I1115" s="344"/>
      <c r="J1115" s="344"/>
      <c r="K1115" s="344"/>
      <c r="L1115" s="344"/>
      <c r="M1115" s="344"/>
      <c r="N1115" s="344"/>
      <c r="O1115" s="344"/>
      <c r="P1115" s="344"/>
      <c r="Q1115" s="344"/>
      <c r="R1115" s="344"/>
      <c r="S1115" s="344"/>
      <c r="T1115" s="344"/>
      <c r="U1115" s="344"/>
      <c r="V1115" s="344"/>
      <c r="W1115" s="344"/>
      <c r="X1115" s="344"/>
      <c r="Y1115" s="344"/>
      <c r="Z1115" s="344"/>
      <c r="AA1115" s="344"/>
      <c r="AB1115" s="344"/>
      <c r="AC1115" s="344"/>
      <c r="AD1115" s="344"/>
    </row>
    <row r="1116">
      <c r="A1116" s="344"/>
      <c r="B1116" s="548"/>
      <c r="C1116" s="548"/>
      <c r="D1116" s="344"/>
      <c r="E1116" s="344"/>
      <c r="F1116" s="549"/>
      <c r="G1116" s="545"/>
      <c r="H1116" s="545"/>
      <c r="I1116" s="344"/>
      <c r="J1116" s="344"/>
      <c r="K1116" s="344"/>
      <c r="L1116" s="344"/>
      <c r="M1116" s="344"/>
      <c r="N1116" s="344"/>
      <c r="O1116" s="344"/>
      <c r="P1116" s="344"/>
      <c r="Q1116" s="344"/>
      <c r="R1116" s="344"/>
      <c r="S1116" s="344"/>
      <c r="T1116" s="344"/>
      <c r="U1116" s="344"/>
      <c r="V1116" s="344"/>
      <c r="W1116" s="344"/>
      <c r="X1116" s="344"/>
      <c r="Y1116" s="344"/>
      <c r="Z1116" s="344"/>
      <c r="AA1116" s="344"/>
      <c r="AB1116" s="344"/>
      <c r="AC1116" s="344"/>
      <c r="AD1116" s="344"/>
    </row>
    <row r="1117">
      <c r="A1117" s="344"/>
      <c r="B1117" s="548"/>
      <c r="C1117" s="548"/>
      <c r="D1117" s="344"/>
      <c r="E1117" s="344"/>
      <c r="F1117" s="549"/>
      <c r="G1117" s="545"/>
      <c r="H1117" s="545"/>
      <c r="I1117" s="344"/>
      <c r="J1117" s="344"/>
      <c r="K1117" s="344"/>
      <c r="L1117" s="344"/>
      <c r="M1117" s="344"/>
      <c r="N1117" s="344"/>
      <c r="O1117" s="344"/>
      <c r="P1117" s="344"/>
      <c r="Q1117" s="344"/>
      <c r="R1117" s="344"/>
      <c r="S1117" s="344"/>
      <c r="T1117" s="344"/>
      <c r="U1117" s="344"/>
      <c r="V1117" s="344"/>
      <c r="W1117" s="344"/>
      <c r="X1117" s="344"/>
      <c r="Y1117" s="344"/>
      <c r="Z1117" s="344"/>
      <c r="AA1117" s="344"/>
      <c r="AB1117" s="344"/>
      <c r="AC1117" s="344"/>
      <c r="AD1117" s="344"/>
    </row>
    <row r="1118">
      <c r="A1118" s="344"/>
      <c r="B1118" s="548"/>
      <c r="C1118" s="548"/>
      <c r="D1118" s="344"/>
      <c r="E1118" s="344"/>
      <c r="F1118" s="549"/>
      <c r="G1118" s="545"/>
      <c r="H1118" s="545"/>
      <c r="I1118" s="344"/>
      <c r="J1118" s="344"/>
      <c r="K1118" s="344"/>
      <c r="L1118" s="344"/>
      <c r="M1118" s="344"/>
      <c r="N1118" s="344"/>
      <c r="O1118" s="344"/>
      <c r="P1118" s="344"/>
      <c r="Q1118" s="344"/>
      <c r="R1118" s="344"/>
      <c r="S1118" s="344"/>
      <c r="T1118" s="344"/>
      <c r="U1118" s="344"/>
      <c r="V1118" s="344"/>
      <c r="W1118" s="344"/>
      <c r="X1118" s="344"/>
      <c r="Y1118" s="344"/>
      <c r="Z1118" s="344"/>
      <c r="AA1118" s="344"/>
      <c r="AB1118" s="344"/>
      <c r="AC1118" s="344"/>
      <c r="AD1118" s="344"/>
    </row>
    <row r="1119">
      <c r="A1119" s="344"/>
      <c r="B1119" s="548"/>
      <c r="C1119" s="548"/>
      <c r="D1119" s="344"/>
      <c r="E1119" s="344"/>
      <c r="F1119" s="549"/>
      <c r="G1119" s="545"/>
      <c r="H1119" s="545"/>
      <c r="I1119" s="344"/>
      <c r="J1119" s="344"/>
      <c r="K1119" s="344"/>
      <c r="L1119" s="344"/>
      <c r="M1119" s="344"/>
      <c r="N1119" s="344"/>
      <c r="O1119" s="344"/>
      <c r="P1119" s="344"/>
      <c r="Q1119" s="344"/>
      <c r="R1119" s="344"/>
      <c r="S1119" s="344"/>
      <c r="T1119" s="344"/>
      <c r="U1119" s="344"/>
      <c r="V1119" s="344"/>
      <c r="W1119" s="344"/>
      <c r="X1119" s="344"/>
      <c r="Y1119" s="344"/>
      <c r="Z1119" s="344"/>
      <c r="AA1119" s="344"/>
      <c r="AB1119" s="344"/>
      <c r="AC1119" s="344"/>
      <c r="AD1119" s="344"/>
    </row>
    <row r="1120">
      <c r="A1120" s="344"/>
      <c r="B1120" s="548"/>
      <c r="C1120" s="548"/>
      <c r="D1120" s="344"/>
      <c r="E1120" s="344"/>
      <c r="F1120" s="549"/>
      <c r="G1120" s="545"/>
      <c r="H1120" s="545"/>
      <c r="I1120" s="344"/>
      <c r="J1120" s="344"/>
      <c r="K1120" s="344"/>
      <c r="L1120" s="344"/>
      <c r="M1120" s="344"/>
      <c r="N1120" s="344"/>
      <c r="O1120" s="344"/>
      <c r="P1120" s="344"/>
      <c r="Q1120" s="344"/>
      <c r="R1120" s="344"/>
      <c r="S1120" s="344"/>
      <c r="T1120" s="344"/>
      <c r="U1120" s="344"/>
      <c r="V1120" s="344"/>
      <c r="W1120" s="344"/>
      <c r="X1120" s="344"/>
      <c r="Y1120" s="344"/>
      <c r="Z1120" s="344"/>
      <c r="AA1120" s="344"/>
      <c r="AB1120" s="344"/>
      <c r="AC1120" s="344"/>
      <c r="AD1120" s="344"/>
    </row>
    <row r="1121">
      <c r="A1121" s="344"/>
      <c r="B1121" s="548"/>
      <c r="C1121" s="548"/>
      <c r="D1121" s="344"/>
      <c r="E1121" s="344"/>
      <c r="F1121" s="549"/>
      <c r="G1121" s="545"/>
      <c r="H1121" s="545"/>
      <c r="I1121" s="344"/>
      <c r="J1121" s="344"/>
      <c r="K1121" s="344"/>
      <c r="L1121" s="344"/>
      <c r="M1121" s="344"/>
      <c r="N1121" s="344"/>
      <c r="O1121" s="344"/>
      <c r="P1121" s="344"/>
      <c r="Q1121" s="344"/>
      <c r="R1121" s="344"/>
      <c r="S1121" s="344"/>
      <c r="T1121" s="344"/>
      <c r="U1121" s="344"/>
      <c r="V1121" s="344"/>
      <c r="W1121" s="344"/>
      <c r="X1121" s="344"/>
      <c r="Y1121" s="344"/>
      <c r="Z1121" s="344"/>
      <c r="AA1121" s="344"/>
      <c r="AB1121" s="344"/>
      <c r="AC1121" s="344"/>
      <c r="AD1121" s="344"/>
    </row>
    <row r="1122">
      <c r="A1122" s="344"/>
      <c r="B1122" s="548"/>
      <c r="C1122" s="548"/>
      <c r="D1122" s="344"/>
      <c r="E1122" s="344"/>
      <c r="F1122" s="549"/>
      <c r="G1122" s="545"/>
      <c r="H1122" s="545"/>
      <c r="I1122" s="344"/>
      <c r="J1122" s="344"/>
      <c r="K1122" s="344"/>
      <c r="L1122" s="344"/>
      <c r="M1122" s="344"/>
      <c r="N1122" s="344"/>
      <c r="O1122" s="344"/>
      <c r="P1122" s="344"/>
      <c r="Q1122" s="344"/>
      <c r="R1122" s="344"/>
      <c r="S1122" s="344"/>
      <c r="T1122" s="344"/>
      <c r="U1122" s="344"/>
      <c r="V1122" s="344"/>
      <c r="W1122" s="344"/>
      <c r="X1122" s="344"/>
      <c r="Y1122" s="344"/>
      <c r="Z1122" s="344"/>
      <c r="AA1122" s="344"/>
      <c r="AB1122" s="344"/>
      <c r="AC1122" s="344"/>
      <c r="AD1122" s="344"/>
    </row>
    <row r="1123">
      <c r="A1123" s="344"/>
      <c r="B1123" s="548"/>
      <c r="C1123" s="548"/>
      <c r="D1123" s="344"/>
      <c r="E1123" s="344"/>
      <c r="F1123" s="549"/>
      <c r="G1123" s="545"/>
      <c r="H1123" s="545"/>
      <c r="I1123" s="344"/>
      <c r="J1123" s="344"/>
      <c r="K1123" s="344"/>
      <c r="L1123" s="344"/>
      <c r="M1123" s="344"/>
      <c r="N1123" s="344"/>
      <c r="O1123" s="344"/>
      <c r="P1123" s="344"/>
      <c r="Q1123" s="344"/>
      <c r="R1123" s="344"/>
      <c r="S1123" s="344"/>
      <c r="T1123" s="344"/>
      <c r="U1123" s="344"/>
      <c r="V1123" s="344"/>
      <c r="W1123" s="344"/>
      <c r="X1123" s="344"/>
      <c r="Y1123" s="344"/>
      <c r="Z1123" s="344"/>
      <c r="AA1123" s="344"/>
      <c r="AB1123" s="344"/>
      <c r="AC1123" s="344"/>
      <c r="AD1123" s="344"/>
    </row>
    <row r="1124">
      <c r="A1124" s="344"/>
      <c r="B1124" s="548"/>
      <c r="C1124" s="548"/>
      <c r="D1124" s="344"/>
      <c r="E1124" s="344"/>
      <c r="F1124" s="549"/>
      <c r="G1124" s="545"/>
      <c r="H1124" s="545"/>
      <c r="I1124" s="344"/>
      <c r="J1124" s="344"/>
      <c r="K1124" s="344"/>
      <c r="L1124" s="344"/>
      <c r="M1124" s="344"/>
      <c r="N1124" s="344"/>
      <c r="O1124" s="344"/>
      <c r="P1124" s="344"/>
      <c r="Q1124" s="344"/>
      <c r="R1124" s="344"/>
      <c r="S1124" s="344"/>
      <c r="T1124" s="344"/>
      <c r="U1124" s="344"/>
      <c r="V1124" s="344"/>
      <c r="W1124" s="344"/>
      <c r="X1124" s="344"/>
      <c r="Y1124" s="344"/>
      <c r="Z1124" s="344"/>
      <c r="AA1124" s="344"/>
      <c r="AB1124" s="344"/>
      <c r="AC1124" s="344"/>
      <c r="AD1124" s="344"/>
    </row>
    <row r="1125">
      <c r="A1125" s="344"/>
      <c r="B1125" s="548"/>
      <c r="C1125" s="548"/>
      <c r="D1125" s="344"/>
      <c r="E1125" s="344"/>
      <c r="F1125" s="549"/>
      <c r="G1125" s="545"/>
      <c r="H1125" s="545"/>
      <c r="I1125" s="344"/>
      <c r="J1125" s="344"/>
      <c r="K1125" s="344"/>
      <c r="L1125" s="344"/>
      <c r="M1125" s="344"/>
      <c r="N1125" s="344"/>
      <c r="O1125" s="344"/>
      <c r="P1125" s="344"/>
      <c r="Q1125" s="344"/>
      <c r="R1125" s="344"/>
      <c r="S1125" s="344"/>
      <c r="T1125" s="344"/>
      <c r="U1125" s="344"/>
      <c r="V1125" s="344"/>
      <c r="W1125" s="344"/>
      <c r="X1125" s="344"/>
      <c r="Y1125" s="344"/>
      <c r="Z1125" s="344"/>
      <c r="AA1125" s="344"/>
      <c r="AB1125" s="344"/>
      <c r="AC1125" s="344"/>
      <c r="AD1125" s="344"/>
    </row>
    <row r="1126">
      <c r="A1126" s="344"/>
      <c r="B1126" s="548"/>
      <c r="C1126" s="548"/>
      <c r="D1126" s="344"/>
      <c r="E1126" s="344"/>
      <c r="F1126" s="549"/>
      <c r="G1126" s="545"/>
      <c r="H1126" s="545"/>
      <c r="I1126" s="344"/>
      <c r="J1126" s="344"/>
      <c r="K1126" s="344"/>
      <c r="L1126" s="344"/>
      <c r="M1126" s="344"/>
      <c r="N1126" s="344"/>
      <c r="O1126" s="344"/>
      <c r="P1126" s="344"/>
      <c r="Q1126" s="344"/>
      <c r="R1126" s="344"/>
      <c r="S1126" s="344"/>
      <c r="T1126" s="344"/>
      <c r="U1126" s="344"/>
      <c r="V1126" s="344"/>
      <c r="W1126" s="344"/>
      <c r="X1126" s="344"/>
      <c r="Y1126" s="344"/>
      <c r="Z1126" s="344"/>
      <c r="AA1126" s="344"/>
      <c r="AB1126" s="344"/>
      <c r="AC1126" s="344"/>
      <c r="AD1126" s="344"/>
    </row>
    <row r="1127">
      <c r="A1127" s="344"/>
      <c r="B1127" s="548"/>
      <c r="C1127" s="548"/>
      <c r="D1127" s="344"/>
      <c r="E1127" s="344"/>
      <c r="F1127" s="549"/>
      <c r="G1127" s="545"/>
      <c r="H1127" s="545"/>
      <c r="I1127" s="344"/>
      <c r="J1127" s="344"/>
      <c r="K1127" s="344"/>
      <c r="L1127" s="344"/>
      <c r="M1127" s="344"/>
      <c r="N1127" s="344"/>
      <c r="O1127" s="344"/>
      <c r="P1127" s="344"/>
      <c r="Q1127" s="344"/>
      <c r="R1127" s="344"/>
      <c r="S1127" s="344"/>
      <c r="T1127" s="344"/>
      <c r="U1127" s="344"/>
      <c r="V1127" s="344"/>
      <c r="W1127" s="344"/>
      <c r="X1127" s="344"/>
      <c r="Y1127" s="344"/>
      <c r="Z1127" s="344"/>
      <c r="AA1127" s="344"/>
      <c r="AB1127" s="344"/>
      <c r="AC1127" s="344"/>
      <c r="AD1127" s="344"/>
    </row>
    <row r="1128">
      <c r="A1128" s="344"/>
      <c r="B1128" s="548"/>
      <c r="C1128" s="548"/>
      <c r="D1128" s="344"/>
      <c r="E1128" s="344"/>
      <c r="F1128" s="549"/>
      <c r="G1128" s="545"/>
      <c r="H1128" s="545"/>
      <c r="I1128" s="344"/>
      <c r="J1128" s="344"/>
      <c r="K1128" s="344"/>
      <c r="L1128" s="344"/>
      <c r="M1128" s="344"/>
      <c r="N1128" s="344"/>
      <c r="O1128" s="344"/>
      <c r="P1128" s="344"/>
      <c r="Q1128" s="344"/>
      <c r="R1128" s="344"/>
      <c r="S1128" s="344"/>
      <c r="T1128" s="344"/>
      <c r="U1128" s="344"/>
      <c r="V1128" s="344"/>
      <c r="W1128" s="344"/>
      <c r="X1128" s="344"/>
      <c r="Y1128" s="344"/>
      <c r="Z1128" s="344"/>
      <c r="AA1128" s="344"/>
      <c r="AB1128" s="344"/>
      <c r="AC1128" s="344"/>
      <c r="AD1128" s="344"/>
    </row>
    <row r="1129">
      <c r="A1129" s="344"/>
      <c r="B1129" s="548"/>
      <c r="C1129" s="548"/>
      <c r="D1129" s="344"/>
      <c r="E1129" s="344"/>
      <c r="F1129" s="549"/>
      <c r="G1129" s="545"/>
      <c r="H1129" s="545"/>
      <c r="I1129" s="344"/>
      <c r="J1129" s="344"/>
      <c r="K1129" s="344"/>
      <c r="L1129" s="344"/>
      <c r="M1129" s="344"/>
      <c r="N1129" s="344"/>
      <c r="O1129" s="344"/>
      <c r="P1129" s="344"/>
      <c r="Q1129" s="344"/>
      <c r="R1129" s="344"/>
      <c r="S1129" s="344"/>
      <c r="T1129" s="344"/>
      <c r="U1129" s="344"/>
      <c r="V1129" s="344"/>
      <c r="W1129" s="344"/>
      <c r="X1129" s="344"/>
      <c r="Y1129" s="344"/>
      <c r="Z1129" s="344"/>
      <c r="AA1129" s="344"/>
      <c r="AB1129" s="344"/>
      <c r="AC1129" s="344"/>
      <c r="AD1129" s="344"/>
    </row>
    <row r="1130">
      <c r="A1130" s="344"/>
      <c r="B1130" s="548"/>
      <c r="C1130" s="548"/>
      <c r="D1130" s="344"/>
      <c r="E1130" s="344"/>
      <c r="F1130" s="549"/>
      <c r="G1130" s="545"/>
      <c r="H1130" s="545"/>
      <c r="I1130" s="344"/>
      <c r="J1130" s="344"/>
      <c r="K1130" s="344"/>
      <c r="L1130" s="344"/>
      <c r="M1130" s="344"/>
      <c r="N1130" s="344"/>
      <c r="O1130" s="344"/>
      <c r="P1130" s="344"/>
      <c r="Q1130" s="344"/>
      <c r="R1130" s="344"/>
      <c r="S1130" s="344"/>
      <c r="T1130" s="344"/>
      <c r="U1130" s="344"/>
      <c r="V1130" s="344"/>
      <c r="W1130" s="344"/>
      <c r="X1130" s="344"/>
      <c r="Y1130" s="344"/>
      <c r="Z1130" s="344"/>
      <c r="AA1130" s="344"/>
      <c r="AB1130" s="344"/>
      <c r="AC1130" s="344"/>
      <c r="AD1130" s="344"/>
    </row>
    <row r="1131">
      <c r="A1131" s="344"/>
      <c r="B1131" s="548"/>
      <c r="C1131" s="548"/>
      <c r="D1131" s="344"/>
      <c r="E1131" s="344"/>
      <c r="F1131" s="549"/>
      <c r="G1131" s="545"/>
      <c r="H1131" s="545"/>
      <c r="I1131" s="344"/>
      <c r="J1131" s="344"/>
      <c r="K1131" s="344"/>
      <c r="L1131" s="344"/>
      <c r="M1131" s="344"/>
      <c r="N1131" s="344"/>
      <c r="O1131" s="344"/>
      <c r="P1131" s="344"/>
      <c r="Q1131" s="344"/>
      <c r="R1131" s="344"/>
      <c r="S1131" s="344"/>
      <c r="T1131" s="344"/>
      <c r="U1131" s="344"/>
      <c r="V1131" s="344"/>
      <c r="W1131" s="344"/>
      <c r="X1131" s="344"/>
      <c r="Y1131" s="344"/>
      <c r="Z1131" s="344"/>
      <c r="AA1131" s="344"/>
      <c r="AB1131" s="344"/>
      <c r="AC1131" s="344"/>
      <c r="AD1131" s="344"/>
    </row>
    <row r="1132">
      <c r="A1132" s="344"/>
      <c r="B1132" s="548"/>
      <c r="C1132" s="548"/>
      <c r="D1132" s="344"/>
      <c r="E1132" s="344"/>
      <c r="F1132" s="549"/>
      <c r="G1132" s="545"/>
      <c r="H1132" s="545"/>
      <c r="I1132" s="344"/>
      <c r="J1132" s="344"/>
      <c r="K1132" s="344"/>
      <c r="L1132" s="344"/>
      <c r="M1132" s="344"/>
      <c r="N1132" s="344"/>
      <c r="O1132" s="344"/>
      <c r="P1132" s="344"/>
      <c r="Q1132" s="344"/>
      <c r="R1132" s="344"/>
      <c r="S1132" s="344"/>
      <c r="T1132" s="344"/>
      <c r="U1132" s="344"/>
      <c r="V1132" s="344"/>
      <c r="W1132" s="344"/>
      <c r="X1132" s="344"/>
      <c r="Y1132" s="344"/>
      <c r="Z1132" s="344"/>
      <c r="AA1132" s="344"/>
      <c r="AB1132" s="344"/>
      <c r="AC1132" s="344"/>
      <c r="AD1132" s="344"/>
    </row>
    <row r="1133">
      <c r="A1133" s="344"/>
      <c r="B1133" s="548"/>
      <c r="C1133" s="548"/>
      <c r="D1133" s="344"/>
      <c r="E1133" s="344"/>
      <c r="F1133" s="549"/>
      <c r="G1133" s="545"/>
      <c r="H1133" s="545"/>
      <c r="I1133" s="344"/>
      <c r="J1133" s="344"/>
      <c r="K1133" s="344"/>
      <c r="L1133" s="344"/>
      <c r="M1133" s="344"/>
      <c r="N1133" s="344"/>
      <c r="O1133" s="344"/>
      <c r="P1133" s="344"/>
      <c r="Q1133" s="344"/>
      <c r="R1133" s="344"/>
      <c r="S1133" s="344"/>
      <c r="T1133" s="344"/>
      <c r="U1133" s="344"/>
      <c r="V1133" s="344"/>
      <c r="W1133" s="344"/>
      <c r="X1133" s="344"/>
      <c r="Y1133" s="344"/>
      <c r="Z1133" s="344"/>
      <c r="AA1133" s="344"/>
      <c r="AB1133" s="344"/>
      <c r="AC1133" s="344"/>
      <c r="AD1133" s="344"/>
    </row>
    <row r="1134">
      <c r="A1134" s="344"/>
      <c r="B1134" s="548"/>
      <c r="C1134" s="548"/>
      <c r="D1134" s="344"/>
      <c r="E1134" s="344"/>
      <c r="F1134" s="549"/>
      <c r="G1134" s="545"/>
      <c r="H1134" s="545"/>
      <c r="I1134" s="344"/>
      <c r="J1134" s="344"/>
      <c r="K1134" s="344"/>
      <c r="L1134" s="344"/>
      <c r="M1134" s="344"/>
      <c r="N1134" s="344"/>
      <c r="O1134" s="344"/>
      <c r="P1134" s="344"/>
      <c r="Q1134" s="344"/>
      <c r="R1134" s="344"/>
      <c r="S1134" s="344"/>
      <c r="T1134" s="344"/>
      <c r="U1134" s="344"/>
      <c r="V1134" s="344"/>
      <c r="W1134" s="344"/>
      <c r="X1134" s="344"/>
      <c r="Y1134" s="344"/>
      <c r="Z1134" s="344"/>
      <c r="AA1134" s="344"/>
      <c r="AB1134" s="344"/>
      <c r="AC1134" s="344"/>
      <c r="AD1134" s="344"/>
    </row>
    <row r="1135">
      <c r="A1135" s="344"/>
      <c r="B1135" s="548"/>
      <c r="C1135" s="548"/>
      <c r="D1135" s="344"/>
      <c r="E1135" s="344"/>
      <c r="F1135" s="549"/>
      <c r="G1135" s="545"/>
      <c r="H1135" s="545"/>
      <c r="I1135" s="344"/>
      <c r="J1135" s="344"/>
      <c r="K1135" s="344"/>
      <c r="L1135" s="344"/>
      <c r="M1135" s="344"/>
      <c r="N1135" s="344"/>
      <c r="O1135" s="344"/>
      <c r="P1135" s="344"/>
      <c r="Q1135" s="344"/>
      <c r="R1135" s="344"/>
      <c r="S1135" s="344"/>
      <c r="T1135" s="344"/>
      <c r="U1135" s="344"/>
      <c r="V1135" s="344"/>
      <c r="W1135" s="344"/>
      <c r="X1135" s="344"/>
      <c r="Y1135" s="344"/>
      <c r="Z1135" s="344"/>
      <c r="AA1135" s="344"/>
      <c r="AB1135" s="344"/>
      <c r="AC1135" s="344"/>
      <c r="AD1135" s="344"/>
    </row>
    <row r="1136">
      <c r="A1136" s="344"/>
      <c r="B1136" s="548"/>
      <c r="C1136" s="548"/>
      <c r="D1136" s="344"/>
      <c r="E1136" s="344"/>
      <c r="F1136" s="549"/>
      <c r="G1136" s="545"/>
      <c r="H1136" s="545"/>
      <c r="I1136" s="344"/>
      <c r="J1136" s="344"/>
      <c r="K1136" s="344"/>
      <c r="L1136" s="344"/>
      <c r="M1136" s="344"/>
      <c r="N1136" s="344"/>
      <c r="O1136" s="344"/>
      <c r="P1136" s="344"/>
      <c r="Q1136" s="344"/>
      <c r="R1136" s="344"/>
      <c r="S1136" s="344"/>
      <c r="T1136" s="344"/>
      <c r="U1136" s="344"/>
      <c r="V1136" s="344"/>
      <c r="W1136" s="344"/>
      <c r="X1136" s="344"/>
      <c r="Y1136" s="344"/>
      <c r="Z1136" s="344"/>
      <c r="AA1136" s="344"/>
      <c r="AB1136" s="344"/>
      <c r="AC1136" s="344"/>
      <c r="AD1136" s="344"/>
    </row>
    <row r="1137">
      <c r="A1137" s="344"/>
      <c r="B1137" s="548"/>
      <c r="C1137" s="548"/>
      <c r="D1137" s="344"/>
      <c r="E1137" s="344"/>
      <c r="F1137" s="549"/>
      <c r="G1137" s="545"/>
      <c r="H1137" s="545"/>
      <c r="I1137" s="344"/>
      <c r="J1137" s="344"/>
      <c r="K1137" s="344"/>
      <c r="L1137" s="344"/>
      <c r="M1137" s="344"/>
      <c r="N1137" s="344"/>
      <c r="O1137" s="344"/>
      <c r="P1137" s="344"/>
      <c r="Q1137" s="344"/>
      <c r="R1137" s="344"/>
      <c r="S1137" s="344"/>
      <c r="T1137" s="344"/>
      <c r="U1137" s="344"/>
      <c r="V1137" s="344"/>
      <c r="W1137" s="344"/>
      <c r="X1137" s="344"/>
      <c r="Y1137" s="344"/>
      <c r="Z1137" s="344"/>
      <c r="AA1137" s="344"/>
      <c r="AB1137" s="344"/>
      <c r="AC1137" s="344"/>
      <c r="AD1137" s="344"/>
    </row>
    <row r="1138">
      <c r="A1138" s="344"/>
      <c r="B1138" s="548"/>
      <c r="C1138" s="548"/>
      <c r="D1138" s="344"/>
      <c r="E1138" s="344"/>
      <c r="F1138" s="549"/>
      <c r="G1138" s="545"/>
      <c r="H1138" s="545"/>
      <c r="I1138" s="344"/>
      <c r="J1138" s="344"/>
      <c r="K1138" s="344"/>
      <c r="L1138" s="344"/>
      <c r="M1138" s="344"/>
      <c r="N1138" s="344"/>
      <c r="O1138" s="344"/>
      <c r="P1138" s="344"/>
      <c r="Q1138" s="344"/>
      <c r="R1138" s="344"/>
      <c r="S1138" s="344"/>
      <c r="T1138" s="344"/>
      <c r="U1138" s="344"/>
      <c r="V1138" s="344"/>
      <c r="W1138" s="344"/>
      <c r="X1138" s="344"/>
      <c r="Y1138" s="344"/>
      <c r="Z1138" s="344"/>
      <c r="AA1138" s="344"/>
      <c r="AB1138" s="344"/>
      <c r="AC1138" s="344"/>
      <c r="AD1138" s="344"/>
    </row>
    <row r="1139">
      <c r="A1139" s="344"/>
      <c r="B1139" s="548"/>
      <c r="C1139" s="548"/>
      <c r="D1139" s="344"/>
      <c r="E1139" s="344"/>
      <c r="F1139" s="549"/>
      <c r="G1139" s="545"/>
      <c r="H1139" s="545"/>
      <c r="I1139" s="344"/>
      <c r="J1139" s="344"/>
      <c r="K1139" s="344"/>
      <c r="L1139" s="344"/>
      <c r="M1139" s="344"/>
      <c r="N1139" s="344"/>
      <c r="O1139" s="344"/>
      <c r="P1139" s="344"/>
      <c r="Q1139" s="344"/>
      <c r="R1139" s="344"/>
      <c r="S1139" s="344"/>
      <c r="T1139" s="344"/>
      <c r="U1139" s="344"/>
      <c r="V1139" s="344"/>
      <c r="W1139" s="344"/>
      <c r="X1139" s="344"/>
      <c r="Y1139" s="344"/>
      <c r="Z1139" s="344"/>
      <c r="AA1139" s="344"/>
      <c r="AB1139" s="344"/>
      <c r="AC1139" s="344"/>
      <c r="AD1139" s="344"/>
    </row>
    <row r="1140">
      <c r="A1140" s="344"/>
      <c r="B1140" s="548"/>
      <c r="C1140" s="548"/>
      <c r="D1140" s="344"/>
      <c r="E1140" s="344"/>
      <c r="F1140" s="549"/>
      <c r="G1140" s="545"/>
      <c r="H1140" s="545"/>
      <c r="I1140" s="344"/>
      <c r="J1140" s="344"/>
      <c r="K1140" s="344"/>
      <c r="L1140" s="344"/>
      <c r="M1140" s="344"/>
      <c r="N1140" s="344"/>
      <c r="O1140" s="344"/>
      <c r="P1140" s="344"/>
      <c r="Q1140" s="344"/>
      <c r="R1140" s="344"/>
      <c r="S1140" s="344"/>
      <c r="T1140" s="344"/>
      <c r="U1140" s="344"/>
      <c r="V1140" s="344"/>
      <c r="W1140" s="344"/>
      <c r="X1140" s="344"/>
      <c r="Y1140" s="344"/>
      <c r="Z1140" s="344"/>
      <c r="AA1140" s="344"/>
      <c r="AB1140" s="344"/>
      <c r="AC1140" s="344"/>
      <c r="AD1140" s="344"/>
    </row>
    <row r="1141">
      <c r="A1141" s="344"/>
      <c r="B1141" s="548"/>
      <c r="C1141" s="548"/>
      <c r="D1141" s="344"/>
      <c r="E1141" s="344"/>
      <c r="F1141" s="549"/>
      <c r="G1141" s="545"/>
      <c r="H1141" s="545"/>
      <c r="I1141" s="344"/>
      <c r="J1141" s="344"/>
      <c r="K1141" s="344"/>
      <c r="L1141" s="344"/>
      <c r="M1141" s="344"/>
      <c r="N1141" s="344"/>
      <c r="O1141" s="344"/>
      <c r="P1141" s="344"/>
      <c r="Q1141" s="344"/>
      <c r="R1141" s="344"/>
      <c r="S1141" s="344"/>
      <c r="T1141" s="344"/>
      <c r="U1141" s="344"/>
      <c r="V1141" s="344"/>
      <c r="W1141" s="344"/>
      <c r="X1141" s="344"/>
      <c r="Y1141" s="344"/>
      <c r="Z1141" s="344"/>
      <c r="AA1141" s="344"/>
      <c r="AB1141" s="344"/>
      <c r="AC1141" s="344"/>
      <c r="AD1141" s="344"/>
    </row>
    <row r="1142">
      <c r="A1142" s="344"/>
      <c r="B1142" s="548"/>
      <c r="C1142" s="548"/>
      <c r="D1142" s="344"/>
      <c r="E1142" s="344"/>
      <c r="F1142" s="549"/>
      <c r="G1142" s="545"/>
      <c r="H1142" s="545"/>
      <c r="I1142" s="344"/>
      <c r="J1142" s="344"/>
      <c r="K1142" s="344"/>
      <c r="L1142" s="344"/>
      <c r="M1142" s="344"/>
      <c r="N1142" s="344"/>
      <c r="O1142" s="344"/>
      <c r="P1142" s="344"/>
      <c r="Q1142" s="344"/>
      <c r="R1142" s="344"/>
      <c r="S1142" s="344"/>
      <c r="T1142" s="344"/>
      <c r="U1142" s="344"/>
      <c r="V1142" s="344"/>
      <c r="W1142" s="344"/>
      <c r="X1142" s="344"/>
      <c r="Y1142" s="344"/>
      <c r="Z1142" s="344"/>
      <c r="AA1142" s="344"/>
      <c r="AB1142" s="344"/>
      <c r="AC1142" s="344"/>
      <c r="AD1142" s="344"/>
    </row>
    <row r="1143">
      <c r="A1143" s="344"/>
      <c r="B1143" s="548"/>
      <c r="C1143" s="548"/>
      <c r="D1143" s="344"/>
      <c r="E1143" s="344"/>
      <c r="F1143" s="549"/>
      <c r="G1143" s="545"/>
      <c r="H1143" s="545"/>
      <c r="I1143" s="344"/>
      <c r="J1143" s="344"/>
      <c r="K1143" s="344"/>
      <c r="L1143" s="344"/>
      <c r="M1143" s="344"/>
      <c r="N1143" s="344"/>
      <c r="O1143" s="344"/>
      <c r="P1143" s="344"/>
      <c r="Q1143" s="344"/>
      <c r="R1143" s="344"/>
      <c r="S1143" s="344"/>
      <c r="T1143" s="344"/>
      <c r="U1143" s="344"/>
      <c r="V1143" s="344"/>
      <c r="W1143" s="344"/>
      <c r="X1143" s="344"/>
      <c r="Y1143" s="344"/>
      <c r="Z1143" s="344"/>
      <c r="AA1143" s="344"/>
      <c r="AB1143" s="344"/>
      <c r="AC1143" s="344"/>
      <c r="AD1143" s="344"/>
    </row>
    <row r="1144">
      <c r="A1144" s="344"/>
      <c r="B1144" s="548"/>
      <c r="C1144" s="548"/>
      <c r="D1144" s="344"/>
      <c r="E1144" s="344"/>
      <c r="F1144" s="549"/>
      <c r="G1144" s="545"/>
      <c r="H1144" s="545"/>
      <c r="I1144" s="344"/>
      <c r="J1144" s="344"/>
      <c r="K1144" s="344"/>
      <c r="L1144" s="344"/>
      <c r="M1144" s="344"/>
      <c r="N1144" s="344"/>
      <c r="O1144" s="344"/>
      <c r="P1144" s="344"/>
      <c r="Q1144" s="344"/>
      <c r="R1144" s="344"/>
      <c r="S1144" s="344"/>
      <c r="T1144" s="344"/>
      <c r="U1144" s="344"/>
      <c r="V1144" s="344"/>
      <c r="W1144" s="344"/>
      <c r="X1144" s="344"/>
      <c r="Y1144" s="344"/>
      <c r="Z1144" s="344"/>
      <c r="AA1144" s="344"/>
      <c r="AB1144" s="344"/>
      <c r="AC1144" s="344"/>
      <c r="AD1144" s="344"/>
    </row>
    <row r="1145">
      <c r="A1145" s="344"/>
      <c r="B1145" s="548"/>
      <c r="C1145" s="548"/>
      <c r="D1145" s="344"/>
      <c r="E1145" s="344"/>
      <c r="F1145" s="549"/>
      <c r="G1145" s="545"/>
      <c r="H1145" s="545"/>
      <c r="I1145" s="344"/>
      <c r="J1145" s="344"/>
      <c r="K1145" s="344"/>
      <c r="L1145" s="344"/>
      <c r="M1145" s="344"/>
      <c r="N1145" s="344"/>
      <c r="O1145" s="344"/>
      <c r="P1145" s="344"/>
      <c r="Q1145" s="344"/>
      <c r="R1145" s="344"/>
      <c r="S1145" s="344"/>
      <c r="T1145" s="344"/>
      <c r="U1145" s="344"/>
      <c r="V1145" s="344"/>
      <c r="W1145" s="344"/>
      <c r="X1145" s="344"/>
      <c r="Y1145" s="344"/>
      <c r="Z1145" s="344"/>
      <c r="AA1145" s="344"/>
      <c r="AB1145" s="344"/>
      <c r="AC1145" s="344"/>
      <c r="AD1145" s="344"/>
    </row>
    <row r="1146">
      <c r="A1146" s="344"/>
      <c r="B1146" s="548"/>
      <c r="C1146" s="548"/>
      <c r="D1146" s="344"/>
      <c r="E1146" s="344"/>
      <c r="F1146" s="549"/>
      <c r="G1146" s="545"/>
      <c r="H1146" s="545"/>
      <c r="I1146" s="344"/>
      <c r="J1146" s="344"/>
      <c r="K1146" s="344"/>
      <c r="L1146" s="344"/>
      <c r="M1146" s="344"/>
      <c r="N1146" s="344"/>
      <c r="O1146" s="344"/>
      <c r="P1146" s="344"/>
      <c r="Q1146" s="344"/>
      <c r="R1146" s="344"/>
      <c r="S1146" s="344"/>
      <c r="T1146" s="344"/>
      <c r="U1146" s="344"/>
      <c r="V1146" s="344"/>
      <c r="W1146" s="344"/>
      <c r="X1146" s="344"/>
      <c r="Y1146" s="344"/>
      <c r="Z1146" s="344"/>
      <c r="AA1146" s="344"/>
      <c r="AB1146" s="344"/>
      <c r="AC1146" s="344"/>
      <c r="AD1146" s="344"/>
    </row>
    <row r="1147">
      <c r="A1147" s="344"/>
      <c r="B1147" s="548"/>
      <c r="C1147" s="548"/>
      <c r="D1147" s="344"/>
      <c r="E1147" s="344"/>
      <c r="F1147" s="549"/>
      <c r="G1147" s="545"/>
      <c r="H1147" s="545"/>
      <c r="I1147" s="344"/>
      <c r="J1147" s="344"/>
      <c r="K1147" s="344"/>
      <c r="L1147" s="344"/>
      <c r="M1147" s="344"/>
      <c r="N1147" s="344"/>
      <c r="O1147" s="344"/>
      <c r="P1147" s="344"/>
      <c r="Q1147" s="344"/>
      <c r="R1147" s="344"/>
      <c r="S1147" s="344"/>
      <c r="T1147" s="344"/>
      <c r="U1147" s="344"/>
      <c r="V1147" s="344"/>
      <c r="W1147" s="344"/>
      <c r="X1147" s="344"/>
      <c r="Y1147" s="344"/>
      <c r="Z1147" s="344"/>
      <c r="AA1147" s="344"/>
      <c r="AB1147" s="344"/>
      <c r="AC1147" s="344"/>
      <c r="AD1147" s="344"/>
    </row>
    <row r="1148">
      <c r="A1148" s="344"/>
      <c r="B1148" s="548"/>
      <c r="C1148" s="548"/>
      <c r="D1148" s="344"/>
      <c r="E1148" s="344"/>
      <c r="F1148" s="549"/>
      <c r="G1148" s="545"/>
      <c r="H1148" s="545"/>
      <c r="I1148" s="344"/>
      <c r="J1148" s="344"/>
      <c r="K1148" s="344"/>
      <c r="L1148" s="344"/>
      <c r="M1148" s="344"/>
      <c r="N1148" s="344"/>
      <c r="O1148" s="344"/>
      <c r="P1148" s="344"/>
      <c r="Q1148" s="344"/>
      <c r="R1148" s="344"/>
      <c r="S1148" s="344"/>
      <c r="T1148" s="344"/>
      <c r="U1148" s="344"/>
      <c r="V1148" s="344"/>
      <c r="W1148" s="344"/>
      <c r="X1148" s="344"/>
      <c r="Y1148" s="344"/>
      <c r="Z1148" s="344"/>
      <c r="AA1148" s="344"/>
      <c r="AB1148" s="344"/>
      <c r="AC1148" s="344"/>
      <c r="AD1148" s="344"/>
    </row>
    <row r="1149">
      <c r="A1149" s="344"/>
      <c r="B1149" s="548"/>
      <c r="C1149" s="548"/>
      <c r="D1149" s="344"/>
      <c r="E1149" s="344"/>
      <c r="F1149" s="549"/>
      <c r="G1149" s="545"/>
      <c r="H1149" s="545"/>
      <c r="I1149" s="344"/>
      <c r="J1149" s="344"/>
      <c r="K1149" s="344"/>
      <c r="L1149" s="344"/>
      <c r="M1149" s="344"/>
      <c r="N1149" s="344"/>
      <c r="O1149" s="344"/>
      <c r="P1149" s="344"/>
      <c r="Q1149" s="344"/>
      <c r="R1149" s="344"/>
      <c r="S1149" s="344"/>
      <c r="T1149" s="344"/>
      <c r="U1149" s="344"/>
      <c r="V1149" s="344"/>
      <c r="W1149" s="344"/>
      <c r="X1149" s="344"/>
      <c r="Y1149" s="344"/>
      <c r="Z1149" s="344"/>
      <c r="AA1149" s="344"/>
      <c r="AB1149" s="344"/>
      <c r="AC1149" s="344"/>
      <c r="AD1149" s="344"/>
    </row>
    <row r="1150">
      <c r="A1150" s="344"/>
      <c r="B1150" s="548"/>
      <c r="C1150" s="548"/>
      <c r="D1150" s="344"/>
      <c r="E1150" s="344"/>
      <c r="F1150" s="549"/>
      <c r="G1150" s="545"/>
      <c r="H1150" s="545"/>
      <c r="I1150" s="344"/>
      <c r="J1150" s="344"/>
      <c r="K1150" s="344"/>
      <c r="L1150" s="344"/>
      <c r="M1150" s="344"/>
      <c r="N1150" s="344"/>
      <c r="O1150" s="344"/>
      <c r="P1150" s="344"/>
      <c r="Q1150" s="344"/>
      <c r="R1150" s="344"/>
      <c r="S1150" s="344"/>
      <c r="T1150" s="344"/>
      <c r="U1150" s="344"/>
      <c r="V1150" s="344"/>
      <c r="W1150" s="344"/>
      <c r="X1150" s="344"/>
      <c r="Y1150" s="344"/>
      <c r="Z1150" s="344"/>
      <c r="AA1150" s="344"/>
      <c r="AB1150" s="344"/>
      <c r="AC1150" s="344"/>
      <c r="AD1150" s="344"/>
    </row>
    <row r="1151">
      <c r="A1151" s="344"/>
      <c r="B1151" s="548"/>
      <c r="C1151" s="548"/>
      <c r="D1151" s="344"/>
      <c r="E1151" s="344"/>
      <c r="F1151" s="549"/>
      <c r="G1151" s="545"/>
      <c r="H1151" s="545"/>
      <c r="I1151" s="344"/>
      <c r="J1151" s="344"/>
      <c r="K1151" s="344"/>
      <c r="L1151" s="344"/>
      <c r="M1151" s="344"/>
      <c r="N1151" s="344"/>
      <c r="O1151" s="344"/>
      <c r="P1151" s="344"/>
      <c r="Q1151" s="344"/>
      <c r="R1151" s="344"/>
      <c r="S1151" s="344"/>
      <c r="T1151" s="344"/>
      <c r="U1151" s="344"/>
      <c r="V1151" s="344"/>
      <c r="W1151" s="344"/>
      <c r="X1151" s="344"/>
      <c r="Y1151" s="344"/>
      <c r="Z1151" s="344"/>
      <c r="AA1151" s="344"/>
      <c r="AB1151" s="344"/>
      <c r="AC1151" s="344"/>
      <c r="AD1151" s="344"/>
    </row>
    <row r="1152">
      <c r="A1152" s="344"/>
      <c r="B1152" s="548"/>
      <c r="C1152" s="548"/>
      <c r="D1152" s="344"/>
      <c r="E1152" s="344"/>
      <c r="F1152" s="549"/>
      <c r="G1152" s="545"/>
      <c r="H1152" s="545"/>
      <c r="I1152" s="344"/>
      <c r="J1152" s="344"/>
      <c r="K1152" s="344"/>
      <c r="L1152" s="344"/>
      <c r="M1152" s="344"/>
      <c r="N1152" s="344"/>
      <c r="O1152" s="344"/>
      <c r="P1152" s="344"/>
      <c r="Q1152" s="344"/>
      <c r="R1152" s="344"/>
      <c r="S1152" s="344"/>
      <c r="T1152" s="344"/>
      <c r="U1152" s="344"/>
      <c r="V1152" s="344"/>
      <c r="W1152" s="344"/>
      <c r="X1152" s="344"/>
      <c r="Y1152" s="344"/>
      <c r="Z1152" s="344"/>
      <c r="AA1152" s="344"/>
      <c r="AB1152" s="344"/>
      <c r="AC1152" s="344"/>
      <c r="AD1152" s="344"/>
    </row>
    <row r="1153">
      <c r="A1153" s="344"/>
      <c r="B1153" s="548"/>
      <c r="C1153" s="548"/>
      <c r="D1153" s="344"/>
      <c r="E1153" s="344"/>
      <c r="F1153" s="549"/>
      <c r="G1153" s="545"/>
      <c r="H1153" s="545"/>
      <c r="I1153" s="344"/>
      <c r="J1153" s="344"/>
      <c r="K1153" s="344"/>
      <c r="L1153" s="344"/>
      <c r="M1153" s="344"/>
      <c r="N1153" s="344"/>
      <c r="O1153" s="344"/>
      <c r="P1153" s="344"/>
      <c r="Q1153" s="344"/>
      <c r="R1153" s="344"/>
      <c r="S1153" s="344"/>
      <c r="T1153" s="344"/>
      <c r="U1153" s="344"/>
      <c r="V1153" s="344"/>
      <c r="W1153" s="344"/>
      <c r="X1153" s="344"/>
      <c r="Y1153" s="344"/>
      <c r="Z1153" s="344"/>
      <c r="AA1153" s="344"/>
      <c r="AB1153" s="344"/>
      <c r="AC1153" s="344"/>
      <c r="AD1153" s="344"/>
    </row>
    <row r="1154">
      <c r="A1154" s="344"/>
      <c r="B1154" s="548"/>
      <c r="C1154" s="548"/>
      <c r="D1154" s="344"/>
      <c r="E1154" s="344"/>
      <c r="F1154" s="549"/>
      <c r="G1154" s="545"/>
      <c r="H1154" s="545"/>
      <c r="I1154" s="344"/>
      <c r="J1154" s="344"/>
      <c r="K1154" s="344"/>
      <c r="L1154" s="344"/>
      <c r="M1154" s="344"/>
      <c r="N1154" s="344"/>
      <c r="O1154" s="344"/>
      <c r="P1154" s="344"/>
      <c r="Q1154" s="344"/>
      <c r="R1154" s="344"/>
      <c r="S1154" s="344"/>
      <c r="T1154" s="344"/>
      <c r="U1154" s="344"/>
      <c r="V1154" s="344"/>
      <c r="W1154" s="344"/>
      <c r="X1154" s="344"/>
      <c r="Y1154" s="344"/>
      <c r="Z1154" s="344"/>
      <c r="AA1154" s="344"/>
      <c r="AB1154" s="344"/>
      <c r="AC1154" s="344"/>
      <c r="AD1154" s="344"/>
    </row>
    <row r="1155">
      <c r="A1155" s="344"/>
      <c r="B1155" s="548"/>
      <c r="C1155" s="548"/>
      <c r="D1155" s="344"/>
      <c r="E1155" s="344"/>
      <c r="F1155" s="549"/>
      <c r="G1155" s="545"/>
      <c r="H1155" s="545"/>
      <c r="I1155" s="344"/>
      <c r="J1155" s="344"/>
      <c r="K1155" s="344"/>
      <c r="L1155" s="344"/>
      <c r="M1155" s="344"/>
      <c r="N1155" s="344"/>
      <c r="O1155" s="344"/>
      <c r="P1155" s="344"/>
      <c r="Q1155" s="344"/>
      <c r="R1155" s="344"/>
      <c r="S1155" s="344"/>
      <c r="T1155" s="344"/>
      <c r="U1155" s="344"/>
      <c r="V1155" s="344"/>
      <c r="W1155" s="344"/>
      <c r="X1155" s="344"/>
      <c r="Y1155" s="344"/>
      <c r="Z1155" s="344"/>
      <c r="AA1155" s="344"/>
      <c r="AB1155" s="344"/>
      <c r="AC1155" s="344"/>
      <c r="AD1155" s="344"/>
    </row>
    <row r="1156">
      <c r="A1156" s="344"/>
      <c r="B1156" s="548"/>
      <c r="C1156" s="548"/>
      <c r="D1156" s="344"/>
      <c r="E1156" s="344"/>
      <c r="F1156" s="549"/>
      <c r="G1156" s="545"/>
      <c r="H1156" s="545"/>
      <c r="I1156" s="344"/>
      <c r="J1156" s="344"/>
      <c r="K1156" s="344"/>
      <c r="L1156" s="344"/>
      <c r="M1156" s="344"/>
      <c r="N1156" s="344"/>
      <c r="O1156" s="344"/>
      <c r="P1156" s="344"/>
      <c r="Q1156" s="344"/>
      <c r="R1156" s="344"/>
      <c r="S1156" s="344"/>
      <c r="T1156" s="344"/>
      <c r="U1156" s="344"/>
      <c r="V1156" s="344"/>
      <c r="W1156" s="344"/>
      <c r="X1156" s="344"/>
      <c r="Y1156" s="344"/>
      <c r="Z1156" s="344"/>
      <c r="AA1156" s="344"/>
      <c r="AB1156" s="344"/>
      <c r="AC1156" s="344"/>
      <c r="AD1156" s="344"/>
    </row>
    <row r="1157">
      <c r="A1157" s="344"/>
      <c r="B1157" s="548"/>
      <c r="C1157" s="548"/>
      <c r="D1157" s="344"/>
      <c r="E1157" s="344"/>
      <c r="F1157" s="549"/>
      <c r="G1157" s="545"/>
      <c r="H1157" s="545"/>
      <c r="I1157" s="344"/>
      <c r="J1157" s="344"/>
      <c r="K1157" s="344"/>
      <c r="L1157" s="344"/>
      <c r="M1157" s="344"/>
      <c r="N1157" s="344"/>
      <c r="O1157" s="344"/>
      <c r="P1157" s="344"/>
      <c r="Q1157" s="344"/>
      <c r="R1157" s="344"/>
      <c r="S1157" s="344"/>
      <c r="T1157" s="344"/>
      <c r="U1157" s="344"/>
      <c r="V1157" s="344"/>
      <c r="W1157" s="344"/>
      <c r="X1157" s="344"/>
      <c r="Y1157" s="344"/>
      <c r="Z1157" s="344"/>
      <c r="AA1157" s="344"/>
      <c r="AB1157" s="344"/>
      <c r="AC1157" s="344"/>
      <c r="AD1157" s="344"/>
    </row>
    <row r="1158">
      <c r="A1158" s="344"/>
      <c r="B1158" s="548"/>
      <c r="C1158" s="548"/>
      <c r="D1158" s="344"/>
      <c r="E1158" s="344"/>
      <c r="F1158" s="549"/>
      <c r="G1158" s="545"/>
      <c r="H1158" s="545"/>
      <c r="I1158" s="344"/>
      <c r="J1158" s="344"/>
      <c r="K1158" s="344"/>
      <c r="L1158" s="344"/>
      <c r="M1158" s="344"/>
      <c r="N1158" s="344"/>
      <c r="O1158" s="344"/>
      <c r="P1158" s="344"/>
      <c r="Q1158" s="344"/>
      <c r="R1158" s="344"/>
      <c r="S1158" s="344"/>
      <c r="T1158" s="344"/>
      <c r="U1158" s="344"/>
      <c r="V1158" s="344"/>
      <c r="W1158" s="344"/>
      <c r="X1158" s="344"/>
      <c r="Y1158" s="344"/>
      <c r="Z1158" s="344"/>
      <c r="AA1158" s="344"/>
      <c r="AB1158" s="344"/>
      <c r="AC1158" s="344"/>
      <c r="AD1158" s="344"/>
    </row>
    <row r="1159">
      <c r="A1159" s="344"/>
      <c r="B1159" s="548"/>
      <c r="C1159" s="548"/>
      <c r="D1159" s="344"/>
      <c r="E1159" s="344"/>
      <c r="F1159" s="549"/>
      <c r="G1159" s="545"/>
      <c r="H1159" s="545"/>
      <c r="I1159" s="344"/>
      <c r="J1159" s="344"/>
      <c r="K1159" s="344"/>
      <c r="L1159" s="344"/>
      <c r="M1159" s="344"/>
      <c r="N1159" s="344"/>
      <c r="O1159" s="344"/>
      <c r="P1159" s="344"/>
      <c r="Q1159" s="344"/>
      <c r="R1159" s="344"/>
      <c r="S1159" s="344"/>
      <c r="T1159" s="344"/>
      <c r="U1159" s="344"/>
      <c r="V1159" s="344"/>
      <c r="W1159" s="344"/>
      <c r="X1159" s="344"/>
      <c r="Y1159" s="344"/>
      <c r="Z1159" s="344"/>
      <c r="AA1159" s="344"/>
      <c r="AB1159" s="344"/>
      <c r="AC1159" s="344"/>
      <c r="AD1159" s="344"/>
    </row>
    <row r="1160">
      <c r="A1160" s="344"/>
      <c r="B1160" s="548"/>
      <c r="C1160" s="548"/>
      <c r="D1160" s="344"/>
      <c r="E1160" s="344"/>
      <c r="F1160" s="549"/>
      <c r="G1160" s="545"/>
      <c r="H1160" s="545"/>
      <c r="I1160" s="344"/>
      <c r="J1160" s="344"/>
      <c r="K1160" s="344"/>
      <c r="L1160" s="344"/>
      <c r="M1160" s="344"/>
      <c r="N1160" s="344"/>
      <c r="O1160" s="344"/>
      <c r="P1160" s="344"/>
      <c r="Q1160" s="344"/>
      <c r="R1160" s="344"/>
      <c r="S1160" s="344"/>
      <c r="T1160" s="344"/>
      <c r="U1160" s="344"/>
      <c r="V1160" s="344"/>
      <c r="W1160" s="344"/>
      <c r="X1160" s="344"/>
      <c r="Y1160" s="344"/>
      <c r="Z1160" s="344"/>
      <c r="AA1160" s="344"/>
      <c r="AB1160" s="344"/>
      <c r="AC1160" s="344"/>
      <c r="AD1160" s="344"/>
    </row>
    <row r="1161">
      <c r="A1161" s="344"/>
      <c r="B1161" s="548"/>
      <c r="C1161" s="548"/>
      <c r="D1161" s="344"/>
      <c r="E1161" s="344"/>
      <c r="F1161" s="549"/>
      <c r="G1161" s="545"/>
      <c r="H1161" s="545"/>
      <c r="I1161" s="344"/>
      <c r="J1161" s="344"/>
      <c r="K1161" s="344"/>
      <c r="L1161" s="344"/>
      <c r="M1161" s="344"/>
      <c r="N1161" s="344"/>
      <c r="O1161" s="344"/>
      <c r="P1161" s="344"/>
      <c r="Q1161" s="344"/>
      <c r="R1161" s="344"/>
      <c r="S1161" s="344"/>
      <c r="T1161" s="344"/>
      <c r="U1161" s="344"/>
      <c r="V1161" s="344"/>
      <c r="W1161" s="344"/>
      <c r="X1161" s="344"/>
      <c r="Y1161" s="344"/>
      <c r="Z1161" s="344"/>
      <c r="AA1161" s="344"/>
      <c r="AB1161" s="344"/>
      <c r="AC1161" s="344"/>
      <c r="AD1161" s="344"/>
    </row>
    <row r="1162">
      <c r="A1162" s="344"/>
      <c r="B1162" s="548"/>
      <c r="C1162" s="548"/>
      <c r="D1162" s="344"/>
      <c r="E1162" s="344"/>
      <c r="F1162" s="549"/>
      <c r="G1162" s="545"/>
      <c r="H1162" s="545"/>
      <c r="I1162" s="344"/>
      <c r="J1162" s="344"/>
      <c r="K1162" s="344"/>
      <c r="L1162" s="344"/>
      <c r="M1162" s="344"/>
      <c r="N1162" s="344"/>
      <c r="O1162" s="344"/>
      <c r="P1162" s="344"/>
      <c r="Q1162" s="344"/>
      <c r="R1162" s="344"/>
      <c r="S1162" s="344"/>
      <c r="T1162" s="344"/>
      <c r="U1162" s="344"/>
      <c r="V1162" s="344"/>
      <c r="W1162" s="344"/>
      <c r="X1162" s="344"/>
      <c r="Y1162" s="344"/>
      <c r="Z1162" s="344"/>
      <c r="AA1162" s="344"/>
      <c r="AB1162" s="344"/>
      <c r="AC1162" s="344"/>
      <c r="AD1162" s="344"/>
    </row>
    <row r="1163">
      <c r="A1163" s="344"/>
      <c r="B1163" s="548"/>
      <c r="C1163" s="548"/>
      <c r="D1163" s="344"/>
      <c r="E1163" s="344"/>
      <c r="F1163" s="549"/>
      <c r="G1163" s="545"/>
      <c r="H1163" s="545"/>
      <c r="I1163" s="344"/>
      <c r="J1163" s="344"/>
      <c r="K1163" s="344"/>
      <c r="L1163" s="344"/>
      <c r="M1163" s="344"/>
      <c r="N1163" s="344"/>
      <c r="O1163" s="344"/>
      <c r="P1163" s="344"/>
      <c r="Q1163" s="344"/>
      <c r="R1163" s="344"/>
      <c r="S1163" s="344"/>
      <c r="T1163" s="344"/>
      <c r="U1163" s="344"/>
      <c r="V1163" s="344"/>
      <c r="W1163" s="344"/>
      <c r="X1163" s="344"/>
      <c r="Y1163" s="344"/>
      <c r="Z1163" s="344"/>
      <c r="AA1163" s="344"/>
      <c r="AB1163" s="344"/>
      <c r="AC1163" s="344"/>
      <c r="AD1163" s="344"/>
    </row>
    <row r="1164">
      <c r="A1164" s="344"/>
      <c r="B1164" s="548"/>
      <c r="C1164" s="548"/>
      <c r="D1164" s="344"/>
      <c r="E1164" s="344"/>
      <c r="F1164" s="549"/>
      <c r="G1164" s="545"/>
      <c r="H1164" s="545"/>
      <c r="I1164" s="344"/>
      <c r="J1164" s="344"/>
      <c r="K1164" s="344"/>
      <c r="L1164" s="344"/>
      <c r="M1164" s="344"/>
      <c r="N1164" s="344"/>
      <c r="O1164" s="344"/>
      <c r="P1164" s="344"/>
      <c r="Q1164" s="344"/>
      <c r="R1164" s="344"/>
      <c r="S1164" s="344"/>
      <c r="T1164" s="344"/>
      <c r="U1164" s="344"/>
      <c r="V1164" s="344"/>
      <c r="W1164" s="344"/>
      <c r="X1164" s="344"/>
      <c r="Y1164" s="344"/>
      <c r="Z1164" s="344"/>
      <c r="AA1164" s="344"/>
      <c r="AB1164" s="344"/>
      <c r="AC1164" s="344"/>
      <c r="AD1164" s="344"/>
    </row>
    <row r="1165">
      <c r="A1165" s="344"/>
      <c r="B1165" s="548"/>
      <c r="C1165" s="548"/>
      <c r="D1165" s="344"/>
      <c r="E1165" s="344"/>
      <c r="F1165" s="549"/>
      <c r="G1165" s="545"/>
      <c r="H1165" s="545"/>
      <c r="I1165" s="344"/>
      <c r="J1165" s="344"/>
      <c r="K1165" s="344"/>
      <c r="L1165" s="344"/>
      <c r="M1165" s="344"/>
      <c r="N1165" s="344"/>
      <c r="O1165" s="344"/>
      <c r="P1165" s="344"/>
      <c r="Q1165" s="344"/>
      <c r="R1165" s="344"/>
      <c r="S1165" s="344"/>
      <c r="T1165" s="344"/>
      <c r="U1165" s="344"/>
      <c r="V1165" s="344"/>
      <c r="W1165" s="344"/>
      <c r="X1165" s="344"/>
      <c r="Y1165" s="344"/>
      <c r="Z1165" s="344"/>
      <c r="AA1165" s="344"/>
      <c r="AB1165" s="344"/>
      <c r="AC1165" s="344"/>
      <c r="AD1165" s="344"/>
    </row>
    <row r="1166">
      <c r="A1166" s="344"/>
      <c r="B1166" s="548"/>
      <c r="C1166" s="548"/>
      <c r="D1166" s="344"/>
      <c r="E1166" s="344"/>
      <c r="F1166" s="549"/>
      <c r="G1166" s="545"/>
      <c r="H1166" s="545"/>
      <c r="I1166" s="344"/>
      <c r="J1166" s="344"/>
      <c r="K1166" s="344"/>
      <c r="L1166" s="344"/>
      <c r="M1166" s="344"/>
      <c r="N1166" s="344"/>
      <c r="O1166" s="344"/>
      <c r="P1166" s="344"/>
      <c r="Q1166" s="344"/>
      <c r="R1166" s="344"/>
      <c r="S1166" s="344"/>
      <c r="T1166" s="344"/>
      <c r="U1166" s="344"/>
      <c r="V1166" s="344"/>
      <c r="W1166" s="344"/>
      <c r="X1166" s="344"/>
      <c r="Y1166" s="344"/>
      <c r="Z1166" s="344"/>
      <c r="AA1166" s="344"/>
      <c r="AB1166" s="344"/>
      <c r="AC1166" s="344"/>
      <c r="AD1166" s="344"/>
    </row>
    <row r="1167">
      <c r="A1167" s="344"/>
      <c r="B1167" s="548"/>
      <c r="C1167" s="548"/>
      <c r="D1167" s="344"/>
      <c r="E1167" s="344"/>
      <c r="F1167" s="549"/>
      <c r="G1167" s="545"/>
      <c r="H1167" s="545"/>
      <c r="I1167" s="344"/>
      <c r="J1167" s="344"/>
      <c r="K1167" s="344"/>
      <c r="L1167" s="344"/>
      <c r="M1167" s="344"/>
      <c r="N1167" s="344"/>
      <c r="O1167" s="344"/>
      <c r="P1167" s="344"/>
      <c r="Q1167" s="344"/>
      <c r="R1167" s="344"/>
      <c r="S1167" s="344"/>
      <c r="T1167" s="344"/>
      <c r="U1167" s="344"/>
      <c r="V1167" s="344"/>
      <c r="W1167" s="344"/>
      <c r="X1167" s="344"/>
      <c r="Y1167" s="344"/>
      <c r="Z1167" s="344"/>
      <c r="AA1167" s="344"/>
      <c r="AB1167" s="344"/>
      <c r="AC1167" s="344"/>
      <c r="AD1167" s="344"/>
    </row>
    <row r="1168">
      <c r="A1168" s="344"/>
      <c r="B1168" s="548"/>
      <c r="C1168" s="548"/>
      <c r="D1168" s="344"/>
      <c r="E1168" s="344"/>
      <c r="F1168" s="549"/>
      <c r="G1168" s="545"/>
      <c r="H1168" s="545"/>
      <c r="I1168" s="344"/>
      <c r="J1168" s="344"/>
      <c r="K1168" s="344"/>
      <c r="L1168" s="344"/>
      <c r="M1168" s="344"/>
      <c r="N1168" s="344"/>
      <c r="O1168" s="344"/>
      <c r="P1168" s="344"/>
      <c r="Q1168" s="344"/>
      <c r="R1168" s="344"/>
      <c r="S1168" s="344"/>
      <c r="T1168" s="344"/>
      <c r="U1168" s="344"/>
      <c r="V1168" s="344"/>
      <c r="W1168" s="344"/>
      <c r="X1168" s="344"/>
      <c r="Y1168" s="344"/>
      <c r="Z1168" s="344"/>
      <c r="AA1168" s="344"/>
      <c r="AB1168" s="344"/>
      <c r="AC1168" s="344"/>
      <c r="AD1168" s="344"/>
    </row>
    <row r="1169">
      <c r="A1169" s="344"/>
      <c r="B1169" s="548"/>
      <c r="C1169" s="548"/>
      <c r="D1169" s="344"/>
      <c r="E1169" s="344"/>
      <c r="F1169" s="549"/>
      <c r="G1169" s="545"/>
      <c r="H1169" s="545"/>
      <c r="I1169" s="344"/>
      <c r="J1169" s="344"/>
      <c r="K1169" s="344"/>
      <c r="L1169" s="344"/>
      <c r="M1169" s="344"/>
      <c r="N1169" s="344"/>
      <c r="O1169" s="344"/>
      <c r="P1169" s="344"/>
      <c r="Q1169" s="344"/>
      <c r="R1169" s="344"/>
      <c r="S1169" s="344"/>
      <c r="T1169" s="344"/>
      <c r="U1169" s="344"/>
      <c r="V1169" s="344"/>
      <c r="W1169" s="344"/>
      <c r="X1169" s="344"/>
      <c r="Y1169" s="344"/>
      <c r="Z1169" s="344"/>
      <c r="AA1169" s="344"/>
      <c r="AB1169" s="344"/>
      <c r="AC1169" s="344"/>
      <c r="AD1169" s="344"/>
    </row>
    <row r="1170">
      <c r="A1170" s="344"/>
      <c r="B1170" s="548"/>
      <c r="C1170" s="548"/>
      <c r="D1170" s="344"/>
      <c r="E1170" s="344"/>
      <c r="F1170" s="549"/>
      <c r="G1170" s="545"/>
      <c r="H1170" s="545"/>
      <c r="I1170" s="344"/>
      <c r="J1170" s="344"/>
      <c r="K1170" s="344"/>
      <c r="L1170" s="344"/>
      <c r="M1170" s="344"/>
      <c r="N1170" s="344"/>
      <c r="O1170" s="344"/>
      <c r="P1170" s="344"/>
      <c r="Q1170" s="344"/>
      <c r="R1170" s="344"/>
      <c r="S1170" s="344"/>
      <c r="T1170" s="344"/>
      <c r="U1170" s="344"/>
      <c r="V1170" s="344"/>
      <c r="W1170" s="344"/>
      <c r="X1170" s="344"/>
      <c r="Y1170" s="344"/>
      <c r="Z1170" s="344"/>
      <c r="AA1170" s="344"/>
      <c r="AB1170" s="344"/>
      <c r="AC1170" s="344"/>
      <c r="AD1170" s="344"/>
    </row>
    <row r="1171">
      <c r="A1171" s="344"/>
      <c r="B1171" s="548"/>
      <c r="C1171" s="548"/>
      <c r="D1171" s="344"/>
      <c r="E1171" s="344"/>
      <c r="F1171" s="549"/>
      <c r="G1171" s="545"/>
      <c r="H1171" s="545"/>
      <c r="I1171" s="344"/>
      <c r="J1171" s="344"/>
      <c r="K1171" s="344"/>
      <c r="L1171" s="344"/>
      <c r="M1171" s="344"/>
      <c r="N1171" s="344"/>
      <c r="O1171" s="344"/>
      <c r="P1171" s="344"/>
      <c r="Q1171" s="344"/>
      <c r="R1171" s="344"/>
      <c r="S1171" s="344"/>
      <c r="T1171" s="344"/>
      <c r="U1171" s="344"/>
      <c r="V1171" s="344"/>
      <c r="W1171" s="344"/>
      <c r="X1171" s="344"/>
      <c r="Y1171" s="344"/>
      <c r="Z1171" s="344"/>
      <c r="AA1171" s="344"/>
      <c r="AB1171" s="344"/>
      <c r="AC1171" s="344"/>
      <c r="AD1171" s="344"/>
    </row>
    <row r="1172">
      <c r="A1172" s="344"/>
      <c r="B1172" s="548"/>
      <c r="C1172" s="548"/>
      <c r="D1172" s="344"/>
      <c r="E1172" s="344"/>
      <c r="F1172" s="549"/>
      <c r="G1172" s="545"/>
      <c r="H1172" s="545"/>
      <c r="I1172" s="344"/>
      <c r="J1172" s="344"/>
      <c r="K1172" s="344"/>
      <c r="L1172" s="344"/>
      <c r="M1172" s="344"/>
      <c r="N1172" s="344"/>
      <c r="O1172" s="344"/>
      <c r="P1172" s="344"/>
      <c r="Q1172" s="344"/>
      <c r="R1172" s="344"/>
      <c r="S1172" s="344"/>
      <c r="T1172" s="344"/>
      <c r="U1172" s="344"/>
      <c r="V1172" s="344"/>
      <c r="W1172" s="344"/>
      <c r="X1172" s="344"/>
      <c r="Y1172" s="344"/>
      <c r="Z1172" s="344"/>
      <c r="AA1172" s="344"/>
      <c r="AB1172" s="344"/>
      <c r="AC1172" s="344"/>
      <c r="AD1172" s="344"/>
    </row>
    <row r="1173">
      <c r="A1173" s="344"/>
      <c r="B1173" s="548"/>
      <c r="C1173" s="548"/>
      <c r="D1173" s="344"/>
      <c r="E1173" s="344"/>
      <c r="F1173" s="549"/>
      <c r="G1173" s="545"/>
      <c r="H1173" s="545"/>
      <c r="I1173" s="344"/>
      <c r="J1173" s="344"/>
      <c r="K1173" s="344"/>
      <c r="L1173" s="344"/>
      <c r="M1173" s="344"/>
      <c r="N1173" s="344"/>
      <c r="O1173" s="344"/>
      <c r="P1173" s="344"/>
      <c r="Q1173" s="344"/>
      <c r="R1173" s="344"/>
      <c r="S1173" s="344"/>
      <c r="T1173" s="344"/>
      <c r="U1173" s="344"/>
      <c r="V1173" s="344"/>
      <c r="W1173" s="344"/>
      <c r="X1173" s="344"/>
      <c r="Y1173" s="344"/>
      <c r="Z1173" s="344"/>
      <c r="AA1173" s="344"/>
      <c r="AB1173" s="344"/>
      <c r="AC1173" s="344"/>
      <c r="AD1173" s="344"/>
    </row>
  </sheetData>
  <autoFilter ref="$D$1:$D$1173"/>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22.75"/>
    <col customWidth="1" min="2" max="3" width="21.75"/>
  </cols>
  <sheetData>
    <row r="1">
      <c r="A1" s="550" t="s">
        <v>1859</v>
      </c>
      <c r="B1" s="550" t="s">
        <v>1861</v>
      </c>
      <c r="C1" s="551" t="s">
        <v>1862</v>
      </c>
      <c r="D1" s="110" t="s">
        <v>2368</v>
      </c>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c r="AN1" s="54"/>
      <c r="AO1" s="54"/>
      <c r="AP1" s="54"/>
      <c r="AQ1" s="54"/>
      <c r="AR1" s="54"/>
      <c r="AS1" s="54"/>
      <c r="AT1" s="54"/>
      <c r="AU1" s="54"/>
      <c r="AV1" s="54"/>
      <c r="AW1" s="54"/>
      <c r="AX1" s="54"/>
      <c r="AY1" s="54"/>
      <c r="AZ1" s="54"/>
      <c r="BA1" s="54"/>
      <c r="BB1" s="54"/>
      <c r="BC1" s="54"/>
      <c r="BD1" s="54"/>
      <c r="BE1" s="54"/>
      <c r="BF1" s="54"/>
      <c r="BG1" s="54"/>
      <c r="BH1" s="54"/>
      <c r="BI1" s="54"/>
      <c r="BJ1" s="54"/>
      <c r="BK1" s="54"/>
      <c r="BL1" s="54"/>
      <c r="BM1" s="54"/>
      <c r="BN1" s="54"/>
      <c r="BO1" s="54"/>
      <c r="BP1" s="54"/>
      <c r="BQ1" s="54"/>
      <c r="BR1" s="54"/>
      <c r="BS1" s="54"/>
      <c r="BT1" s="55"/>
    </row>
    <row r="2">
      <c r="A2" s="129"/>
      <c r="B2" s="129"/>
      <c r="C2" s="129"/>
      <c r="D2" s="110" t="s">
        <v>59</v>
      </c>
      <c r="E2" s="54"/>
      <c r="F2" s="54"/>
      <c r="G2" s="54"/>
      <c r="H2" s="54"/>
      <c r="I2" s="54"/>
      <c r="J2" s="54"/>
      <c r="K2" s="54"/>
      <c r="L2" s="55"/>
      <c r="M2" s="110" t="s">
        <v>80</v>
      </c>
      <c r="N2" s="54"/>
      <c r="O2" s="54"/>
      <c r="P2" s="54"/>
      <c r="Q2" s="54"/>
      <c r="R2" s="54"/>
      <c r="S2" s="54"/>
      <c r="T2" s="54"/>
      <c r="U2" s="55"/>
      <c r="V2" s="110" t="s">
        <v>99</v>
      </c>
      <c r="W2" s="54"/>
      <c r="X2" s="54"/>
      <c r="Y2" s="54"/>
      <c r="Z2" s="54"/>
      <c r="AA2" s="54"/>
      <c r="AB2" s="54"/>
      <c r="AC2" s="54"/>
      <c r="AD2" s="55"/>
      <c r="AE2" s="110" t="s">
        <v>118</v>
      </c>
      <c r="AF2" s="54"/>
      <c r="AG2" s="54"/>
      <c r="AH2" s="54"/>
      <c r="AI2" s="54"/>
      <c r="AJ2" s="54"/>
      <c r="AK2" s="54"/>
      <c r="AL2" s="54"/>
      <c r="AM2" s="54"/>
      <c r="AN2" s="55"/>
      <c r="AO2" s="110" t="s">
        <v>137</v>
      </c>
      <c r="AP2" s="54"/>
      <c r="AQ2" s="54"/>
      <c r="AR2" s="54"/>
      <c r="AS2" s="54"/>
      <c r="AT2" s="54"/>
      <c r="AU2" s="54"/>
      <c r="AV2" s="54"/>
      <c r="AW2" s="55"/>
      <c r="AX2" s="110" t="s">
        <v>154</v>
      </c>
      <c r="AY2" s="54"/>
      <c r="AZ2" s="54"/>
      <c r="BA2" s="54"/>
      <c r="BB2" s="54"/>
      <c r="BC2" s="54"/>
      <c r="BD2" s="54"/>
      <c r="BE2" s="54"/>
      <c r="BF2" s="54"/>
      <c r="BG2" s="54"/>
      <c r="BH2" s="54"/>
      <c r="BI2" s="54"/>
      <c r="BJ2" s="54"/>
      <c r="BK2" s="54"/>
      <c r="BL2" s="54"/>
      <c r="BM2" s="54"/>
      <c r="BN2" s="54"/>
      <c r="BO2" s="55"/>
      <c r="BP2" s="110" t="s">
        <v>191</v>
      </c>
      <c r="BQ2" s="54"/>
      <c r="BR2" s="55"/>
      <c r="BS2" s="110" t="s">
        <v>197</v>
      </c>
      <c r="BT2" s="55"/>
    </row>
    <row r="3">
      <c r="A3" s="56"/>
      <c r="B3" s="56"/>
      <c r="C3" s="56"/>
      <c r="D3" s="552" t="s">
        <v>61</v>
      </c>
      <c r="E3" s="552" t="s">
        <v>65</v>
      </c>
      <c r="F3" s="266" t="s">
        <v>67</v>
      </c>
      <c r="G3" s="266" t="s">
        <v>69</v>
      </c>
      <c r="H3" s="266" t="s">
        <v>71</v>
      </c>
      <c r="I3" s="266" t="s">
        <v>73</v>
      </c>
      <c r="J3" s="290" t="s">
        <v>75</v>
      </c>
      <c r="K3" s="290" t="s">
        <v>77</v>
      </c>
      <c r="L3" s="553" t="s">
        <v>79</v>
      </c>
      <c r="M3" s="554" t="s">
        <v>82</v>
      </c>
      <c r="N3" s="555" t="s">
        <v>84</v>
      </c>
      <c r="O3" s="555" t="s">
        <v>86</v>
      </c>
      <c r="P3" s="554" t="s">
        <v>88</v>
      </c>
      <c r="Q3" s="554" t="s">
        <v>90</v>
      </c>
      <c r="R3" s="554" t="s">
        <v>92</v>
      </c>
      <c r="S3" s="554" t="s">
        <v>94</v>
      </c>
      <c r="T3" s="554" t="s">
        <v>234</v>
      </c>
      <c r="U3" s="554" t="s">
        <v>249</v>
      </c>
      <c r="V3" s="553" t="s">
        <v>101</v>
      </c>
      <c r="W3" s="556" t="s">
        <v>103</v>
      </c>
      <c r="X3" s="556" t="s">
        <v>105</v>
      </c>
      <c r="Y3" s="556" t="s">
        <v>107</v>
      </c>
      <c r="Z3" s="552" t="s">
        <v>109</v>
      </c>
      <c r="AA3" s="556" t="s">
        <v>111</v>
      </c>
      <c r="AB3" s="552" t="s">
        <v>113</v>
      </c>
      <c r="AC3" s="552" t="s">
        <v>115</v>
      </c>
      <c r="AD3" s="556" t="s">
        <v>117</v>
      </c>
      <c r="AE3" s="556" t="s">
        <v>120</v>
      </c>
      <c r="AF3" s="552" t="s">
        <v>231</v>
      </c>
      <c r="AG3" s="553" t="s">
        <v>124</v>
      </c>
      <c r="AH3" s="556" t="s">
        <v>126</v>
      </c>
      <c r="AI3" s="552" t="s">
        <v>420</v>
      </c>
      <c r="AJ3" s="552" t="s">
        <v>128</v>
      </c>
      <c r="AK3" s="552" t="s">
        <v>130</v>
      </c>
      <c r="AL3" s="552" t="s">
        <v>132</v>
      </c>
      <c r="AM3" s="552" t="s">
        <v>134</v>
      </c>
      <c r="AN3" s="556" t="s">
        <v>136</v>
      </c>
      <c r="AO3" s="557" t="s">
        <v>139</v>
      </c>
      <c r="AP3" s="558" t="s">
        <v>141</v>
      </c>
      <c r="AQ3" s="557" t="s">
        <v>143</v>
      </c>
      <c r="AR3" s="557" t="s">
        <v>145</v>
      </c>
      <c r="AS3" s="558" t="s">
        <v>147</v>
      </c>
      <c r="AT3" s="557" t="s">
        <v>252</v>
      </c>
      <c r="AU3" s="558" t="s">
        <v>149</v>
      </c>
      <c r="AV3" s="557" t="s">
        <v>120</v>
      </c>
      <c r="AW3" s="558" t="s">
        <v>153</v>
      </c>
      <c r="AX3" s="556" t="s">
        <v>156</v>
      </c>
      <c r="AY3" s="555" t="s">
        <v>158</v>
      </c>
      <c r="AZ3" s="559" t="s">
        <v>160</v>
      </c>
      <c r="BA3" s="556" t="s">
        <v>163</v>
      </c>
      <c r="BB3" s="552" t="s">
        <v>166</v>
      </c>
      <c r="BC3" s="552" t="s">
        <v>168</v>
      </c>
      <c r="BD3" s="552" t="s">
        <v>170</v>
      </c>
      <c r="BE3" s="556" t="s">
        <v>172</v>
      </c>
      <c r="BF3" s="556" t="s">
        <v>163</v>
      </c>
      <c r="BG3" s="556" t="s">
        <v>166</v>
      </c>
      <c r="BH3" s="560" t="s">
        <v>168</v>
      </c>
      <c r="BI3" s="560" t="s">
        <v>170</v>
      </c>
      <c r="BJ3" s="556" t="s">
        <v>172</v>
      </c>
      <c r="BK3" s="556" t="s">
        <v>181</v>
      </c>
      <c r="BL3" s="556" t="s">
        <v>184</v>
      </c>
      <c r="BM3" s="556" t="s">
        <v>186</v>
      </c>
      <c r="BN3" s="556" t="s">
        <v>188</v>
      </c>
      <c r="BO3" s="556" t="s">
        <v>190</v>
      </c>
      <c r="BP3" s="561" t="s">
        <v>193</v>
      </c>
      <c r="BQ3" s="562" t="s">
        <v>193</v>
      </c>
      <c r="BR3" s="562" t="s">
        <v>196</v>
      </c>
      <c r="BS3" s="560" t="s">
        <v>199</v>
      </c>
      <c r="BT3" s="560" t="s">
        <v>201</v>
      </c>
    </row>
    <row r="4">
      <c r="A4" s="563"/>
      <c r="B4" s="564"/>
      <c r="C4" s="565"/>
      <c r="D4" s="566"/>
      <c r="E4" s="567"/>
      <c r="F4" s="568"/>
      <c r="G4" s="568"/>
      <c r="H4" s="568"/>
      <c r="I4" s="568"/>
      <c r="J4" s="568"/>
      <c r="K4" s="568"/>
      <c r="L4" s="566"/>
      <c r="M4" s="566"/>
      <c r="N4" s="567"/>
      <c r="O4" s="568"/>
      <c r="P4" s="568"/>
      <c r="Q4" s="568"/>
      <c r="R4" s="568"/>
      <c r="S4" s="568"/>
      <c r="T4" s="568"/>
      <c r="U4" s="568"/>
      <c r="V4" s="566"/>
      <c r="W4" s="568"/>
      <c r="X4" s="567"/>
      <c r="Y4" s="567"/>
      <c r="Z4" s="567"/>
      <c r="AA4" s="567"/>
      <c r="AB4" s="567"/>
      <c r="AC4" s="567"/>
      <c r="AD4" s="566"/>
      <c r="AE4" s="569"/>
      <c r="AF4" s="58"/>
      <c r="AG4" s="570"/>
      <c r="AH4" s="570"/>
      <c r="AI4" s="570"/>
      <c r="AJ4" s="570"/>
      <c r="AK4" s="570"/>
      <c r="AL4" s="570"/>
      <c r="AM4" s="570"/>
      <c r="AN4" s="569"/>
      <c r="AO4" s="569"/>
      <c r="AP4" s="58"/>
      <c r="AQ4" s="570"/>
      <c r="AR4" s="570"/>
      <c r="AS4" s="570"/>
      <c r="AT4" s="570"/>
      <c r="AU4" s="570"/>
      <c r="AV4" s="570"/>
      <c r="AW4" s="569"/>
      <c r="AX4" s="569"/>
      <c r="AY4" s="58"/>
      <c r="AZ4" s="570"/>
      <c r="BA4" s="570"/>
      <c r="BB4" s="570"/>
      <c r="BC4" s="570"/>
      <c r="BD4" s="570"/>
      <c r="BE4" s="570"/>
      <c r="BF4" s="570"/>
      <c r="BG4" s="570"/>
      <c r="BH4" s="570"/>
      <c r="BI4" s="570"/>
      <c r="BJ4" s="570"/>
      <c r="BK4" s="570"/>
      <c r="BL4" s="570"/>
      <c r="BM4" s="569"/>
      <c r="BN4" s="569"/>
      <c r="BO4" s="569"/>
      <c r="BP4" s="569"/>
      <c r="BQ4" s="58"/>
      <c r="BR4" s="58"/>
      <c r="BS4" s="58"/>
      <c r="BT4" s="58"/>
    </row>
    <row r="5">
      <c r="A5" s="571" t="s">
        <v>35</v>
      </c>
      <c r="B5" s="572" t="s">
        <v>2369</v>
      </c>
      <c r="C5" s="520" t="s">
        <v>2370</v>
      </c>
      <c r="D5" s="573"/>
      <c r="E5" s="570"/>
      <c r="F5" s="569"/>
      <c r="G5" s="58"/>
      <c r="H5" s="58"/>
      <c r="I5" s="58"/>
      <c r="J5" s="58"/>
      <c r="K5" s="58"/>
      <c r="L5" s="569"/>
      <c r="M5" s="569"/>
      <c r="N5" s="570"/>
      <c r="O5" s="58"/>
      <c r="P5" s="58"/>
      <c r="Q5" s="58"/>
      <c r="R5" s="58"/>
      <c r="S5" s="58"/>
      <c r="T5" s="58"/>
      <c r="U5" s="58"/>
      <c r="V5" s="569"/>
      <c r="W5" s="58"/>
      <c r="X5" s="570"/>
      <c r="Y5" s="570"/>
      <c r="Z5" s="570"/>
      <c r="AA5" s="570"/>
      <c r="AB5" s="570"/>
      <c r="AC5" s="570" t="s">
        <v>2371</v>
      </c>
      <c r="AD5" s="569"/>
      <c r="AE5" s="569" t="s">
        <v>2372</v>
      </c>
      <c r="AF5" s="58"/>
      <c r="AG5" s="570"/>
      <c r="AH5" s="570"/>
      <c r="AI5" s="570"/>
      <c r="AJ5" s="570"/>
      <c r="AK5" s="570"/>
      <c r="AL5" s="570"/>
      <c r="AM5" s="570"/>
      <c r="AN5" s="569"/>
      <c r="AO5" s="569" t="s">
        <v>2373</v>
      </c>
      <c r="AP5" s="570" t="s">
        <v>2372</v>
      </c>
      <c r="AQ5" s="570"/>
      <c r="AR5" s="570"/>
      <c r="AS5" s="570"/>
      <c r="AT5" s="570"/>
      <c r="AU5" s="570"/>
      <c r="AV5" s="570"/>
      <c r="AW5" s="569"/>
      <c r="AX5" s="569"/>
      <c r="AY5" s="58"/>
      <c r="AZ5" s="569" t="s">
        <v>2374</v>
      </c>
      <c r="BA5" s="570"/>
      <c r="BB5" s="570"/>
      <c r="BC5" s="570"/>
      <c r="BD5" s="570"/>
      <c r="BE5" s="570"/>
      <c r="BF5" s="570"/>
      <c r="BG5" s="570"/>
      <c r="BH5" s="570"/>
      <c r="BI5" s="570"/>
      <c r="BJ5" s="570"/>
      <c r="BK5" s="570"/>
      <c r="BL5" s="570"/>
      <c r="BM5" s="569"/>
      <c r="BN5" s="569"/>
      <c r="BO5" s="569"/>
      <c r="BP5" s="569" t="s">
        <v>2375</v>
      </c>
      <c r="BQ5" s="58"/>
      <c r="BR5" s="58"/>
      <c r="BS5" s="58"/>
      <c r="BT5" s="58"/>
    </row>
    <row r="6">
      <c r="A6" s="129"/>
      <c r="B6" s="129"/>
      <c r="C6" s="520" t="s">
        <v>2376</v>
      </c>
      <c r="D6" s="517"/>
      <c r="E6" s="570"/>
      <c r="F6" s="570"/>
      <c r="G6" s="570"/>
      <c r="H6" s="570"/>
      <c r="I6" s="570"/>
      <c r="J6" s="570"/>
      <c r="K6" s="569"/>
      <c r="L6" s="570"/>
      <c r="M6" s="570"/>
      <c r="N6" s="570"/>
      <c r="O6" s="570"/>
      <c r="P6" s="570"/>
      <c r="Q6" s="570"/>
      <c r="R6" s="570"/>
      <c r="S6" s="570"/>
      <c r="T6" s="570"/>
      <c r="U6" s="570"/>
      <c r="V6" s="570"/>
      <c r="W6" s="570"/>
      <c r="X6" s="570"/>
      <c r="Y6" s="570"/>
      <c r="Z6" s="570"/>
      <c r="AA6" s="570"/>
      <c r="AB6" s="570"/>
      <c r="AC6" s="570"/>
      <c r="AD6" s="570"/>
      <c r="AE6" s="570"/>
      <c r="AF6" s="570"/>
      <c r="AG6" s="570"/>
      <c r="AH6" s="570"/>
      <c r="AI6" s="570"/>
      <c r="AJ6" s="570"/>
      <c r="AK6" s="570"/>
      <c r="AL6" s="570"/>
      <c r="AM6" s="570"/>
      <c r="AN6" s="570"/>
      <c r="AO6" s="570"/>
      <c r="AP6" s="570"/>
      <c r="AQ6" s="570"/>
      <c r="AR6" s="570"/>
      <c r="AS6" s="570"/>
      <c r="AT6" s="570"/>
      <c r="AU6" s="570"/>
      <c r="AV6" s="570"/>
      <c r="AW6" s="570"/>
      <c r="AX6" s="570"/>
      <c r="AY6" s="570"/>
      <c r="AZ6" s="570"/>
      <c r="BA6" s="570"/>
      <c r="BB6" s="570"/>
      <c r="BC6" s="570"/>
      <c r="BD6" s="570"/>
      <c r="BE6" s="570"/>
      <c r="BF6" s="570"/>
      <c r="BG6" s="570"/>
      <c r="BH6" s="570"/>
      <c r="BI6" s="570"/>
      <c r="BJ6" s="570"/>
      <c r="BK6" s="570"/>
      <c r="BL6" s="570"/>
      <c r="BM6" s="570"/>
      <c r="BN6" s="570"/>
      <c r="BO6" s="570"/>
      <c r="BP6" s="570"/>
      <c r="BQ6" s="570"/>
      <c r="BR6" s="570"/>
      <c r="BS6" s="570"/>
      <c r="BT6" s="570"/>
    </row>
    <row r="7">
      <c r="A7" s="129"/>
      <c r="B7" s="129"/>
      <c r="C7" s="520" t="s">
        <v>2377</v>
      </c>
      <c r="D7" s="517"/>
      <c r="E7" s="570"/>
      <c r="F7" s="570"/>
      <c r="G7" s="570"/>
      <c r="H7" s="570"/>
      <c r="I7" s="570"/>
      <c r="J7" s="570"/>
      <c r="K7" s="569"/>
      <c r="L7" s="570"/>
      <c r="M7" s="570"/>
      <c r="N7" s="570"/>
      <c r="O7" s="570"/>
      <c r="P7" s="570"/>
      <c r="Q7" s="570"/>
      <c r="R7" s="570"/>
      <c r="S7" s="570"/>
      <c r="T7" s="570"/>
      <c r="U7" s="570"/>
      <c r="V7" s="570"/>
      <c r="W7" s="570"/>
      <c r="X7" s="570"/>
      <c r="Y7" s="570"/>
      <c r="Z7" s="570"/>
      <c r="AA7" s="570"/>
      <c r="AB7" s="570"/>
      <c r="AC7" s="570"/>
      <c r="AD7" s="570"/>
      <c r="AE7" s="570"/>
      <c r="AF7" s="570"/>
      <c r="AG7" s="570"/>
      <c r="AH7" s="570"/>
      <c r="AI7" s="570"/>
      <c r="AJ7" s="570"/>
      <c r="AK7" s="570"/>
      <c r="AL7" s="570"/>
      <c r="AM7" s="570"/>
      <c r="AN7" s="570"/>
      <c r="AO7" s="570"/>
      <c r="AP7" s="570"/>
      <c r="AQ7" s="570"/>
      <c r="AR7" s="570"/>
      <c r="AS7" s="570"/>
      <c r="AT7" s="570"/>
      <c r="AU7" s="570"/>
      <c r="AV7" s="570"/>
      <c r="AW7" s="570"/>
      <c r="AX7" s="570"/>
      <c r="AY7" s="570"/>
      <c r="AZ7" s="570"/>
      <c r="BA7" s="570"/>
      <c r="BB7" s="570"/>
      <c r="BC7" s="570"/>
      <c r="BD7" s="570"/>
      <c r="BE7" s="570"/>
      <c r="BF7" s="570"/>
      <c r="BG7" s="570"/>
      <c r="BH7" s="570"/>
      <c r="BI7" s="570"/>
      <c r="BJ7" s="570"/>
      <c r="BK7" s="570"/>
      <c r="BL7" s="570"/>
      <c r="BM7" s="570"/>
      <c r="BN7" s="570"/>
      <c r="BO7" s="570"/>
      <c r="BP7" s="570"/>
      <c r="BQ7" s="570"/>
      <c r="BR7" s="570"/>
      <c r="BS7" s="570"/>
      <c r="BT7" s="570"/>
    </row>
    <row r="8">
      <c r="A8" s="129"/>
      <c r="B8" s="129"/>
      <c r="C8" s="520" t="s">
        <v>2378</v>
      </c>
      <c r="D8" s="517"/>
      <c r="E8" s="570"/>
      <c r="F8" s="570"/>
      <c r="G8" s="570"/>
      <c r="H8" s="570"/>
      <c r="I8" s="570"/>
      <c r="J8" s="570"/>
      <c r="K8" s="569"/>
      <c r="L8" s="570"/>
      <c r="M8" s="570"/>
      <c r="N8" s="570"/>
      <c r="O8" s="570"/>
      <c r="P8" s="570"/>
      <c r="Q8" s="570"/>
      <c r="R8" s="570"/>
      <c r="S8" s="570"/>
      <c r="T8" s="570"/>
      <c r="U8" s="570"/>
      <c r="V8" s="570"/>
      <c r="W8" s="570"/>
      <c r="X8" s="570"/>
      <c r="Y8" s="570"/>
      <c r="Z8" s="570"/>
      <c r="AA8" s="570"/>
      <c r="AB8" s="570"/>
      <c r="AC8" s="570"/>
      <c r="AD8" s="570"/>
      <c r="AE8" s="570"/>
      <c r="AF8" s="570"/>
      <c r="AG8" s="570"/>
      <c r="AH8" s="570"/>
      <c r="AI8" s="570"/>
      <c r="AJ8" s="570"/>
      <c r="AK8" s="570"/>
      <c r="AL8" s="570"/>
      <c r="AM8" s="570"/>
      <c r="AN8" s="570"/>
      <c r="AO8" s="570"/>
      <c r="AP8" s="570"/>
      <c r="AQ8" s="570"/>
      <c r="AR8" s="570"/>
      <c r="AS8" s="570"/>
      <c r="AT8" s="570"/>
      <c r="AU8" s="570"/>
      <c r="AV8" s="570"/>
      <c r="AW8" s="570"/>
      <c r="AX8" s="570"/>
      <c r="AY8" s="570"/>
      <c r="AZ8" s="570"/>
      <c r="BA8" s="570"/>
      <c r="BB8" s="570"/>
      <c r="BC8" s="570"/>
      <c r="BD8" s="570"/>
      <c r="BE8" s="570"/>
      <c r="BF8" s="570"/>
      <c r="BG8" s="570"/>
      <c r="BH8" s="570"/>
      <c r="BI8" s="570"/>
      <c r="BJ8" s="570"/>
      <c r="BK8" s="570"/>
      <c r="BL8" s="570"/>
      <c r="BM8" s="570"/>
      <c r="BN8" s="570"/>
      <c r="BO8" s="570"/>
      <c r="BP8" s="570"/>
      <c r="BQ8" s="570"/>
      <c r="BR8" s="570"/>
      <c r="BS8" s="570"/>
      <c r="BT8" s="570"/>
    </row>
    <row r="9">
      <c r="A9" s="129"/>
      <c r="B9" s="129"/>
      <c r="C9" s="520" t="s">
        <v>1882</v>
      </c>
      <c r="D9" s="517"/>
      <c r="E9" s="570"/>
      <c r="F9" s="570"/>
      <c r="G9" s="570"/>
      <c r="H9" s="570"/>
      <c r="I9" s="570"/>
      <c r="J9" s="570"/>
      <c r="K9" s="569"/>
      <c r="L9" s="570"/>
      <c r="M9" s="570"/>
      <c r="N9" s="570"/>
      <c r="O9" s="570"/>
      <c r="P9" s="570"/>
      <c r="Q9" s="570"/>
      <c r="R9" s="570"/>
      <c r="S9" s="570"/>
      <c r="T9" s="570"/>
      <c r="U9" s="570"/>
      <c r="V9" s="570"/>
      <c r="W9" s="570"/>
      <c r="X9" s="570"/>
      <c r="Y9" s="570"/>
      <c r="Z9" s="570"/>
      <c r="AA9" s="570"/>
      <c r="AB9" s="570"/>
      <c r="AC9" s="570"/>
      <c r="AD9" s="570"/>
      <c r="AE9" s="570"/>
      <c r="AF9" s="570"/>
      <c r="AG9" s="570"/>
      <c r="AH9" s="570"/>
      <c r="AI9" s="570"/>
      <c r="AJ9" s="570"/>
      <c r="AK9" s="570"/>
      <c r="AL9" s="570"/>
      <c r="AM9" s="570"/>
      <c r="AN9" s="570"/>
      <c r="AO9" s="570"/>
      <c r="AP9" s="570"/>
      <c r="AQ9" s="570"/>
      <c r="AR9" s="570"/>
      <c r="AS9" s="570"/>
      <c r="AT9" s="570"/>
      <c r="AU9" s="570"/>
      <c r="AV9" s="570"/>
      <c r="AW9" s="570"/>
      <c r="AX9" s="570"/>
      <c r="AY9" s="570"/>
      <c r="AZ9" s="570"/>
      <c r="BA9" s="570"/>
      <c r="BB9" s="570"/>
      <c r="BC9" s="570"/>
      <c r="BD9" s="570"/>
      <c r="BE9" s="570"/>
      <c r="BF9" s="570"/>
      <c r="BG9" s="570"/>
      <c r="BH9" s="570"/>
      <c r="BI9" s="570"/>
      <c r="BJ9" s="570"/>
      <c r="BK9" s="570"/>
      <c r="BL9" s="570"/>
      <c r="BM9" s="570"/>
      <c r="BN9" s="570"/>
      <c r="BO9" s="570"/>
      <c r="BP9" s="570"/>
      <c r="BQ9" s="570"/>
      <c r="BR9" s="570"/>
      <c r="BS9" s="570"/>
      <c r="BT9" s="570"/>
    </row>
    <row r="10">
      <c r="A10" s="129"/>
      <c r="B10" s="129"/>
      <c r="C10" s="522" t="s">
        <v>1886</v>
      </c>
      <c r="D10" s="570"/>
      <c r="E10" s="570"/>
      <c r="F10" s="570"/>
      <c r="G10" s="570"/>
      <c r="H10" s="570"/>
      <c r="I10" s="570"/>
      <c r="J10" s="570"/>
      <c r="K10" s="569"/>
      <c r="L10" s="570"/>
      <c r="M10" s="570"/>
      <c r="N10" s="570"/>
      <c r="O10" s="570"/>
      <c r="P10" s="570"/>
      <c r="Q10" s="570"/>
      <c r="R10" s="570"/>
      <c r="S10" s="570"/>
      <c r="T10" s="570"/>
      <c r="U10" s="570"/>
      <c r="V10" s="570"/>
      <c r="W10" s="570"/>
      <c r="X10" s="570"/>
      <c r="Y10" s="570"/>
      <c r="Z10" s="570"/>
      <c r="AA10" s="570"/>
      <c r="AB10" s="570"/>
      <c r="AC10" s="570"/>
      <c r="AD10" s="570"/>
      <c r="AE10" s="570"/>
      <c r="AF10" s="570"/>
      <c r="AG10" s="570"/>
      <c r="AH10" s="570"/>
      <c r="AI10" s="570"/>
      <c r="AJ10" s="570"/>
      <c r="AK10" s="570"/>
      <c r="AL10" s="570"/>
      <c r="AM10" s="570"/>
      <c r="AN10" s="570"/>
      <c r="AO10" s="570"/>
      <c r="AP10" s="570"/>
      <c r="AQ10" s="570"/>
      <c r="AR10" s="570"/>
      <c r="AS10" s="570"/>
      <c r="AT10" s="570"/>
      <c r="AU10" s="570"/>
      <c r="AV10" s="570"/>
      <c r="AW10" s="570"/>
      <c r="AX10" s="570"/>
      <c r="AY10" s="570"/>
      <c r="AZ10" s="570"/>
      <c r="BA10" s="570"/>
      <c r="BB10" s="570"/>
      <c r="BC10" s="570"/>
      <c r="BD10" s="570"/>
      <c r="BE10" s="570"/>
      <c r="BF10" s="570"/>
      <c r="BG10" s="570"/>
      <c r="BH10" s="570"/>
      <c r="BI10" s="570"/>
      <c r="BJ10" s="570"/>
      <c r="BK10" s="570"/>
      <c r="BL10" s="570"/>
      <c r="BM10" s="570"/>
      <c r="BN10" s="570"/>
      <c r="BO10" s="570"/>
      <c r="BP10" s="570"/>
      <c r="BQ10" s="570"/>
      <c r="BR10" s="570"/>
      <c r="BS10" s="570"/>
      <c r="BT10" s="570"/>
    </row>
    <row r="11">
      <c r="A11" s="129"/>
      <c r="B11" s="56"/>
      <c r="C11" s="522" t="s">
        <v>1889</v>
      </c>
      <c r="D11" s="570"/>
      <c r="E11" s="570"/>
      <c r="F11" s="570"/>
      <c r="G11" s="570"/>
      <c r="H11" s="570"/>
      <c r="I11" s="570"/>
      <c r="J11" s="570"/>
      <c r="K11" s="569"/>
      <c r="L11" s="570"/>
      <c r="M11" s="570"/>
      <c r="N11" s="570"/>
      <c r="O11" s="570"/>
      <c r="P11" s="570"/>
      <c r="Q11" s="570"/>
      <c r="R11" s="570"/>
      <c r="S11" s="570"/>
      <c r="T11" s="570"/>
      <c r="U11" s="570"/>
      <c r="V11" s="570"/>
      <c r="W11" s="570"/>
      <c r="X11" s="570"/>
      <c r="Y11" s="570"/>
      <c r="Z11" s="570"/>
      <c r="AA11" s="570"/>
      <c r="AB11" s="570"/>
      <c r="AC11" s="570"/>
      <c r="AD11" s="570"/>
      <c r="AE11" s="570"/>
      <c r="AF11" s="570"/>
      <c r="AG11" s="570"/>
      <c r="AH11" s="570"/>
      <c r="AI11" s="570"/>
      <c r="AJ11" s="570"/>
      <c r="AK11" s="570"/>
      <c r="AL11" s="570"/>
      <c r="AM11" s="570"/>
      <c r="AN11" s="570"/>
      <c r="AO11" s="570"/>
      <c r="AP11" s="570"/>
      <c r="AQ11" s="570"/>
      <c r="AR11" s="570"/>
      <c r="AS11" s="570"/>
      <c r="AT11" s="570"/>
      <c r="AU11" s="570"/>
      <c r="AV11" s="570"/>
      <c r="AW11" s="570"/>
      <c r="AX11" s="570"/>
      <c r="AY11" s="570"/>
      <c r="AZ11" s="570"/>
      <c r="BA11" s="570"/>
      <c r="BB11" s="570"/>
      <c r="BC11" s="570"/>
      <c r="BD11" s="570"/>
      <c r="BE11" s="570"/>
      <c r="BF11" s="570"/>
      <c r="BG11" s="570"/>
      <c r="BH11" s="570"/>
      <c r="BI11" s="570"/>
      <c r="BJ11" s="570"/>
      <c r="BK11" s="570"/>
      <c r="BL11" s="570"/>
      <c r="BM11" s="570"/>
      <c r="BN11" s="570"/>
      <c r="BO11" s="570"/>
      <c r="BP11" s="570"/>
      <c r="BQ11" s="570"/>
      <c r="BR11" s="570"/>
      <c r="BS11" s="570"/>
      <c r="BT11" s="570"/>
    </row>
    <row r="12">
      <c r="A12" s="129"/>
      <c r="B12" s="574" t="s">
        <v>2379</v>
      </c>
      <c r="C12" s="522" t="s">
        <v>1900</v>
      </c>
      <c r="D12" s="570"/>
      <c r="E12" s="570"/>
      <c r="F12" s="570"/>
      <c r="G12" s="570"/>
      <c r="H12" s="570"/>
      <c r="I12" s="570"/>
      <c r="J12" s="570"/>
      <c r="K12" s="569"/>
      <c r="L12" s="570"/>
      <c r="M12" s="570"/>
      <c r="N12" s="570"/>
      <c r="O12" s="570"/>
      <c r="P12" s="570"/>
      <c r="Q12" s="570"/>
      <c r="R12" s="570"/>
      <c r="S12" s="570"/>
      <c r="T12" s="570"/>
      <c r="U12" s="570"/>
      <c r="V12" s="570"/>
      <c r="W12" s="570"/>
      <c r="X12" s="570"/>
      <c r="Y12" s="570"/>
      <c r="Z12" s="570"/>
      <c r="AA12" s="570"/>
      <c r="AB12" s="570"/>
      <c r="AC12" s="570"/>
      <c r="AD12" s="570"/>
      <c r="AE12" s="570"/>
      <c r="AF12" s="570"/>
      <c r="AG12" s="570"/>
      <c r="AH12" s="570"/>
      <c r="AI12" s="570"/>
      <c r="AJ12" s="570"/>
      <c r="AK12" s="570"/>
      <c r="AL12" s="570"/>
      <c r="AM12" s="570"/>
      <c r="AN12" s="570"/>
      <c r="AO12" s="570"/>
      <c r="AP12" s="570"/>
      <c r="AQ12" s="570"/>
      <c r="AR12" s="570"/>
      <c r="AS12" s="570"/>
      <c r="AT12" s="570"/>
      <c r="AU12" s="570"/>
      <c r="AV12" s="570"/>
      <c r="AW12" s="570"/>
      <c r="AX12" s="570"/>
      <c r="AY12" s="570"/>
      <c r="AZ12" s="570"/>
      <c r="BA12" s="570"/>
      <c r="BB12" s="570"/>
      <c r="BC12" s="570"/>
      <c r="BD12" s="570"/>
      <c r="BE12" s="570"/>
      <c r="BF12" s="570"/>
      <c r="BG12" s="570"/>
      <c r="BH12" s="570"/>
      <c r="BI12" s="570"/>
      <c r="BJ12" s="570"/>
      <c r="BK12" s="570"/>
      <c r="BL12" s="570"/>
      <c r="BM12" s="570"/>
      <c r="BN12" s="570"/>
      <c r="BO12" s="570"/>
      <c r="BP12" s="570"/>
      <c r="BQ12" s="570"/>
      <c r="BR12" s="570"/>
      <c r="BS12" s="570"/>
      <c r="BT12" s="570"/>
    </row>
    <row r="13">
      <c r="A13" s="129"/>
      <c r="B13" s="129"/>
      <c r="C13" s="522" t="s">
        <v>2380</v>
      </c>
      <c r="D13" s="570"/>
      <c r="E13" s="570"/>
      <c r="F13" s="570"/>
      <c r="G13" s="570"/>
      <c r="H13" s="570"/>
      <c r="I13" s="570"/>
      <c r="J13" s="570"/>
      <c r="K13" s="569"/>
      <c r="L13" s="570"/>
      <c r="M13" s="570"/>
      <c r="N13" s="570"/>
      <c r="O13" s="570"/>
      <c r="P13" s="570"/>
      <c r="Q13" s="570"/>
      <c r="R13" s="570"/>
      <c r="S13" s="570"/>
      <c r="T13" s="570"/>
      <c r="U13" s="570"/>
      <c r="V13" s="570"/>
      <c r="W13" s="570"/>
      <c r="X13" s="570"/>
      <c r="Y13" s="570"/>
      <c r="Z13" s="570"/>
      <c r="AA13" s="570"/>
      <c r="AB13" s="570"/>
      <c r="AC13" s="570"/>
      <c r="AD13" s="570"/>
      <c r="AE13" s="570"/>
      <c r="AF13" s="570"/>
      <c r="AG13" s="570"/>
      <c r="AH13" s="570"/>
      <c r="AI13" s="570"/>
      <c r="AJ13" s="570"/>
      <c r="AK13" s="570"/>
      <c r="AL13" s="570"/>
      <c r="AM13" s="570"/>
      <c r="AN13" s="570"/>
      <c r="AO13" s="570"/>
      <c r="AP13" s="570"/>
      <c r="AQ13" s="570"/>
      <c r="AR13" s="570"/>
      <c r="AS13" s="570"/>
      <c r="AT13" s="570"/>
      <c r="AU13" s="570"/>
      <c r="AV13" s="570"/>
      <c r="AW13" s="570"/>
      <c r="AX13" s="570"/>
      <c r="AY13" s="570"/>
      <c r="AZ13" s="570"/>
      <c r="BA13" s="570"/>
      <c r="BB13" s="570"/>
      <c r="BC13" s="570"/>
      <c r="BD13" s="570"/>
      <c r="BE13" s="570"/>
      <c r="BF13" s="570"/>
      <c r="BG13" s="570"/>
      <c r="BH13" s="570"/>
      <c r="BI13" s="570"/>
      <c r="BJ13" s="570"/>
      <c r="BK13" s="570"/>
      <c r="BL13" s="570"/>
      <c r="BM13" s="570"/>
      <c r="BN13" s="570"/>
      <c r="BO13" s="570"/>
      <c r="BP13" s="570"/>
      <c r="BQ13" s="570"/>
      <c r="BR13" s="570"/>
      <c r="BS13" s="570"/>
      <c r="BT13" s="570"/>
    </row>
    <row r="14">
      <c r="A14" s="56"/>
      <c r="B14" s="129"/>
      <c r="C14" s="522" t="s">
        <v>2381</v>
      </c>
      <c r="D14" s="570"/>
      <c r="E14" s="570"/>
      <c r="F14" s="570"/>
      <c r="G14" s="570"/>
      <c r="H14" s="570"/>
      <c r="I14" s="570"/>
      <c r="J14" s="570"/>
      <c r="K14" s="569"/>
      <c r="L14" s="570"/>
      <c r="M14" s="570"/>
      <c r="N14" s="570"/>
      <c r="O14" s="570"/>
      <c r="P14" s="570"/>
      <c r="Q14" s="570"/>
      <c r="R14" s="570"/>
      <c r="S14" s="570"/>
      <c r="T14" s="570"/>
      <c r="U14" s="570"/>
      <c r="V14" s="570"/>
      <c r="W14" s="570"/>
      <c r="X14" s="570"/>
      <c r="Y14" s="570"/>
      <c r="Z14" s="570"/>
      <c r="AA14" s="570"/>
      <c r="AB14" s="570"/>
      <c r="AC14" s="570"/>
      <c r="AD14" s="570"/>
      <c r="AE14" s="570"/>
      <c r="AF14" s="570"/>
      <c r="AG14" s="570"/>
      <c r="AH14" s="570"/>
      <c r="AI14" s="570"/>
      <c r="AJ14" s="570"/>
      <c r="AK14" s="570"/>
      <c r="AL14" s="570"/>
      <c r="AM14" s="570"/>
      <c r="AN14" s="570"/>
      <c r="AO14" s="570"/>
      <c r="AP14" s="570"/>
      <c r="AQ14" s="570"/>
      <c r="AR14" s="570"/>
      <c r="AS14" s="570"/>
      <c r="AT14" s="570"/>
      <c r="AU14" s="570"/>
      <c r="AV14" s="570"/>
      <c r="AW14" s="570"/>
      <c r="AX14" s="570"/>
      <c r="AY14" s="570"/>
      <c r="AZ14" s="570"/>
      <c r="BA14" s="570"/>
      <c r="BB14" s="570"/>
      <c r="BC14" s="570"/>
      <c r="BD14" s="570"/>
      <c r="BE14" s="570"/>
      <c r="BF14" s="570"/>
      <c r="BG14" s="570"/>
      <c r="BH14" s="570"/>
      <c r="BI14" s="570"/>
      <c r="BJ14" s="570"/>
      <c r="BK14" s="570"/>
      <c r="BL14" s="570"/>
      <c r="BM14" s="570"/>
      <c r="BN14" s="570"/>
      <c r="BO14" s="570"/>
      <c r="BP14" s="570"/>
      <c r="BQ14" s="570"/>
      <c r="BR14" s="570"/>
      <c r="BS14" s="570"/>
      <c r="BT14" s="570"/>
    </row>
    <row r="15">
      <c r="A15" s="572" t="s">
        <v>38</v>
      </c>
      <c r="B15" s="129"/>
      <c r="C15" s="522" t="s">
        <v>2382</v>
      </c>
      <c r="D15" s="570"/>
      <c r="E15" s="570"/>
      <c r="F15" s="570"/>
      <c r="G15" s="570"/>
      <c r="H15" s="570"/>
      <c r="I15" s="570"/>
      <c r="J15" s="570"/>
      <c r="K15" s="569"/>
      <c r="L15" s="570"/>
      <c r="M15" s="570"/>
      <c r="N15" s="570"/>
      <c r="O15" s="570"/>
      <c r="P15" s="570"/>
      <c r="Q15" s="570"/>
      <c r="R15" s="570"/>
      <c r="S15" s="570"/>
      <c r="T15" s="570"/>
      <c r="U15" s="570"/>
      <c r="V15" s="570" t="s">
        <v>2383</v>
      </c>
      <c r="W15" s="570"/>
      <c r="X15" s="570"/>
      <c r="Y15" s="570"/>
      <c r="Z15" s="570"/>
      <c r="AA15" s="570"/>
      <c r="AB15" s="570"/>
      <c r="AC15" s="570"/>
      <c r="AD15" s="570"/>
      <c r="AE15" s="570" t="s">
        <v>2372</v>
      </c>
      <c r="AF15" s="570"/>
      <c r="AG15" s="570"/>
      <c r="AH15" s="570"/>
      <c r="AI15" s="570"/>
      <c r="AJ15" s="570"/>
      <c r="AK15" s="570"/>
      <c r="AL15" s="570"/>
      <c r="AM15" s="570"/>
      <c r="AN15" s="570"/>
      <c r="AO15" s="570" t="s">
        <v>2372</v>
      </c>
      <c r="AP15" s="570" t="s">
        <v>2372</v>
      </c>
      <c r="AQ15" s="570"/>
      <c r="AR15" s="570"/>
      <c r="AS15" s="570" t="s">
        <v>2383</v>
      </c>
      <c r="AT15" s="570"/>
      <c r="AU15" s="570"/>
      <c r="AV15" s="570"/>
      <c r="AW15" s="570"/>
      <c r="AX15" s="570"/>
      <c r="AY15" s="570"/>
      <c r="AZ15" s="570" t="s">
        <v>2374</v>
      </c>
      <c r="BA15" s="570" t="s">
        <v>2383</v>
      </c>
      <c r="BB15" s="570"/>
      <c r="BC15" s="570"/>
      <c r="BD15" s="570"/>
      <c r="BE15" s="570" t="s">
        <v>2383</v>
      </c>
      <c r="BF15" s="570"/>
      <c r="BG15" s="570"/>
      <c r="BH15" s="570"/>
      <c r="BI15" s="570" t="s">
        <v>2383</v>
      </c>
      <c r="BJ15" s="570" t="s">
        <v>2383</v>
      </c>
      <c r="BK15" s="570" t="s">
        <v>2383</v>
      </c>
      <c r="BL15" s="570" t="s">
        <v>2383</v>
      </c>
      <c r="BM15" s="570"/>
      <c r="BN15" s="570"/>
      <c r="BO15" s="570"/>
      <c r="BP15" s="570" t="s">
        <v>2375</v>
      </c>
      <c r="BQ15" s="570"/>
      <c r="BR15" s="570"/>
      <c r="BS15" s="570"/>
      <c r="BT15" s="570" t="s">
        <v>2372</v>
      </c>
    </row>
    <row r="16">
      <c r="A16" s="129"/>
      <c r="B16" s="129"/>
      <c r="C16" s="522" t="s">
        <v>1907</v>
      </c>
      <c r="D16" s="570"/>
      <c r="E16" s="570"/>
      <c r="F16" s="570"/>
      <c r="G16" s="570"/>
      <c r="H16" s="570"/>
      <c r="I16" s="570"/>
      <c r="J16" s="570"/>
      <c r="K16" s="570"/>
      <c r="L16" s="570"/>
      <c r="M16" s="570"/>
      <c r="N16" s="570"/>
      <c r="O16" s="570"/>
      <c r="P16" s="570"/>
      <c r="Q16" s="570"/>
      <c r="R16" s="570"/>
      <c r="S16" s="570"/>
      <c r="T16" s="570"/>
      <c r="U16" s="570"/>
      <c r="V16" s="570"/>
      <c r="W16" s="570"/>
      <c r="X16" s="570"/>
      <c r="Y16" s="570"/>
      <c r="Z16" s="570"/>
      <c r="AA16" s="570"/>
      <c r="AB16" s="570"/>
      <c r="AC16" s="570"/>
      <c r="AD16" s="570"/>
      <c r="AE16" s="570"/>
      <c r="AF16" s="570"/>
      <c r="AG16" s="570"/>
      <c r="AH16" s="570"/>
      <c r="AI16" s="570"/>
      <c r="AJ16" s="570"/>
      <c r="AK16" s="570"/>
      <c r="AL16" s="570"/>
      <c r="AM16" s="570"/>
      <c r="AN16" s="570"/>
      <c r="AO16" s="570"/>
      <c r="AP16" s="570"/>
      <c r="AQ16" s="570"/>
      <c r="AR16" s="570"/>
      <c r="AS16" s="570"/>
      <c r="AT16" s="570"/>
      <c r="AU16" s="570"/>
      <c r="AV16" s="570"/>
      <c r="AW16" s="570"/>
      <c r="AX16" s="570"/>
      <c r="AY16" s="570"/>
      <c r="AZ16" s="570"/>
      <c r="BA16" s="570"/>
      <c r="BB16" s="570"/>
      <c r="BC16" s="570"/>
      <c r="BD16" s="570"/>
      <c r="BE16" s="570"/>
      <c r="BF16" s="570"/>
      <c r="BG16" s="570"/>
      <c r="BH16" s="570"/>
      <c r="BI16" s="570"/>
      <c r="BJ16" s="570"/>
      <c r="BK16" s="570"/>
      <c r="BL16" s="570"/>
      <c r="BM16" s="570"/>
      <c r="BN16" s="570"/>
      <c r="BO16" s="570"/>
      <c r="BP16" s="570"/>
      <c r="BQ16" s="570"/>
      <c r="BR16" s="570"/>
      <c r="BS16" s="570"/>
      <c r="BT16" s="570"/>
    </row>
    <row r="17">
      <c r="A17" s="129"/>
      <c r="B17" s="129"/>
      <c r="C17" s="575" t="s">
        <v>1895</v>
      </c>
      <c r="D17" s="570"/>
      <c r="E17" s="570"/>
      <c r="F17" s="570"/>
      <c r="G17" s="570"/>
      <c r="H17" s="570"/>
      <c r="I17" s="570"/>
      <c r="J17" s="570"/>
      <c r="K17" s="570"/>
      <c r="L17" s="570"/>
      <c r="M17" s="570"/>
      <c r="N17" s="570"/>
      <c r="O17" s="570"/>
      <c r="P17" s="570"/>
      <c r="Q17" s="570"/>
      <c r="R17" s="570"/>
      <c r="S17" s="570"/>
      <c r="T17" s="570"/>
      <c r="U17" s="570"/>
      <c r="V17" s="570"/>
      <c r="W17" s="570"/>
      <c r="X17" s="570"/>
      <c r="Y17" s="570"/>
      <c r="Z17" s="570"/>
      <c r="AA17" s="570"/>
      <c r="AB17" s="570"/>
      <c r="AC17" s="570"/>
      <c r="AD17" s="570"/>
      <c r="AE17" s="570"/>
      <c r="AF17" s="570"/>
      <c r="AG17" s="570"/>
      <c r="AH17" s="570"/>
      <c r="AI17" s="570"/>
      <c r="AJ17" s="570"/>
      <c r="AK17" s="570"/>
      <c r="AL17" s="570"/>
      <c r="AM17" s="570"/>
      <c r="AN17" s="570"/>
      <c r="AO17" s="570"/>
      <c r="AP17" s="570"/>
      <c r="AQ17" s="570"/>
      <c r="AR17" s="570"/>
      <c r="AS17" s="570"/>
      <c r="AT17" s="570"/>
      <c r="AU17" s="570"/>
      <c r="AV17" s="570"/>
      <c r="AW17" s="570"/>
      <c r="AX17" s="570"/>
      <c r="AY17" s="570"/>
      <c r="AZ17" s="570"/>
      <c r="BA17" s="570"/>
      <c r="BB17" s="570"/>
      <c r="BC17" s="570"/>
      <c r="BD17" s="570"/>
      <c r="BE17" s="570"/>
      <c r="BF17" s="570"/>
      <c r="BG17" s="570"/>
      <c r="BH17" s="570"/>
      <c r="BI17" s="570"/>
      <c r="BJ17" s="570"/>
      <c r="BK17" s="570"/>
      <c r="BL17" s="570"/>
      <c r="BM17" s="570"/>
      <c r="BN17" s="570"/>
      <c r="BO17" s="570"/>
      <c r="BP17" s="570"/>
      <c r="BQ17" s="570"/>
      <c r="BR17" s="570"/>
      <c r="BS17" s="570"/>
      <c r="BT17" s="570"/>
    </row>
    <row r="18">
      <c r="A18" s="129"/>
      <c r="B18" s="129"/>
      <c r="C18" s="575" t="s">
        <v>2384</v>
      </c>
      <c r="D18" s="570" t="s">
        <v>2385</v>
      </c>
      <c r="E18" s="570"/>
      <c r="F18" s="570"/>
      <c r="G18" s="570"/>
      <c r="H18" s="570"/>
      <c r="I18" s="570"/>
      <c r="J18" s="570"/>
      <c r="K18" s="570"/>
      <c r="L18" s="570"/>
      <c r="M18" s="570"/>
      <c r="N18" s="570"/>
      <c r="O18" s="570"/>
      <c r="P18" s="570"/>
      <c r="Q18" s="570"/>
      <c r="R18" s="570"/>
      <c r="S18" s="570"/>
      <c r="T18" s="570"/>
      <c r="U18" s="570"/>
      <c r="V18" s="570"/>
      <c r="W18" s="570"/>
      <c r="X18" s="570"/>
      <c r="Y18" s="570"/>
      <c r="Z18" s="570"/>
      <c r="AA18" s="570"/>
      <c r="AB18" s="570"/>
      <c r="AC18" s="570"/>
      <c r="AD18" s="570"/>
      <c r="AE18" s="570"/>
      <c r="AF18" s="570"/>
      <c r="AG18" s="570"/>
      <c r="AH18" s="570"/>
      <c r="AI18" s="570"/>
      <c r="AJ18" s="570"/>
      <c r="AK18" s="570"/>
      <c r="AL18" s="570"/>
      <c r="AM18" s="570"/>
      <c r="AN18" s="570"/>
      <c r="AO18" s="570"/>
      <c r="AP18" s="570"/>
      <c r="AQ18" s="570"/>
      <c r="AR18" s="570"/>
      <c r="AS18" s="570"/>
      <c r="AT18" s="570"/>
      <c r="AU18" s="570"/>
      <c r="AV18" s="570"/>
      <c r="AW18" s="570"/>
      <c r="AX18" s="570"/>
      <c r="AY18" s="570"/>
      <c r="AZ18" s="570"/>
      <c r="BA18" s="570"/>
      <c r="BB18" s="570"/>
      <c r="BC18" s="570"/>
      <c r="BD18" s="570"/>
      <c r="BE18" s="570"/>
      <c r="BF18" s="570"/>
      <c r="BG18" s="570"/>
      <c r="BH18" s="570"/>
      <c r="BI18" s="570"/>
      <c r="BJ18" s="570"/>
      <c r="BK18" s="570"/>
      <c r="BL18" s="570"/>
      <c r="BM18" s="570"/>
      <c r="BN18" s="570"/>
      <c r="BO18" s="570"/>
      <c r="BP18" s="570"/>
      <c r="BQ18" s="570"/>
      <c r="BR18" s="570"/>
      <c r="BS18" s="570"/>
      <c r="BT18" s="570"/>
    </row>
    <row r="19">
      <c r="A19" s="129"/>
      <c r="B19" s="129"/>
      <c r="C19" s="575" t="s">
        <v>2015</v>
      </c>
      <c r="D19" s="570"/>
      <c r="E19" s="570"/>
      <c r="F19" s="570"/>
      <c r="G19" s="570"/>
      <c r="H19" s="570"/>
      <c r="I19" s="570"/>
      <c r="J19" s="570"/>
      <c r="K19" s="570"/>
      <c r="L19" s="570"/>
      <c r="M19" s="570"/>
      <c r="N19" s="570"/>
      <c r="O19" s="570"/>
      <c r="P19" s="570"/>
      <c r="Q19" s="570"/>
      <c r="R19" s="570"/>
      <c r="S19" s="570"/>
      <c r="T19" s="570"/>
      <c r="U19" s="570"/>
      <c r="V19" s="570"/>
      <c r="W19" s="570"/>
      <c r="X19" s="570"/>
      <c r="Y19" s="570"/>
      <c r="Z19" s="570"/>
      <c r="AA19" s="570"/>
      <c r="AB19" s="570"/>
      <c r="AC19" s="570"/>
      <c r="AD19" s="570"/>
      <c r="AE19" s="570"/>
      <c r="AF19" s="570"/>
      <c r="AG19" s="570"/>
      <c r="AH19" s="570"/>
      <c r="AI19" s="570"/>
      <c r="AJ19" s="570"/>
      <c r="AK19" s="570"/>
      <c r="AL19" s="570"/>
      <c r="AM19" s="570"/>
      <c r="AN19" s="570"/>
      <c r="AO19" s="570"/>
      <c r="AP19" s="570"/>
      <c r="AQ19" s="570"/>
      <c r="AR19" s="570"/>
      <c r="AS19" s="570"/>
      <c r="AT19" s="570"/>
      <c r="AU19" s="570"/>
      <c r="AV19" s="570"/>
      <c r="AW19" s="570"/>
      <c r="AX19" s="570"/>
      <c r="AY19" s="570"/>
      <c r="AZ19" s="570"/>
      <c r="BA19" s="570"/>
      <c r="BB19" s="570"/>
      <c r="BC19" s="570"/>
      <c r="BD19" s="570"/>
      <c r="BE19" s="570"/>
      <c r="BF19" s="570"/>
      <c r="BG19" s="570"/>
      <c r="BH19" s="570"/>
      <c r="BI19" s="570"/>
      <c r="BJ19" s="570"/>
      <c r="BK19" s="570"/>
      <c r="BL19" s="570"/>
      <c r="BM19" s="570"/>
      <c r="BN19" s="570"/>
      <c r="BO19" s="570"/>
      <c r="BP19" s="570"/>
      <c r="BQ19" s="570"/>
      <c r="BR19" s="570"/>
      <c r="BS19" s="570"/>
      <c r="BT19" s="570"/>
    </row>
    <row r="20">
      <c r="A20" s="129"/>
      <c r="B20" s="56"/>
      <c r="C20" s="575" t="s">
        <v>2386</v>
      </c>
      <c r="D20" s="570" t="s">
        <v>2387</v>
      </c>
      <c r="E20" s="570"/>
      <c r="F20" s="570"/>
      <c r="G20" s="570"/>
      <c r="H20" s="570"/>
      <c r="I20" s="570"/>
      <c r="J20" s="570"/>
      <c r="K20" s="570"/>
      <c r="L20" s="570"/>
      <c r="M20" s="570"/>
      <c r="N20" s="570"/>
      <c r="O20" s="570"/>
      <c r="P20" s="570"/>
      <c r="Q20" s="570"/>
      <c r="R20" s="570"/>
      <c r="S20" s="570"/>
      <c r="T20" s="570"/>
      <c r="U20" s="570"/>
      <c r="V20" s="570"/>
      <c r="W20" s="570"/>
      <c r="X20" s="570"/>
      <c r="Y20" s="570"/>
      <c r="Z20" s="570"/>
      <c r="AA20" s="570"/>
      <c r="AB20" s="570"/>
      <c r="AC20" s="570"/>
      <c r="AD20" s="570"/>
      <c r="AE20" s="570"/>
      <c r="AF20" s="570"/>
      <c r="AG20" s="570"/>
      <c r="AH20" s="570"/>
      <c r="AI20" s="570"/>
      <c r="AJ20" s="570"/>
      <c r="AK20" s="570"/>
      <c r="AL20" s="570"/>
      <c r="AM20" s="570"/>
      <c r="AN20" s="570"/>
      <c r="AO20" s="570"/>
      <c r="AP20" s="570"/>
      <c r="AQ20" s="570"/>
      <c r="AR20" s="570"/>
      <c r="AS20" s="570"/>
      <c r="AT20" s="570"/>
      <c r="AU20" s="570"/>
      <c r="AV20" s="570"/>
      <c r="AW20" s="570"/>
      <c r="AX20" s="570"/>
      <c r="AY20" s="570"/>
      <c r="AZ20" s="570"/>
      <c r="BA20" s="570"/>
      <c r="BB20" s="570"/>
      <c r="BC20" s="570"/>
      <c r="BD20" s="570"/>
      <c r="BE20" s="570"/>
      <c r="BF20" s="570"/>
      <c r="BG20" s="570"/>
      <c r="BH20" s="570"/>
      <c r="BI20" s="570"/>
      <c r="BJ20" s="570"/>
      <c r="BK20" s="570"/>
      <c r="BL20" s="570"/>
      <c r="BM20" s="570"/>
      <c r="BN20" s="570"/>
      <c r="BO20" s="570"/>
      <c r="BP20" s="570"/>
      <c r="BQ20" s="570"/>
      <c r="BR20" s="570"/>
      <c r="BS20" s="570"/>
      <c r="BT20" s="570"/>
    </row>
    <row r="21">
      <c r="A21" s="129"/>
      <c r="B21" s="575" t="s">
        <v>2388</v>
      </c>
      <c r="C21" s="575" t="s">
        <v>1920</v>
      </c>
      <c r="D21" s="570" t="s">
        <v>2389</v>
      </c>
      <c r="E21" s="570"/>
      <c r="F21" s="570"/>
      <c r="G21" s="570"/>
      <c r="H21" s="570"/>
      <c r="I21" s="570"/>
      <c r="J21" s="570"/>
      <c r="K21" s="570"/>
      <c r="L21" s="570"/>
      <c r="M21" s="570"/>
      <c r="N21" s="570"/>
      <c r="O21" s="570"/>
      <c r="P21" s="570"/>
      <c r="Q21" s="570"/>
      <c r="R21" s="570"/>
      <c r="S21" s="570"/>
      <c r="T21" s="570"/>
      <c r="U21" s="570"/>
      <c r="V21" s="570"/>
      <c r="W21" s="570"/>
      <c r="X21" s="570"/>
      <c r="Y21" s="570"/>
      <c r="Z21" s="570"/>
      <c r="AA21" s="570"/>
      <c r="AB21" s="570"/>
      <c r="AC21" s="570"/>
      <c r="AD21" s="570"/>
      <c r="AE21" s="570"/>
      <c r="AF21" s="570"/>
      <c r="AG21" s="570"/>
      <c r="AH21" s="570"/>
      <c r="AI21" s="570"/>
      <c r="AJ21" s="570"/>
      <c r="AK21" s="570"/>
      <c r="AL21" s="570"/>
      <c r="AM21" s="570"/>
      <c r="AN21" s="570"/>
      <c r="AO21" s="570"/>
      <c r="AP21" s="570"/>
      <c r="AQ21" s="570"/>
      <c r="AR21" s="570"/>
      <c r="AS21" s="570"/>
      <c r="AT21" s="570"/>
      <c r="AU21" s="570"/>
      <c r="AV21" s="570"/>
      <c r="AW21" s="570"/>
      <c r="AX21" s="570"/>
      <c r="AY21" s="570"/>
      <c r="AZ21" s="570"/>
      <c r="BA21" s="570"/>
      <c r="BB21" s="570"/>
      <c r="BC21" s="570"/>
      <c r="BD21" s="570"/>
      <c r="BE21" s="570"/>
      <c r="BF21" s="570"/>
      <c r="BG21" s="570"/>
      <c r="BH21" s="570"/>
      <c r="BI21" s="570"/>
      <c r="BJ21" s="570"/>
      <c r="BK21" s="570"/>
      <c r="BL21" s="570"/>
      <c r="BM21" s="570"/>
      <c r="BN21" s="570"/>
      <c r="BO21" s="570"/>
      <c r="BP21" s="570"/>
      <c r="BQ21" s="570"/>
      <c r="BR21" s="570"/>
      <c r="BS21" s="570"/>
      <c r="BT21" s="570"/>
    </row>
    <row r="22">
      <c r="A22" s="129"/>
      <c r="B22" s="576" t="s">
        <v>2390</v>
      </c>
      <c r="C22" s="575" t="s">
        <v>2391</v>
      </c>
      <c r="D22" s="570"/>
      <c r="E22" s="570"/>
      <c r="F22" s="570"/>
      <c r="G22" s="570"/>
      <c r="H22" s="570"/>
      <c r="I22" s="570"/>
      <c r="J22" s="570"/>
      <c r="K22" s="570"/>
      <c r="L22" s="570"/>
      <c r="M22" s="570"/>
      <c r="N22" s="570"/>
      <c r="O22" s="570"/>
      <c r="P22" s="570"/>
      <c r="Q22" s="570"/>
      <c r="R22" s="570"/>
      <c r="S22" s="570"/>
      <c r="T22" s="570"/>
      <c r="U22" s="570"/>
      <c r="V22" s="570"/>
      <c r="W22" s="570"/>
      <c r="X22" s="570"/>
      <c r="Y22" s="570"/>
      <c r="Z22" s="570"/>
      <c r="AA22" s="570"/>
      <c r="AB22" s="570"/>
      <c r="AC22" s="570"/>
      <c r="AD22" s="570"/>
      <c r="AE22" s="570"/>
      <c r="AF22" s="570"/>
      <c r="AG22" s="570"/>
      <c r="AH22" s="570"/>
      <c r="AI22" s="570"/>
      <c r="AJ22" s="570"/>
      <c r="AK22" s="570"/>
      <c r="AL22" s="570"/>
      <c r="AM22" s="570"/>
      <c r="AN22" s="570"/>
      <c r="AO22" s="570"/>
      <c r="AP22" s="570"/>
      <c r="AQ22" s="570"/>
      <c r="AR22" s="570"/>
      <c r="AS22" s="570"/>
      <c r="AT22" s="570"/>
      <c r="AU22" s="570"/>
      <c r="AV22" s="570"/>
      <c r="AW22" s="570"/>
      <c r="AX22" s="570"/>
      <c r="AY22" s="570"/>
      <c r="AZ22" s="570"/>
      <c r="BA22" s="570"/>
      <c r="BB22" s="570"/>
      <c r="BC22" s="570"/>
      <c r="BD22" s="570"/>
      <c r="BE22" s="570"/>
      <c r="BF22" s="570"/>
      <c r="BG22" s="570"/>
      <c r="BH22" s="570"/>
      <c r="BI22" s="570"/>
      <c r="BJ22" s="570"/>
      <c r="BK22" s="570"/>
      <c r="BL22" s="570"/>
      <c r="BM22" s="570"/>
      <c r="BN22" s="570"/>
      <c r="BO22" s="570"/>
      <c r="BP22" s="570"/>
      <c r="BQ22" s="570"/>
      <c r="BR22" s="570"/>
      <c r="BS22" s="570"/>
      <c r="BT22" s="570"/>
    </row>
    <row r="23">
      <c r="A23" s="129"/>
      <c r="B23" s="56"/>
      <c r="C23" s="575" t="s">
        <v>2392</v>
      </c>
      <c r="D23" s="570"/>
      <c r="E23" s="570"/>
      <c r="F23" s="570"/>
      <c r="G23" s="570"/>
      <c r="H23" s="570"/>
      <c r="I23" s="570"/>
      <c r="J23" s="570"/>
      <c r="K23" s="570"/>
      <c r="L23" s="570"/>
      <c r="M23" s="570"/>
      <c r="N23" s="570"/>
      <c r="O23" s="570"/>
      <c r="P23" s="570"/>
      <c r="Q23" s="570"/>
      <c r="R23" s="570"/>
      <c r="S23" s="570"/>
      <c r="T23" s="570"/>
      <c r="U23" s="570"/>
      <c r="V23" s="570"/>
      <c r="W23" s="570"/>
      <c r="X23" s="570"/>
      <c r="Y23" s="570"/>
      <c r="Z23" s="570"/>
      <c r="AA23" s="570"/>
      <c r="AB23" s="570"/>
      <c r="AC23" s="570"/>
      <c r="AD23" s="570"/>
      <c r="AE23" s="570"/>
      <c r="AF23" s="570"/>
      <c r="AG23" s="570"/>
      <c r="AH23" s="570"/>
      <c r="AI23" s="570"/>
      <c r="AJ23" s="570"/>
      <c r="AK23" s="570"/>
      <c r="AL23" s="570"/>
      <c r="AM23" s="570"/>
      <c r="AN23" s="570"/>
      <c r="AO23" s="570"/>
      <c r="AP23" s="570"/>
      <c r="AQ23" s="570"/>
      <c r="AR23" s="570"/>
      <c r="AS23" s="570"/>
      <c r="AT23" s="570"/>
      <c r="AU23" s="570"/>
      <c r="AV23" s="570"/>
      <c r="AW23" s="570"/>
      <c r="AX23" s="570"/>
      <c r="AY23" s="570"/>
      <c r="AZ23" s="570"/>
      <c r="BA23" s="570"/>
      <c r="BB23" s="570"/>
      <c r="BC23" s="570"/>
      <c r="BD23" s="570"/>
      <c r="BE23" s="570"/>
      <c r="BF23" s="570"/>
      <c r="BG23" s="570"/>
      <c r="BH23" s="570"/>
      <c r="BI23" s="570"/>
      <c r="BJ23" s="570"/>
      <c r="BK23" s="570"/>
      <c r="BL23" s="570"/>
      <c r="BM23" s="570"/>
      <c r="BN23" s="570"/>
      <c r="BO23" s="570"/>
      <c r="BP23" s="570"/>
      <c r="BQ23" s="570"/>
      <c r="BR23" s="570"/>
      <c r="BS23" s="570"/>
      <c r="BT23" s="570"/>
    </row>
    <row r="24">
      <c r="A24" s="129"/>
      <c r="B24" s="576" t="s">
        <v>2393</v>
      </c>
      <c r="C24" s="575" t="s">
        <v>1928</v>
      </c>
      <c r="D24" s="570"/>
      <c r="E24" s="570"/>
      <c r="F24" s="570"/>
      <c r="G24" s="570"/>
      <c r="H24" s="570"/>
      <c r="I24" s="570"/>
      <c r="J24" s="570"/>
      <c r="K24" s="570"/>
      <c r="L24" s="570"/>
      <c r="M24" s="570"/>
      <c r="N24" s="570"/>
      <c r="O24" s="570"/>
      <c r="P24" s="570"/>
      <c r="Q24" s="570"/>
      <c r="R24" s="570"/>
      <c r="S24" s="570"/>
      <c r="T24" s="570"/>
      <c r="U24" s="570"/>
      <c r="V24" s="570"/>
      <c r="W24" s="570"/>
      <c r="X24" s="570"/>
      <c r="Y24" s="570"/>
      <c r="Z24" s="570"/>
      <c r="AA24" s="570"/>
      <c r="AB24" s="570"/>
      <c r="AC24" s="570"/>
      <c r="AD24" s="570"/>
      <c r="AE24" s="570"/>
      <c r="AF24" s="570"/>
      <c r="AG24" s="570"/>
      <c r="AH24" s="570"/>
      <c r="AI24" s="570"/>
      <c r="AJ24" s="570"/>
      <c r="AK24" s="570"/>
      <c r="AL24" s="570"/>
      <c r="AM24" s="570"/>
      <c r="AN24" s="570"/>
      <c r="AO24" s="570"/>
      <c r="AP24" s="570"/>
      <c r="AQ24" s="570"/>
      <c r="AR24" s="570"/>
      <c r="AS24" s="570"/>
      <c r="AT24" s="570"/>
      <c r="AU24" s="570"/>
      <c r="AV24" s="570"/>
      <c r="AW24" s="570"/>
      <c r="AX24" s="570"/>
      <c r="AY24" s="570"/>
      <c r="AZ24" s="570"/>
      <c r="BA24" s="570"/>
      <c r="BB24" s="570"/>
      <c r="BC24" s="570"/>
      <c r="BD24" s="570"/>
      <c r="BE24" s="570"/>
      <c r="BF24" s="570"/>
      <c r="BG24" s="570"/>
      <c r="BH24" s="570"/>
      <c r="BI24" s="570"/>
      <c r="BJ24" s="570"/>
      <c r="BK24" s="570"/>
      <c r="BL24" s="570"/>
      <c r="BM24" s="570"/>
      <c r="BN24" s="570"/>
      <c r="BO24" s="570"/>
      <c r="BP24" s="570"/>
      <c r="BQ24" s="570"/>
      <c r="BR24" s="570"/>
      <c r="BS24" s="570"/>
      <c r="BT24" s="570"/>
    </row>
    <row r="25">
      <c r="A25" s="56"/>
      <c r="B25" s="129"/>
      <c r="C25" s="575" t="s">
        <v>2394</v>
      </c>
      <c r="D25" s="570"/>
      <c r="E25" s="570"/>
      <c r="F25" s="570"/>
      <c r="G25" s="570"/>
      <c r="H25" s="570"/>
      <c r="I25" s="570"/>
      <c r="J25" s="570"/>
      <c r="K25" s="570"/>
      <c r="L25" s="570"/>
      <c r="M25" s="570"/>
      <c r="N25" s="570"/>
      <c r="O25" s="570"/>
      <c r="P25" s="570"/>
      <c r="Q25" s="570"/>
      <c r="R25" s="570"/>
      <c r="S25" s="570"/>
      <c r="T25" s="570"/>
      <c r="U25" s="570"/>
      <c r="V25" s="570"/>
      <c r="W25" s="570"/>
      <c r="X25" s="570"/>
      <c r="Y25" s="570"/>
      <c r="Z25" s="570"/>
      <c r="AA25" s="570"/>
      <c r="AB25" s="570"/>
      <c r="AC25" s="570"/>
      <c r="AD25" s="570"/>
      <c r="AE25" s="570"/>
      <c r="AF25" s="570"/>
      <c r="AG25" s="570"/>
      <c r="AH25" s="570"/>
      <c r="AI25" s="570"/>
      <c r="AJ25" s="570"/>
      <c r="AK25" s="570"/>
      <c r="AL25" s="570"/>
      <c r="AM25" s="570"/>
      <c r="AN25" s="570"/>
      <c r="AO25" s="570"/>
      <c r="AP25" s="570"/>
      <c r="AQ25" s="570"/>
      <c r="AR25" s="570"/>
      <c r="AS25" s="570"/>
      <c r="AT25" s="570"/>
      <c r="AU25" s="570"/>
      <c r="AV25" s="570"/>
      <c r="AW25" s="570"/>
      <c r="AX25" s="570"/>
      <c r="AY25" s="570"/>
      <c r="AZ25" s="570"/>
      <c r="BA25" s="570"/>
      <c r="BB25" s="570"/>
      <c r="BC25" s="570"/>
      <c r="BD25" s="570"/>
      <c r="BE25" s="570"/>
      <c r="BF25" s="570"/>
      <c r="BG25" s="570"/>
      <c r="BH25" s="570"/>
      <c r="BI25" s="570"/>
      <c r="BJ25" s="570"/>
      <c r="BK25" s="570"/>
      <c r="BL25" s="570"/>
      <c r="BM25" s="570"/>
      <c r="BN25" s="570"/>
      <c r="BO25" s="570"/>
      <c r="BP25" s="570"/>
      <c r="BQ25" s="570"/>
      <c r="BR25" s="570"/>
      <c r="BS25" s="570"/>
      <c r="BT25" s="570"/>
    </row>
    <row r="26">
      <c r="A26" s="577" t="s">
        <v>236</v>
      </c>
      <c r="B26" s="129"/>
      <c r="C26" s="578" t="s">
        <v>1934</v>
      </c>
      <c r="D26" s="570"/>
      <c r="E26" s="570" t="s">
        <v>2383</v>
      </c>
      <c r="F26" s="570"/>
      <c r="G26" s="570" t="s">
        <v>2383</v>
      </c>
      <c r="H26" s="570"/>
      <c r="I26" s="570" t="s">
        <v>2383</v>
      </c>
      <c r="J26" s="570" t="s">
        <v>2383</v>
      </c>
      <c r="K26" s="570"/>
      <c r="L26" s="570"/>
      <c r="M26" s="570"/>
      <c r="N26" s="570" t="s">
        <v>2383</v>
      </c>
      <c r="O26" s="570"/>
      <c r="P26" s="570" t="s">
        <v>2383</v>
      </c>
      <c r="Q26" s="570" t="s">
        <v>2383</v>
      </c>
      <c r="R26" s="570" t="s">
        <v>2383</v>
      </c>
      <c r="S26" s="570" t="s">
        <v>2383</v>
      </c>
      <c r="T26" s="570" t="s">
        <v>2383</v>
      </c>
      <c r="U26" s="570" t="s">
        <v>2383</v>
      </c>
      <c r="V26" s="570"/>
      <c r="W26" s="570"/>
      <c r="X26" s="570" t="s">
        <v>2383</v>
      </c>
      <c r="Y26" s="570"/>
      <c r="Z26" s="570" t="s">
        <v>2383</v>
      </c>
      <c r="AA26" s="570" t="s">
        <v>2383</v>
      </c>
      <c r="AB26" s="570" t="s">
        <v>2383</v>
      </c>
      <c r="AC26" s="570" t="s">
        <v>2383</v>
      </c>
      <c r="AD26" s="570"/>
      <c r="AE26" s="570"/>
      <c r="AF26" s="570"/>
      <c r="AG26" s="570"/>
      <c r="AH26" s="570"/>
      <c r="AI26" s="570" t="s">
        <v>2383</v>
      </c>
      <c r="AJ26" s="570" t="s">
        <v>2383</v>
      </c>
      <c r="AK26" s="570" t="s">
        <v>2383</v>
      </c>
      <c r="AL26" s="570" t="s">
        <v>2383</v>
      </c>
      <c r="AM26" s="570" t="s">
        <v>2383</v>
      </c>
      <c r="AN26" s="570"/>
      <c r="AO26" s="570"/>
      <c r="AP26" s="570"/>
      <c r="AQ26" s="570" t="s">
        <v>2383</v>
      </c>
      <c r="AR26" s="570" t="s">
        <v>2383</v>
      </c>
      <c r="AS26" s="570"/>
      <c r="AT26" s="570" t="s">
        <v>2383</v>
      </c>
      <c r="AU26" s="570"/>
      <c r="AV26" s="570"/>
      <c r="AW26" s="570"/>
      <c r="AX26" s="570"/>
      <c r="AY26" s="570"/>
      <c r="AZ26" s="570"/>
      <c r="BA26" s="570"/>
      <c r="BB26" s="570" t="s">
        <v>2383</v>
      </c>
      <c r="BC26" s="570" t="s">
        <v>2383</v>
      </c>
      <c r="BD26" s="570"/>
      <c r="BE26" s="570"/>
      <c r="BF26" s="570"/>
      <c r="BG26" s="570"/>
      <c r="BH26" s="570"/>
      <c r="BI26" s="570"/>
      <c r="BJ26" s="570"/>
      <c r="BK26" s="570"/>
      <c r="BL26" s="570"/>
      <c r="BM26" s="570"/>
      <c r="BN26" s="570"/>
      <c r="BO26" s="570"/>
      <c r="BP26" s="570"/>
      <c r="BQ26" s="570"/>
      <c r="BR26" s="570"/>
      <c r="BS26" s="570"/>
      <c r="BT26" s="570"/>
    </row>
    <row r="27">
      <c r="A27" s="129"/>
      <c r="B27" s="56"/>
      <c r="C27" s="578" t="s">
        <v>1935</v>
      </c>
      <c r="D27" s="570"/>
      <c r="E27" s="570"/>
      <c r="F27" s="570"/>
      <c r="G27" s="570"/>
      <c r="H27" s="570"/>
      <c r="I27" s="570"/>
      <c r="J27" s="570"/>
      <c r="K27" s="570"/>
      <c r="L27" s="570"/>
      <c r="M27" s="570"/>
      <c r="N27" s="570"/>
      <c r="O27" s="570"/>
      <c r="P27" s="570"/>
      <c r="Q27" s="570"/>
      <c r="R27" s="570"/>
      <c r="S27" s="570"/>
      <c r="T27" s="570"/>
      <c r="U27" s="570"/>
      <c r="V27" s="570"/>
      <c r="W27" s="570"/>
      <c r="X27" s="570"/>
      <c r="Y27" s="570"/>
      <c r="Z27" s="570"/>
      <c r="AA27" s="570"/>
      <c r="AB27" s="570"/>
      <c r="AC27" s="570"/>
      <c r="AD27" s="570"/>
      <c r="AE27" s="570"/>
      <c r="AF27" s="570"/>
      <c r="AG27" s="570"/>
      <c r="AH27" s="570"/>
      <c r="AI27" s="570"/>
      <c r="AJ27" s="570"/>
      <c r="AK27" s="570"/>
      <c r="AL27" s="570"/>
      <c r="AM27" s="570"/>
      <c r="AN27" s="570"/>
      <c r="AO27" s="570"/>
      <c r="AP27" s="570"/>
      <c r="AQ27" s="570"/>
      <c r="AR27" s="570"/>
      <c r="AS27" s="570"/>
      <c r="AT27" s="570"/>
      <c r="AU27" s="570"/>
      <c r="AV27" s="570"/>
      <c r="AW27" s="570"/>
      <c r="AX27" s="570"/>
      <c r="AY27" s="570"/>
      <c r="AZ27" s="570"/>
      <c r="BA27" s="570"/>
      <c r="BB27" s="570"/>
      <c r="BC27" s="570"/>
      <c r="BD27" s="570"/>
      <c r="BE27" s="570"/>
      <c r="BF27" s="570"/>
      <c r="BG27" s="570"/>
      <c r="BH27" s="570"/>
      <c r="BI27" s="570"/>
      <c r="BJ27" s="570"/>
      <c r="BK27" s="570"/>
      <c r="BL27" s="570"/>
      <c r="BM27" s="570"/>
      <c r="BN27" s="570"/>
      <c r="BO27" s="570"/>
      <c r="BP27" s="570"/>
      <c r="BQ27" s="570"/>
      <c r="BR27" s="570"/>
      <c r="BS27" s="570"/>
      <c r="BT27" s="570"/>
    </row>
    <row r="28">
      <c r="A28" s="56"/>
      <c r="B28" s="578" t="s">
        <v>2395</v>
      </c>
      <c r="C28" s="578" t="s">
        <v>1939</v>
      </c>
      <c r="D28" s="570"/>
      <c r="E28" s="570"/>
      <c r="F28" s="570"/>
      <c r="G28" s="570"/>
      <c r="H28" s="570"/>
      <c r="I28" s="570"/>
      <c r="J28" s="570"/>
      <c r="K28" s="570"/>
      <c r="L28" s="570"/>
      <c r="M28" s="570"/>
      <c r="N28" s="570"/>
      <c r="O28" s="570"/>
      <c r="P28" s="570"/>
      <c r="Q28" s="570"/>
      <c r="R28" s="570"/>
      <c r="S28" s="570"/>
      <c r="T28" s="570"/>
      <c r="U28" s="570"/>
      <c r="V28" s="570"/>
      <c r="W28" s="570"/>
      <c r="X28" s="570"/>
      <c r="Y28" s="570"/>
      <c r="Z28" s="570"/>
      <c r="AA28" s="570"/>
      <c r="AB28" s="570"/>
      <c r="AC28" s="570"/>
      <c r="AD28" s="570"/>
      <c r="AE28" s="570"/>
      <c r="AF28" s="570"/>
      <c r="AG28" s="570"/>
      <c r="AH28" s="570"/>
      <c r="AI28" s="570"/>
      <c r="AJ28" s="570"/>
      <c r="AK28" s="570"/>
      <c r="AL28" s="570"/>
      <c r="AM28" s="570"/>
      <c r="AN28" s="570"/>
      <c r="AO28" s="570"/>
      <c r="AP28" s="570"/>
      <c r="AQ28" s="570"/>
      <c r="AR28" s="570"/>
      <c r="AS28" s="570"/>
      <c r="AT28" s="570"/>
      <c r="AU28" s="570"/>
      <c r="AV28" s="570"/>
      <c r="AW28" s="570"/>
      <c r="AX28" s="570"/>
      <c r="AY28" s="570"/>
      <c r="AZ28" s="570"/>
      <c r="BA28" s="570"/>
      <c r="BB28" s="570"/>
      <c r="BC28" s="570"/>
      <c r="BD28" s="570"/>
      <c r="BE28" s="570"/>
      <c r="BF28" s="570"/>
      <c r="BG28" s="570"/>
      <c r="BH28" s="570"/>
      <c r="BI28" s="570"/>
      <c r="BJ28" s="570"/>
      <c r="BK28" s="570"/>
      <c r="BL28" s="570"/>
      <c r="BM28" s="570"/>
      <c r="BN28" s="570"/>
      <c r="BO28" s="570"/>
      <c r="BP28" s="570"/>
      <c r="BQ28" s="570"/>
      <c r="BR28" s="570"/>
      <c r="BS28" s="570"/>
      <c r="BT28" s="570"/>
    </row>
    <row r="29">
      <c r="A29" s="579" t="s">
        <v>40</v>
      </c>
      <c r="B29" s="576" t="s">
        <v>2396</v>
      </c>
      <c r="C29" s="575" t="s">
        <v>2397</v>
      </c>
      <c r="D29" s="570"/>
      <c r="E29" s="570" t="s">
        <v>2383</v>
      </c>
      <c r="F29" s="570"/>
      <c r="G29" s="570"/>
      <c r="H29" s="570"/>
      <c r="I29" s="570"/>
      <c r="J29" s="570"/>
      <c r="K29" s="570"/>
      <c r="L29" s="570"/>
      <c r="M29" s="570"/>
      <c r="N29" s="570"/>
      <c r="O29" s="570"/>
      <c r="P29" s="570"/>
      <c r="Q29" s="570" t="s">
        <v>2383</v>
      </c>
      <c r="R29" s="570" t="s">
        <v>2383</v>
      </c>
      <c r="S29" s="570" t="s">
        <v>2383</v>
      </c>
      <c r="T29" s="570" t="s">
        <v>2383</v>
      </c>
      <c r="U29" s="570" t="s">
        <v>2383</v>
      </c>
      <c r="V29" s="570"/>
      <c r="W29" s="570" t="s">
        <v>2383</v>
      </c>
      <c r="X29" s="570"/>
      <c r="Y29" s="570" t="s">
        <v>2383</v>
      </c>
      <c r="Z29" s="570"/>
      <c r="AA29" s="570"/>
      <c r="AB29" s="570" t="s">
        <v>2383</v>
      </c>
      <c r="AC29" s="570" t="s">
        <v>2383</v>
      </c>
      <c r="AD29" s="570"/>
      <c r="AE29" s="570"/>
      <c r="AF29" s="570" t="s">
        <v>2383</v>
      </c>
      <c r="AG29" s="570" t="s">
        <v>2383</v>
      </c>
      <c r="AH29" s="570" t="s">
        <v>2383</v>
      </c>
      <c r="AI29" s="570"/>
      <c r="AJ29" s="570"/>
      <c r="AK29" s="570"/>
      <c r="AL29" s="570"/>
      <c r="AM29" s="570"/>
      <c r="AN29" s="570"/>
      <c r="AO29" s="570"/>
      <c r="AP29" s="570"/>
      <c r="AQ29" s="570" t="s">
        <v>2383</v>
      </c>
      <c r="AR29" s="570"/>
      <c r="AS29" s="570"/>
      <c r="AT29" s="570"/>
      <c r="AU29" s="570"/>
      <c r="AV29" s="570"/>
      <c r="AW29" s="570"/>
      <c r="AX29" s="570"/>
      <c r="AY29" s="570"/>
      <c r="AZ29" s="570"/>
      <c r="BA29" s="570"/>
      <c r="BB29" s="570"/>
      <c r="BC29" s="570"/>
      <c r="BD29" s="570"/>
      <c r="BE29" s="570"/>
      <c r="BF29" s="570"/>
      <c r="BG29" s="570"/>
      <c r="BH29" s="570"/>
      <c r="BI29" s="570"/>
      <c r="BJ29" s="570"/>
      <c r="BK29" s="570"/>
      <c r="BL29" s="570" t="s">
        <v>2383</v>
      </c>
      <c r="BM29" s="570"/>
      <c r="BN29" s="570"/>
      <c r="BO29" s="570"/>
      <c r="BP29" s="570"/>
      <c r="BQ29" s="570" t="s">
        <v>2383</v>
      </c>
      <c r="BR29" s="570" t="s">
        <v>2383</v>
      </c>
      <c r="BS29" s="570"/>
      <c r="BT29" s="570"/>
    </row>
    <row r="30">
      <c r="A30" s="129"/>
      <c r="B30" s="56"/>
      <c r="C30" s="575" t="s">
        <v>1942</v>
      </c>
      <c r="D30" s="570"/>
      <c r="E30" s="570"/>
      <c r="F30" s="570"/>
      <c r="G30" s="570"/>
      <c r="H30" s="570"/>
      <c r="I30" s="570"/>
      <c r="J30" s="570"/>
      <c r="K30" s="570"/>
      <c r="L30" s="570"/>
      <c r="M30" s="570"/>
      <c r="N30" s="570"/>
      <c r="O30" s="570"/>
      <c r="P30" s="570"/>
      <c r="Q30" s="570"/>
      <c r="R30" s="570"/>
      <c r="S30" s="570"/>
      <c r="T30" s="570"/>
      <c r="U30" s="570"/>
      <c r="V30" s="570"/>
      <c r="W30" s="570"/>
      <c r="X30" s="570"/>
      <c r="Y30" s="570"/>
      <c r="Z30" s="570"/>
      <c r="AA30" s="570"/>
      <c r="AB30" s="570"/>
      <c r="AC30" s="570"/>
      <c r="AD30" s="570"/>
      <c r="AE30" s="570"/>
      <c r="AF30" s="570"/>
      <c r="AG30" s="570"/>
      <c r="AH30" s="570"/>
      <c r="AI30" s="570"/>
      <c r="AJ30" s="570"/>
      <c r="AK30" s="570"/>
      <c r="AL30" s="570"/>
      <c r="AM30" s="570"/>
      <c r="AN30" s="570"/>
      <c r="AO30" s="570"/>
      <c r="AP30" s="570"/>
      <c r="AQ30" s="570"/>
      <c r="AR30" s="570"/>
      <c r="AS30" s="570"/>
      <c r="AT30" s="570"/>
      <c r="AU30" s="570"/>
      <c r="AV30" s="570"/>
      <c r="AW30" s="570"/>
      <c r="AX30" s="570"/>
      <c r="AY30" s="570"/>
      <c r="AZ30" s="570"/>
      <c r="BA30" s="570"/>
      <c r="BB30" s="570"/>
      <c r="BC30" s="570"/>
      <c r="BD30" s="570"/>
      <c r="BE30" s="570"/>
      <c r="BF30" s="570"/>
      <c r="BG30" s="570"/>
      <c r="BH30" s="570"/>
      <c r="BI30" s="570"/>
      <c r="BJ30" s="570"/>
      <c r="BK30" s="570"/>
      <c r="BL30" s="570"/>
      <c r="BM30" s="570"/>
      <c r="BN30" s="570"/>
      <c r="BO30" s="570"/>
      <c r="BP30" s="570"/>
      <c r="BQ30" s="570"/>
      <c r="BR30" s="570"/>
      <c r="BS30" s="570"/>
      <c r="BT30" s="570"/>
    </row>
    <row r="31">
      <c r="A31" s="129"/>
      <c r="B31" s="576" t="s">
        <v>2398</v>
      </c>
      <c r="C31" s="575" t="s">
        <v>1950</v>
      </c>
      <c r="D31" s="570"/>
      <c r="E31" s="570"/>
      <c r="F31" s="570"/>
      <c r="G31" s="570"/>
      <c r="H31" s="570"/>
      <c r="I31" s="570"/>
      <c r="J31" s="570"/>
      <c r="K31" s="570"/>
      <c r="L31" s="570"/>
      <c r="M31" s="570"/>
      <c r="N31" s="570"/>
      <c r="O31" s="570"/>
      <c r="P31" s="570"/>
      <c r="Q31" s="570"/>
      <c r="R31" s="570"/>
      <c r="S31" s="570"/>
      <c r="T31" s="570"/>
      <c r="U31" s="570"/>
      <c r="V31" s="570"/>
      <c r="W31" s="570"/>
      <c r="X31" s="570"/>
      <c r="Y31" s="570"/>
      <c r="Z31" s="570"/>
      <c r="AA31" s="570"/>
      <c r="AB31" s="570"/>
      <c r="AC31" s="570"/>
      <c r="AD31" s="570"/>
      <c r="AE31" s="570"/>
      <c r="AF31" s="570"/>
      <c r="AG31" s="570"/>
      <c r="AH31" s="570"/>
      <c r="AI31" s="570"/>
      <c r="AJ31" s="570"/>
      <c r="AK31" s="570"/>
      <c r="AL31" s="570"/>
      <c r="AM31" s="570"/>
      <c r="AN31" s="570"/>
      <c r="AO31" s="570"/>
      <c r="AP31" s="570"/>
      <c r="AQ31" s="570"/>
      <c r="AR31" s="570"/>
      <c r="AS31" s="570"/>
      <c r="AT31" s="570"/>
      <c r="AU31" s="570"/>
      <c r="AV31" s="570"/>
      <c r="AW31" s="570"/>
      <c r="AX31" s="570"/>
      <c r="AY31" s="570"/>
      <c r="AZ31" s="570"/>
      <c r="BA31" s="570"/>
      <c r="BB31" s="570"/>
      <c r="BC31" s="570"/>
      <c r="BD31" s="570"/>
      <c r="BE31" s="570"/>
      <c r="BF31" s="570"/>
      <c r="BG31" s="570"/>
      <c r="BH31" s="570"/>
      <c r="BI31" s="570"/>
      <c r="BJ31" s="570"/>
      <c r="BK31" s="570"/>
      <c r="BL31" s="570"/>
      <c r="BM31" s="570"/>
      <c r="BN31" s="570"/>
      <c r="BO31" s="570"/>
      <c r="BP31" s="570"/>
      <c r="BQ31" s="570"/>
      <c r="BR31" s="570"/>
      <c r="BS31" s="570"/>
      <c r="BT31" s="570"/>
    </row>
    <row r="32">
      <c r="A32" s="56"/>
      <c r="B32" s="56"/>
      <c r="C32" s="575" t="s">
        <v>1948</v>
      </c>
      <c r="D32" s="570"/>
      <c r="E32" s="570"/>
      <c r="F32" s="570"/>
      <c r="G32" s="570"/>
      <c r="H32" s="570"/>
      <c r="I32" s="570"/>
      <c r="J32" s="570"/>
      <c r="K32" s="570"/>
      <c r="L32" s="570"/>
      <c r="M32" s="570"/>
      <c r="N32" s="570"/>
      <c r="O32" s="570"/>
      <c r="P32" s="570"/>
      <c r="Q32" s="570"/>
      <c r="R32" s="570"/>
      <c r="S32" s="570"/>
      <c r="T32" s="570"/>
      <c r="U32" s="570"/>
      <c r="V32" s="570"/>
      <c r="W32" s="570"/>
      <c r="X32" s="570"/>
      <c r="Y32" s="570"/>
      <c r="Z32" s="570"/>
      <c r="AA32" s="570"/>
      <c r="AB32" s="570"/>
      <c r="AC32" s="570"/>
      <c r="AD32" s="570"/>
      <c r="AE32" s="570"/>
      <c r="AF32" s="570"/>
      <c r="AG32" s="570"/>
      <c r="AH32" s="570"/>
      <c r="AI32" s="570"/>
      <c r="AJ32" s="570"/>
      <c r="AK32" s="570"/>
      <c r="AL32" s="570"/>
      <c r="AM32" s="570"/>
      <c r="AN32" s="570"/>
      <c r="AO32" s="570"/>
      <c r="AP32" s="570"/>
      <c r="AQ32" s="570"/>
      <c r="AR32" s="570"/>
      <c r="AS32" s="570"/>
      <c r="AT32" s="570"/>
      <c r="AU32" s="570"/>
      <c r="AV32" s="570"/>
      <c r="AW32" s="570"/>
      <c r="AX32" s="570"/>
      <c r="AY32" s="570"/>
      <c r="AZ32" s="570"/>
      <c r="BA32" s="570"/>
      <c r="BB32" s="570"/>
      <c r="BC32" s="570"/>
      <c r="BD32" s="570"/>
      <c r="BE32" s="570"/>
      <c r="BF32" s="570"/>
      <c r="BG32" s="570"/>
      <c r="BH32" s="570"/>
      <c r="BI32" s="570"/>
      <c r="BJ32" s="570"/>
      <c r="BK32" s="570"/>
      <c r="BL32" s="570"/>
      <c r="BM32" s="570"/>
      <c r="BN32" s="570"/>
      <c r="BO32" s="570"/>
      <c r="BP32" s="570"/>
      <c r="BQ32" s="570"/>
      <c r="BR32" s="570"/>
      <c r="BS32" s="570"/>
      <c r="BT32" s="570"/>
    </row>
    <row r="33">
      <c r="A33" s="580" t="s">
        <v>2399</v>
      </c>
      <c r="B33" s="575" t="s">
        <v>2400</v>
      </c>
      <c r="C33" s="575" t="s">
        <v>1956</v>
      </c>
      <c r="D33" s="570"/>
      <c r="E33" s="570"/>
      <c r="F33" s="570"/>
      <c r="G33" s="570"/>
      <c r="H33" s="570"/>
      <c r="I33" s="570"/>
      <c r="J33" s="570"/>
      <c r="K33" s="570"/>
      <c r="L33" s="570"/>
      <c r="M33" s="570"/>
      <c r="N33" s="570"/>
      <c r="O33" s="570"/>
      <c r="P33" s="570"/>
      <c r="Q33" s="570"/>
      <c r="R33" s="570"/>
      <c r="S33" s="570"/>
      <c r="T33" s="570"/>
      <c r="U33" s="570"/>
      <c r="V33" s="570"/>
      <c r="W33" s="570"/>
      <c r="X33" s="570"/>
      <c r="Y33" s="570"/>
      <c r="Z33" s="570"/>
      <c r="AA33" s="570"/>
      <c r="AB33" s="570"/>
      <c r="AC33" s="570"/>
      <c r="AD33" s="570"/>
      <c r="AE33" s="570"/>
      <c r="AF33" s="570"/>
      <c r="AG33" s="570"/>
      <c r="AH33" s="570"/>
      <c r="AI33" s="570"/>
      <c r="AJ33" s="570"/>
      <c r="AK33" s="570"/>
      <c r="AL33" s="570"/>
      <c r="AM33" s="570"/>
      <c r="AN33" s="570"/>
      <c r="AO33" s="570"/>
      <c r="AP33" s="570"/>
      <c r="AQ33" s="570"/>
      <c r="AR33" s="570"/>
      <c r="AS33" s="570"/>
      <c r="AT33" s="570"/>
      <c r="AU33" s="570"/>
      <c r="AV33" s="570"/>
      <c r="AW33" s="570"/>
      <c r="AX33" s="570"/>
      <c r="AY33" s="570"/>
      <c r="AZ33" s="570"/>
      <c r="BA33" s="570"/>
      <c r="BB33" s="570"/>
      <c r="BC33" s="570"/>
      <c r="BD33" s="570"/>
      <c r="BE33" s="570"/>
      <c r="BF33" s="570"/>
      <c r="BG33" s="570"/>
      <c r="BH33" s="570"/>
      <c r="BI33" s="570"/>
      <c r="BJ33" s="570"/>
      <c r="BK33" s="570"/>
      <c r="BL33" s="570"/>
      <c r="BM33" s="570"/>
      <c r="BN33" s="570"/>
      <c r="BO33" s="570"/>
      <c r="BP33" s="570"/>
      <c r="BQ33" s="570"/>
      <c r="BR33" s="570"/>
      <c r="BS33" s="570"/>
      <c r="BT33" s="570"/>
    </row>
    <row r="34">
      <c r="A34" s="129"/>
      <c r="B34" s="576" t="s">
        <v>2401</v>
      </c>
      <c r="C34" s="575" t="s">
        <v>1961</v>
      </c>
      <c r="D34" s="570"/>
      <c r="E34" s="570"/>
      <c r="F34" s="570"/>
      <c r="G34" s="570"/>
      <c r="H34" s="570"/>
      <c r="I34" s="570"/>
      <c r="J34" s="570"/>
      <c r="K34" s="570"/>
      <c r="L34" s="570"/>
      <c r="M34" s="570"/>
      <c r="N34" s="570"/>
      <c r="O34" s="570"/>
      <c r="P34" s="570"/>
      <c r="Q34" s="570"/>
      <c r="R34" s="570"/>
      <c r="S34" s="570"/>
      <c r="T34" s="570"/>
      <c r="U34" s="570"/>
      <c r="V34" s="570"/>
      <c r="W34" s="570"/>
      <c r="X34" s="570"/>
      <c r="Y34" s="570"/>
      <c r="Z34" s="570"/>
      <c r="AA34" s="570"/>
      <c r="AB34" s="570"/>
      <c r="AC34" s="570"/>
      <c r="AD34" s="570"/>
      <c r="AE34" s="570"/>
      <c r="AF34" s="570"/>
      <c r="AG34" s="570"/>
      <c r="AH34" s="570"/>
      <c r="AI34" s="570"/>
      <c r="AJ34" s="570"/>
      <c r="AK34" s="570"/>
      <c r="AL34" s="570"/>
      <c r="AM34" s="570"/>
      <c r="AN34" s="570"/>
      <c r="AO34" s="570"/>
      <c r="AP34" s="570"/>
      <c r="AQ34" s="570"/>
      <c r="AR34" s="570"/>
      <c r="AS34" s="570"/>
      <c r="AT34" s="570"/>
      <c r="AU34" s="570"/>
      <c r="AV34" s="570"/>
      <c r="AW34" s="570"/>
      <c r="AX34" s="570"/>
      <c r="AY34" s="570"/>
      <c r="AZ34" s="570"/>
      <c r="BA34" s="570"/>
      <c r="BB34" s="570"/>
      <c r="BC34" s="570"/>
      <c r="BD34" s="570"/>
      <c r="BE34" s="570"/>
      <c r="BF34" s="570"/>
      <c r="BG34" s="570"/>
      <c r="BH34" s="570"/>
      <c r="BI34" s="570"/>
      <c r="BJ34" s="570"/>
      <c r="BK34" s="570"/>
      <c r="BL34" s="570"/>
      <c r="BM34" s="570"/>
      <c r="BN34" s="570"/>
      <c r="BO34" s="570"/>
      <c r="BP34" s="570"/>
      <c r="BQ34" s="570"/>
      <c r="BR34" s="570"/>
      <c r="BS34" s="570"/>
      <c r="BT34" s="570"/>
    </row>
    <row r="35">
      <c r="A35" s="129"/>
      <c r="B35" s="129"/>
      <c r="C35" s="575" t="s">
        <v>2402</v>
      </c>
      <c r="D35" s="570"/>
      <c r="E35" s="570"/>
      <c r="F35" s="570"/>
      <c r="G35" s="570"/>
      <c r="H35" s="570"/>
      <c r="I35" s="570"/>
      <c r="J35" s="570"/>
      <c r="K35" s="570"/>
      <c r="L35" s="570"/>
      <c r="M35" s="570"/>
      <c r="N35" s="570"/>
      <c r="O35" s="570"/>
      <c r="P35" s="570"/>
      <c r="Q35" s="570"/>
      <c r="R35" s="570"/>
      <c r="S35" s="570"/>
      <c r="T35" s="570"/>
      <c r="U35" s="570"/>
      <c r="V35" s="570"/>
      <c r="W35" s="570"/>
      <c r="X35" s="570"/>
      <c r="Y35" s="570"/>
      <c r="Z35" s="570"/>
      <c r="AA35" s="570"/>
      <c r="AB35" s="570"/>
      <c r="AC35" s="570"/>
      <c r="AD35" s="570"/>
      <c r="AE35" s="570"/>
      <c r="AF35" s="570"/>
      <c r="AG35" s="570"/>
      <c r="AH35" s="570"/>
      <c r="AI35" s="570"/>
      <c r="AJ35" s="570"/>
      <c r="AK35" s="570"/>
      <c r="AL35" s="570"/>
      <c r="AM35" s="570"/>
      <c r="AN35" s="570"/>
      <c r="AO35" s="570"/>
      <c r="AP35" s="570"/>
      <c r="AQ35" s="570"/>
      <c r="AR35" s="570"/>
      <c r="AS35" s="570"/>
      <c r="AT35" s="570"/>
      <c r="AU35" s="570"/>
      <c r="AV35" s="570"/>
      <c r="AW35" s="570"/>
      <c r="AX35" s="570"/>
      <c r="AY35" s="570"/>
      <c r="AZ35" s="570"/>
      <c r="BA35" s="570"/>
      <c r="BB35" s="570"/>
      <c r="BC35" s="570"/>
      <c r="BD35" s="570"/>
      <c r="BE35" s="570"/>
      <c r="BF35" s="570"/>
      <c r="BG35" s="570"/>
      <c r="BH35" s="570"/>
      <c r="BI35" s="570"/>
      <c r="BJ35" s="570"/>
      <c r="BK35" s="570"/>
      <c r="BL35" s="570"/>
      <c r="BM35" s="570"/>
      <c r="BN35" s="570"/>
      <c r="BO35" s="570"/>
      <c r="BP35" s="570"/>
      <c r="BQ35" s="570"/>
      <c r="BR35" s="570"/>
      <c r="BS35" s="570"/>
      <c r="BT35" s="570"/>
    </row>
    <row r="36">
      <c r="A36" s="129"/>
      <c r="B36" s="56"/>
      <c r="C36" s="575" t="s">
        <v>2403</v>
      </c>
      <c r="D36" s="570"/>
      <c r="E36" s="570"/>
      <c r="F36" s="570"/>
      <c r="G36" s="570"/>
      <c r="H36" s="570"/>
      <c r="I36" s="570"/>
      <c r="J36" s="570"/>
      <c r="K36" s="570"/>
      <c r="L36" s="570"/>
      <c r="M36" s="570"/>
      <c r="N36" s="570"/>
      <c r="O36" s="570"/>
      <c r="P36" s="570"/>
      <c r="Q36" s="570"/>
      <c r="R36" s="570"/>
      <c r="S36" s="570"/>
      <c r="T36" s="570"/>
      <c r="U36" s="570"/>
      <c r="V36" s="570"/>
      <c r="W36" s="570"/>
      <c r="X36" s="570"/>
      <c r="Y36" s="570"/>
      <c r="Z36" s="570"/>
      <c r="AA36" s="570"/>
      <c r="AB36" s="570"/>
      <c r="AC36" s="570"/>
      <c r="AD36" s="570"/>
      <c r="AE36" s="570"/>
      <c r="AF36" s="570"/>
      <c r="AG36" s="570"/>
      <c r="AH36" s="570"/>
      <c r="AI36" s="570"/>
      <c r="AJ36" s="570"/>
      <c r="AK36" s="570"/>
      <c r="AL36" s="570"/>
      <c r="AM36" s="570"/>
      <c r="AN36" s="570"/>
      <c r="AO36" s="570"/>
      <c r="AP36" s="570"/>
      <c r="AQ36" s="570"/>
      <c r="AR36" s="570"/>
      <c r="AS36" s="570"/>
      <c r="AT36" s="570"/>
      <c r="AU36" s="570"/>
      <c r="AV36" s="570"/>
      <c r="AW36" s="570"/>
      <c r="AX36" s="570"/>
      <c r="AY36" s="570"/>
      <c r="AZ36" s="570"/>
      <c r="BA36" s="570"/>
      <c r="BB36" s="570"/>
      <c r="BC36" s="570"/>
      <c r="BD36" s="570"/>
      <c r="BE36" s="570"/>
      <c r="BF36" s="570"/>
      <c r="BG36" s="570"/>
      <c r="BH36" s="570"/>
      <c r="BI36" s="570"/>
      <c r="BJ36" s="570"/>
      <c r="BK36" s="570"/>
      <c r="BL36" s="570"/>
      <c r="BM36" s="570"/>
      <c r="BN36" s="570"/>
      <c r="BO36" s="570"/>
      <c r="BP36" s="570"/>
      <c r="BQ36" s="570"/>
      <c r="BR36" s="570"/>
      <c r="BS36" s="570"/>
      <c r="BT36" s="570"/>
    </row>
    <row r="37">
      <c r="A37" s="129"/>
      <c r="B37" s="575" t="s">
        <v>2404</v>
      </c>
      <c r="C37" s="581"/>
      <c r="D37" s="570"/>
      <c r="E37" s="570"/>
      <c r="F37" s="570"/>
      <c r="G37" s="570"/>
      <c r="H37" s="570"/>
      <c r="I37" s="570"/>
      <c r="J37" s="570"/>
      <c r="K37" s="570"/>
      <c r="L37" s="570"/>
      <c r="M37" s="570"/>
      <c r="N37" s="570"/>
      <c r="O37" s="570"/>
      <c r="P37" s="570"/>
      <c r="Q37" s="570"/>
      <c r="R37" s="570"/>
      <c r="S37" s="570"/>
      <c r="T37" s="570"/>
      <c r="U37" s="570"/>
      <c r="V37" s="570"/>
      <c r="W37" s="570"/>
      <c r="X37" s="570"/>
      <c r="Y37" s="570"/>
      <c r="Z37" s="570"/>
      <c r="AA37" s="570"/>
      <c r="AB37" s="570"/>
      <c r="AC37" s="570"/>
      <c r="AD37" s="570"/>
      <c r="AE37" s="570"/>
      <c r="AF37" s="570"/>
      <c r="AG37" s="570"/>
      <c r="AH37" s="570"/>
      <c r="AI37" s="570"/>
      <c r="AJ37" s="570"/>
      <c r="AK37" s="570"/>
      <c r="AL37" s="570"/>
      <c r="AM37" s="570"/>
      <c r="AN37" s="570"/>
      <c r="AO37" s="570"/>
      <c r="AP37" s="570"/>
      <c r="AQ37" s="570"/>
      <c r="AR37" s="570"/>
      <c r="AS37" s="570"/>
      <c r="AT37" s="570"/>
      <c r="AU37" s="570"/>
      <c r="AV37" s="570"/>
      <c r="AW37" s="570"/>
      <c r="AX37" s="570"/>
      <c r="AY37" s="570"/>
      <c r="AZ37" s="570"/>
      <c r="BA37" s="570"/>
      <c r="BB37" s="570"/>
      <c r="BC37" s="570"/>
      <c r="BD37" s="570"/>
      <c r="BE37" s="570"/>
      <c r="BF37" s="570"/>
      <c r="BG37" s="570"/>
      <c r="BH37" s="570"/>
      <c r="BI37" s="570"/>
      <c r="BJ37" s="570"/>
      <c r="BK37" s="570"/>
      <c r="BL37" s="570"/>
      <c r="BM37" s="570"/>
      <c r="BN37" s="570"/>
      <c r="BO37" s="570"/>
      <c r="BP37" s="570"/>
      <c r="BQ37" s="570"/>
      <c r="BR37" s="570"/>
      <c r="BS37" s="570"/>
      <c r="BT37" s="570"/>
    </row>
    <row r="38">
      <c r="A38" s="129"/>
      <c r="B38" s="575" t="s">
        <v>2405</v>
      </c>
      <c r="C38" s="581"/>
      <c r="D38" s="570"/>
      <c r="E38" s="570"/>
      <c r="F38" s="570"/>
      <c r="G38" s="570"/>
      <c r="H38" s="570"/>
      <c r="I38" s="570"/>
      <c r="J38" s="570"/>
      <c r="K38" s="570"/>
      <c r="L38" s="570"/>
      <c r="M38" s="570"/>
      <c r="N38" s="570"/>
      <c r="O38" s="570"/>
      <c r="P38" s="570"/>
      <c r="Q38" s="570"/>
      <c r="R38" s="570"/>
      <c r="S38" s="570"/>
      <c r="T38" s="570"/>
      <c r="U38" s="570"/>
      <c r="V38" s="570"/>
      <c r="W38" s="570"/>
      <c r="X38" s="570"/>
      <c r="Y38" s="570"/>
      <c r="Z38" s="570"/>
      <c r="AA38" s="570"/>
      <c r="AB38" s="570"/>
      <c r="AC38" s="570"/>
      <c r="AD38" s="570"/>
      <c r="AE38" s="570"/>
      <c r="AF38" s="570"/>
      <c r="AG38" s="570"/>
      <c r="AH38" s="570"/>
      <c r="AI38" s="570"/>
      <c r="AJ38" s="570"/>
      <c r="AK38" s="570"/>
      <c r="AL38" s="570"/>
      <c r="AM38" s="570"/>
      <c r="AN38" s="570"/>
      <c r="AO38" s="570"/>
      <c r="AP38" s="570"/>
      <c r="AQ38" s="570"/>
      <c r="AR38" s="570"/>
      <c r="AS38" s="570"/>
      <c r="AT38" s="570"/>
      <c r="AU38" s="570"/>
      <c r="AV38" s="570"/>
      <c r="AW38" s="570"/>
      <c r="AX38" s="570"/>
      <c r="AY38" s="570"/>
      <c r="AZ38" s="570"/>
      <c r="BA38" s="570"/>
      <c r="BB38" s="570"/>
      <c r="BC38" s="570"/>
      <c r="BD38" s="570"/>
      <c r="BE38" s="570"/>
      <c r="BF38" s="570"/>
      <c r="BG38" s="570"/>
      <c r="BH38" s="570"/>
      <c r="BI38" s="570"/>
      <c r="BJ38" s="570"/>
      <c r="BK38" s="570"/>
      <c r="BL38" s="570"/>
      <c r="BM38" s="570"/>
      <c r="BN38" s="570"/>
      <c r="BO38" s="570"/>
      <c r="BP38" s="570"/>
      <c r="BQ38" s="570"/>
      <c r="BR38" s="570"/>
      <c r="BS38" s="570"/>
      <c r="BT38" s="570"/>
    </row>
    <row r="39">
      <c r="A39" s="56"/>
      <c r="B39" s="576" t="s">
        <v>2406</v>
      </c>
      <c r="C39" s="575" t="s">
        <v>2407</v>
      </c>
      <c r="D39" s="570"/>
      <c r="E39" s="570"/>
      <c r="F39" s="570"/>
      <c r="G39" s="570"/>
      <c r="H39" s="570"/>
      <c r="I39" s="570"/>
      <c r="J39" s="570"/>
      <c r="K39" s="570"/>
      <c r="L39" s="570"/>
      <c r="M39" s="570"/>
      <c r="N39" s="570"/>
      <c r="O39" s="570"/>
      <c r="P39" s="570"/>
      <c r="Q39" s="570"/>
      <c r="R39" s="570"/>
      <c r="S39" s="570"/>
      <c r="T39" s="570"/>
      <c r="U39" s="570"/>
      <c r="V39" s="570"/>
      <c r="W39" s="570"/>
      <c r="X39" s="570"/>
      <c r="Y39" s="570"/>
      <c r="Z39" s="570"/>
      <c r="AA39" s="570"/>
      <c r="AB39" s="570"/>
      <c r="AC39" s="570"/>
      <c r="AD39" s="570"/>
      <c r="AE39" s="570"/>
      <c r="AF39" s="570"/>
      <c r="AG39" s="570"/>
      <c r="AH39" s="570"/>
      <c r="AI39" s="570"/>
      <c r="AJ39" s="570"/>
      <c r="AK39" s="570"/>
      <c r="AL39" s="570"/>
      <c r="AM39" s="570"/>
      <c r="AN39" s="570"/>
      <c r="AO39" s="570"/>
      <c r="AP39" s="570"/>
      <c r="AQ39" s="570"/>
      <c r="AR39" s="570"/>
      <c r="AS39" s="570"/>
      <c r="AT39" s="570"/>
      <c r="AU39" s="570"/>
      <c r="AV39" s="570"/>
      <c r="AW39" s="570"/>
      <c r="AX39" s="570"/>
      <c r="AY39" s="570"/>
      <c r="AZ39" s="570"/>
      <c r="BA39" s="570"/>
      <c r="BB39" s="570"/>
      <c r="BC39" s="570"/>
      <c r="BD39" s="570"/>
      <c r="BE39" s="570"/>
      <c r="BF39" s="570"/>
      <c r="BG39" s="570"/>
      <c r="BH39" s="570"/>
      <c r="BI39" s="570"/>
      <c r="BJ39" s="570"/>
      <c r="BK39" s="570"/>
      <c r="BL39" s="570"/>
      <c r="BM39" s="570"/>
      <c r="BN39" s="570"/>
      <c r="BO39" s="570"/>
      <c r="BP39" s="570"/>
      <c r="BQ39" s="570"/>
      <c r="BR39" s="570"/>
      <c r="BS39" s="570"/>
      <c r="BT39" s="570"/>
    </row>
    <row r="40">
      <c r="A40" s="582" t="s">
        <v>2408</v>
      </c>
      <c r="B40" s="129"/>
      <c r="C40" s="575" t="s">
        <v>1978</v>
      </c>
      <c r="D40" s="570"/>
      <c r="E40" s="570"/>
      <c r="F40" s="570"/>
      <c r="G40" s="570"/>
      <c r="H40" s="570"/>
      <c r="I40" s="570"/>
      <c r="J40" s="570"/>
      <c r="K40" s="570"/>
      <c r="L40" s="570"/>
      <c r="M40" s="570"/>
      <c r="N40" s="570"/>
      <c r="O40" s="570"/>
      <c r="P40" s="570"/>
      <c r="Q40" s="570"/>
      <c r="R40" s="570"/>
      <c r="S40" s="570"/>
      <c r="T40" s="570"/>
      <c r="U40" s="570"/>
      <c r="V40" s="570"/>
      <c r="W40" s="570"/>
      <c r="X40" s="570"/>
      <c r="Y40" s="570"/>
      <c r="Z40" s="570"/>
      <c r="AA40" s="570"/>
      <c r="AB40" s="570"/>
      <c r="AC40" s="570"/>
      <c r="AD40" s="570"/>
      <c r="AE40" s="570"/>
      <c r="AF40" s="570"/>
      <c r="AG40" s="570"/>
      <c r="AH40" s="570"/>
      <c r="AI40" s="570"/>
      <c r="AJ40" s="570"/>
      <c r="AK40" s="570"/>
      <c r="AL40" s="570"/>
      <c r="AM40" s="570"/>
      <c r="AN40" s="570"/>
      <c r="AO40" s="570"/>
      <c r="AP40" s="570"/>
      <c r="AQ40" s="570"/>
      <c r="AR40" s="570"/>
      <c r="AS40" s="570"/>
      <c r="AT40" s="570"/>
      <c r="AU40" s="570"/>
      <c r="AV40" s="570"/>
      <c r="AW40" s="570"/>
      <c r="AX40" s="570"/>
      <c r="AY40" s="570"/>
      <c r="AZ40" s="570"/>
      <c r="BA40" s="570"/>
      <c r="BB40" s="570"/>
      <c r="BC40" s="570"/>
      <c r="BD40" s="570"/>
      <c r="BE40" s="570"/>
      <c r="BF40" s="570"/>
      <c r="BG40" s="570"/>
      <c r="BH40" s="570"/>
      <c r="BI40" s="570"/>
      <c r="BJ40" s="570"/>
      <c r="BK40" s="570"/>
      <c r="BL40" s="570"/>
      <c r="BM40" s="570"/>
      <c r="BN40" s="570"/>
      <c r="BO40" s="570"/>
      <c r="BP40" s="570"/>
      <c r="BQ40" s="570"/>
      <c r="BR40" s="570"/>
      <c r="BS40" s="570"/>
      <c r="BT40" s="570"/>
    </row>
    <row r="41">
      <c r="A41" s="129"/>
      <c r="B41" s="129"/>
      <c r="C41" s="575" t="s">
        <v>1981</v>
      </c>
      <c r="D41" s="570"/>
      <c r="E41" s="570"/>
      <c r="F41" s="570"/>
      <c r="G41" s="570"/>
      <c r="H41" s="570"/>
      <c r="I41" s="570"/>
      <c r="J41" s="570"/>
      <c r="K41" s="570"/>
      <c r="L41" s="570"/>
      <c r="M41" s="570"/>
      <c r="N41" s="570"/>
      <c r="O41" s="570"/>
      <c r="P41" s="570"/>
      <c r="Q41" s="570"/>
      <c r="R41" s="570"/>
      <c r="S41" s="570"/>
      <c r="T41" s="570"/>
      <c r="U41" s="570"/>
      <c r="V41" s="570"/>
      <c r="W41" s="570"/>
      <c r="X41" s="570"/>
      <c r="Y41" s="570"/>
      <c r="Z41" s="570"/>
      <c r="AA41" s="570"/>
      <c r="AB41" s="570"/>
      <c r="AC41" s="570"/>
      <c r="AD41" s="570"/>
      <c r="AE41" s="570"/>
      <c r="AF41" s="570"/>
      <c r="AG41" s="570"/>
      <c r="AH41" s="570"/>
      <c r="AI41" s="570"/>
      <c r="AJ41" s="570"/>
      <c r="AK41" s="570"/>
      <c r="AL41" s="570"/>
      <c r="AM41" s="570"/>
      <c r="AN41" s="570"/>
      <c r="AO41" s="570"/>
      <c r="AP41" s="570"/>
      <c r="AQ41" s="570"/>
      <c r="AR41" s="570"/>
      <c r="AS41" s="570"/>
      <c r="AT41" s="570"/>
      <c r="AU41" s="570"/>
      <c r="AV41" s="570"/>
      <c r="AW41" s="570"/>
      <c r="AX41" s="570"/>
      <c r="AY41" s="570"/>
      <c r="AZ41" s="570"/>
      <c r="BA41" s="570"/>
      <c r="BB41" s="570"/>
      <c r="BC41" s="570"/>
      <c r="BD41" s="570"/>
      <c r="BE41" s="570"/>
      <c r="BF41" s="570"/>
      <c r="BG41" s="570"/>
      <c r="BH41" s="570"/>
      <c r="BI41" s="570"/>
      <c r="BJ41" s="570"/>
      <c r="BK41" s="570"/>
      <c r="BL41" s="570"/>
      <c r="BM41" s="570"/>
      <c r="BN41" s="570"/>
      <c r="BO41" s="570"/>
      <c r="BP41" s="570"/>
      <c r="BQ41" s="570"/>
      <c r="BR41" s="570"/>
      <c r="BS41" s="570"/>
      <c r="BT41" s="570"/>
    </row>
    <row r="42">
      <c r="A42" s="129"/>
      <c r="B42" s="129"/>
      <c r="C42" s="575" t="s">
        <v>1974</v>
      </c>
      <c r="D42" s="570"/>
      <c r="E42" s="570"/>
      <c r="F42" s="570"/>
      <c r="G42" s="570"/>
      <c r="H42" s="570"/>
      <c r="I42" s="570"/>
      <c r="J42" s="570"/>
      <c r="K42" s="570"/>
      <c r="L42" s="570"/>
      <c r="M42" s="570"/>
      <c r="N42" s="570"/>
      <c r="O42" s="570"/>
      <c r="P42" s="570"/>
      <c r="Q42" s="570"/>
      <c r="R42" s="570"/>
      <c r="S42" s="570"/>
      <c r="T42" s="570"/>
      <c r="U42" s="570"/>
      <c r="V42" s="570"/>
      <c r="W42" s="570"/>
      <c r="X42" s="570"/>
      <c r="Y42" s="570"/>
      <c r="Z42" s="570"/>
      <c r="AA42" s="570"/>
      <c r="AB42" s="570"/>
      <c r="AC42" s="570"/>
      <c r="AD42" s="570"/>
      <c r="AE42" s="570"/>
      <c r="AF42" s="570"/>
      <c r="AG42" s="570"/>
      <c r="AH42" s="570"/>
      <c r="AI42" s="570"/>
      <c r="AJ42" s="570"/>
      <c r="AK42" s="570"/>
      <c r="AL42" s="570"/>
      <c r="AM42" s="570"/>
      <c r="AN42" s="570"/>
      <c r="AO42" s="570"/>
      <c r="AP42" s="570"/>
      <c r="AQ42" s="570"/>
      <c r="AR42" s="570"/>
      <c r="AS42" s="570"/>
      <c r="AT42" s="570"/>
      <c r="AU42" s="570"/>
      <c r="AV42" s="570"/>
      <c r="AW42" s="570"/>
      <c r="AX42" s="570"/>
      <c r="AY42" s="570"/>
      <c r="AZ42" s="570"/>
      <c r="BA42" s="570"/>
      <c r="BB42" s="570"/>
      <c r="BC42" s="570"/>
      <c r="BD42" s="570"/>
      <c r="BE42" s="570"/>
      <c r="BF42" s="570"/>
      <c r="BG42" s="570"/>
      <c r="BH42" s="570"/>
      <c r="BI42" s="570"/>
      <c r="BJ42" s="570"/>
      <c r="BK42" s="570"/>
      <c r="BL42" s="570"/>
      <c r="BM42" s="570"/>
      <c r="BN42" s="570"/>
      <c r="BO42" s="570"/>
      <c r="BP42" s="570"/>
      <c r="BQ42" s="570"/>
      <c r="BR42" s="570"/>
      <c r="BS42" s="570"/>
      <c r="BT42" s="570"/>
    </row>
    <row r="43">
      <c r="A43" s="129"/>
      <c r="B43" s="129"/>
      <c r="C43" s="575" t="s">
        <v>1984</v>
      </c>
      <c r="D43" s="570"/>
      <c r="E43" s="570"/>
      <c r="F43" s="570"/>
      <c r="G43" s="570"/>
      <c r="H43" s="570"/>
      <c r="I43" s="570"/>
      <c r="J43" s="570"/>
      <c r="K43" s="570"/>
      <c r="L43" s="570"/>
      <c r="M43" s="570"/>
      <c r="N43" s="570"/>
      <c r="O43" s="570"/>
      <c r="P43" s="570"/>
      <c r="Q43" s="570"/>
      <c r="R43" s="570"/>
      <c r="S43" s="570"/>
      <c r="T43" s="570"/>
      <c r="U43" s="570"/>
      <c r="V43" s="570"/>
      <c r="W43" s="570"/>
      <c r="X43" s="570"/>
      <c r="Y43" s="570"/>
      <c r="Z43" s="570"/>
      <c r="AA43" s="570"/>
      <c r="AB43" s="570"/>
      <c r="AC43" s="570"/>
      <c r="AD43" s="570"/>
      <c r="AE43" s="570"/>
      <c r="AF43" s="570"/>
      <c r="AG43" s="570"/>
      <c r="AH43" s="570"/>
      <c r="AI43" s="570"/>
      <c r="AJ43" s="570"/>
      <c r="AK43" s="570"/>
      <c r="AL43" s="570"/>
      <c r="AM43" s="570"/>
      <c r="AN43" s="570"/>
      <c r="AO43" s="570"/>
      <c r="AP43" s="570"/>
      <c r="AQ43" s="570"/>
      <c r="AR43" s="570"/>
      <c r="AS43" s="570"/>
      <c r="AT43" s="570"/>
      <c r="AU43" s="570"/>
      <c r="AV43" s="570"/>
      <c r="AW43" s="570"/>
      <c r="AX43" s="570"/>
      <c r="AY43" s="570"/>
      <c r="AZ43" s="570"/>
      <c r="BA43" s="570"/>
      <c r="BB43" s="570"/>
      <c r="BC43" s="570"/>
      <c r="BD43" s="570"/>
      <c r="BE43" s="570"/>
      <c r="BF43" s="570"/>
      <c r="BG43" s="570"/>
      <c r="BH43" s="570"/>
      <c r="BI43" s="570"/>
      <c r="BJ43" s="570"/>
      <c r="BK43" s="570"/>
      <c r="BL43" s="570"/>
      <c r="BM43" s="570"/>
      <c r="BN43" s="570"/>
      <c r="BO43" s="570"/>
      <c r="BP43" s="570"/>
      <c r="BQ43" s="570"/>
      <c r="BR43" s="570"/>
      <c r="BS43" s="570"/>
      <c r="BT43" s="570"/>
    </row>
    <row r="44">
      <c r="A44" s="129"/>
      <c r="B44" s="56"/>
      <c r="C44" s="575" t="s">
        <v>2409</v>
      </c>
      <c r="D44" s="570"/>
      <c r="E44" s="570"/>
      <c r="F44" s="570"/>
      <c r="G44" s="570"/>
      <c r="H44" s="570"/>
      <c r="I44" s="570"/>
      <c r="J44" s="570"/>
      <c r="K44" s="570"/>
      <c r="L44" s="570"/>
      <c r="M44" s="570"/>
      <c r="N44" s="570"/>
      <c r="O44" s="570"/>
      <c r="P44" s="570"/>
      <c r="Q44" s="570"/>
      <c r="R44" s="570"/>
      <c r="S44" s="570"/>
      <c r="T44" s="570"/>
      <c r="U44" s="570"/>
      <c r="V44" s="570"/>
      <c r="W44" s="570"/>
      <c r="X44" s="570"/>
      <c r="Y44" s="570"/>
      <c r="Z44" s="570"/>
      <c r="AA44" s="570"/>
      <c r="AB44" s="570"/>
      <c r="AC44" s="570"/>
      <c r="AD44" s="570"/>
      <c r="AE44" s="570"/>
      <c r="AF44" s="570"/>
      <c r="AG44" s="570"/>
      <c r="AH44" s="570"/>
      <c r="AI44" s="570"/>
      <c r="AJ44" s="570"/>
      <c r="AK44" s="570"/>
      <c r="AL44" s="570"/>
      <c r="AM44" s="570"/>
      <c r="AN44" s="570"/>
      <c r="AO44" s="570"/>
      <c r="AP44" s="570"/>
      <c r="AQ44" s="570"/>
      <c r="AR44" s="570"/>
      <c r="AS44" s="570"/>
      <c r="AT44" s="570"/>
      <c r="AU44" s="570"/>
      <c r="AV44" s="570"/>
      <c r="AW44" s="570"/>
      <c r="AX44" s="570"/>
      <c r="AY44" s="570"/>
      <c r="AZ44" s="570"/>
      <c r="BA44" s="570"/>
      <c r="BB44" s="570"/>
      <c r="BC44" s="570"/>
      <c r="BD44" s="570"/>
      <c r="BE44" s="570"/>
      <c r="BF44" s="570"/>
      <c r="BG44" s="570"/>
      <c r="BH44" s="570"/>
      <c r="BI44" s="570"/>
      <c r="BJ44" s="570"/>
      <c r="BK44" s="570"/>
      <c r="BL44" s="570"/>
      <c r="BM44" s="570"/>
      <c r="BN44" s="570"/>
      <c r="BO44" s="570"/>
      <c r="BP44" s="570"/>
      <c r="BQ44" s="570"/>
      <c r="BR44" s="570"/>
      <c r="BS44" s="570"/>
      <c r="BT44" s="570"/>
    </row>
    <row r="45">
      <c r="A45" s="129"/>
      <c r="B45" s="575" t="s">
        <v>2410</v>
      </c>
      <c r="C45" s="581"/>
      <c r="D45" s="570"/>
      <c r="E45" s="570"/>
      <c r="F45" s="570"/>
      <c r="G45" s="570"/>
      <c r="H45" s="570"/>
      <c r="I45" s="570"/>
      <c r="J45" s="570"/>
      <c r="K45" s="570"/>
      <c r="L45" s="570"/>
      <c r="M45" s="570"/>
      <c r="N45" s="570"/>
      <c r="O45" s="570"/>
      <c r="P45" s="570"/>
      <c r="Q45" s="570"/>
      <c r="R45" s="570"/>
      <c r="S45" s="570"/>
      <c r="T45" s="570"/>
      <c r="U45" s="570"/>
      <c r="V45" s="570"/>
      <c r="W45" s="570"/>
      <c r="X45" s="570"/>
      <c r="Y45" s="570"/>
      <c r="Z45" s="570"/>
      <c r="AA45" s="570"/>
      <c r="AB45" s="570"/>
      <c r="AC45" s="570"/>
      <c r="AD45" s="570"/>
      <c r="AE45" s="570"/>
      <c r="AF45" s="570"/>
      <c r="AG45" s="570"/>
      <c r="AH45" s="570"/>
      <c r="AI45" s="570"/>
      <c r="AJ45" s="570"/>
      <c r="AK45" s="570"/>
      <c r="AL45" s="570"/>
      <c r="AM45" s="570"/>
      <c r="AN45" s="570"/>
      <c r="AO45" s="570"/>
      <c r="AP45" s="570"/>
      <c r="AQ45" s="570"/>
      <c r="AR45" s="570"/>
      <c r="AS45" s="570"/>
      <c r="AT45" s="570"/>
      <c r="AU45" s="570"/>
      <c r="AV45" s="570"/>
      <c r="AW45" s="570"/>
      <c r="AX45" s="570"/>
      <c r="AY45" s="570"/>
      <c r="AZ45" s="570"/>
      <c r="BA45" s="570"/>
      <c r="BB45" s="570"/>
      <c r="BC45" s="570"/>
      <c r="BD45" s="570"/>
      <c r="BE45" s="570"/>
      <c r="BF45" s="570"/>
      <c r="BG45" s="570"/>
      <c r="BH45" s="570"/>
      <c r="BI45" s="570"/>
      <c r="BJ45" s="570"/>
      <c r="BK45" s="570"/>
      <c r="BL45" s="570"/>
      <c r="BM45" s="570"/>
      <c r="BN45" s="570"/>
      <c r="BO45" s="570"/>
      <c r="BP45" s="570"/>
      <c r="BQ45" s="570"/>
      <c r="BR45" s="570"/>
      <c r="BS45" s="570"/>
      <c r="BT45" s="570"/>
    </row>
    <row r="46">
      <c r="A46" s="129"/>
      <c r="B46" s="575" t="s">
        <v>2411</v>
      </c>
      <c r="C46" s="581"/>
      <c r="D46" s="570"/>
      <c r="E46" s="570"/>
      <c r="F46" s="570"/>
      <c r="G46" s="570"/>
      <c r="H46" s="570"/>
      <c r="I46" s="570"/>
      <c r="J46" s="570"/>
      <c r="K46" s="570"/>
      <c r="L46" s="570"/>
      <c r="M46" s="570"/>
      <c r="N46" s="570"/>
      <c r="O46" s="570"/>
      <c r="P46" s="570"/>
      <c r="Q46" s="570"/>
      <c r="R46" s="570"/>
      <c r="S46" s="570"/>
      <c r="T46" s="570"/>
      <c r="U46" s="570"/>
      <c r="V46" s="570"/>
      <c r="W46" s="570"/>
      <c r="X46" s="570"/>
      <c r="Y46" s="570"/>
      <c r="Z46" s="570"/>
      <c r="AA46" s="570"/>
      <c r="AB46" s="570"/>
      <c r="AC46" s="570"/>
      <c r="AD46" s="570"/>
      <c r="AE46" s="570"/>
      <c r="AF46" s="570"/>
      <c r="AG46" s="570"/>
      <c r="AH46" s="570"/>
      <c r="AI46" s="570"/>
      <c r="AJ46" s="570"/>
      <c r="AK46" s="570"/>
      <c r="AL46" s="570"/>
      <c r="AM46" s="570"/>
      <c r="AN46" s="570"/>
      <c r="AO46" s="570"/>
      <c r="AP46" s="570"/>
      <c r="AQ46" s="570"/>
      <c r="AR46" s="570"/>
      <c r="AS46" s="570"/>
      <c r="AT46" s="570"/>
      <c r="AU46" s="570"/>
      <c r="AV46" s="570"/>
      <c r="AW46" s="570"/>
      <c r="AX46" s="570"/>
      <c r="AY46" s="570"/>
      <c r="AZ46" s="570"/>
      <c r="BA46" s="570"/>
      <c r="BB46" s="570"/>
      <c r="BC46" s="570"/>
      <c r="BD46" s="570"/>
      <c r="BE46" s="570"/>
      <c r="BF46" s="570"/>
      <c r="BG46" s="570"/>
      <c r="BH46" s="570"/>
      <c r="BI46" s="570"/>
      <c r="BJ46" s="570"/>
      <c r="BK46" s="570"/>
      <c r="BL46" s="570"/>
      <c r="BM46" s="570"/>
      <c r="BN46" s="570"/>
      <c r="BO46" s="570"/>
      <c r="BP46" s="570"/>
      <c r="BQ46" s="570"/>
      <c r="BR46" s="570"/>
      <c r="BS46" s="570"/>
      <c r="BT46" s="570"/>
    </row>
    <row r="47">
      <c r="A47" s="56"/>
      <c r="B47" s="576" t="s">
        <v>2412</v>
      </c>
      <c r="C47" s="575" t="s">
        <v>2021</v>
      </c>
      <c r="D47" s="570"/>
      <c r="E47" s="570"/>
      <c r="F47" s="570"/>
      <c r="G47" s="570" t="s">
        <v>2383</v>
      </c>
      <c r="H47" s="570"/>
      <c r="I47" s="570" t="s">
        <v>2383</v>
      </c>
      <c r="J47" s="570" t="s">
        <v>2383</v>
      </c>
      <c r="K47" s="570"/>
      <c r="L47" s="570"/>
      <c r="M47" s="570"/>
      <c r="N47" s="570"/>
      <c r="O47" s="570"/>
      <c r="P47" s="570"/>
      <c r="Q47" s="570"/>
      <c r="R47" s="570"/>
      <c r="S47" s="570"/>
      <c r="T47" s="570"/>
      <c r="U47" s="570"/>
      <c r="V47" s="570"/>
      <c r="W47" s="570"/>
      <c r="X47" s="570"/>
      <c r="Y47" s="570"/>
      <c r="Z47" s="570"/>
      <c r="AA47" s="570"/>
      <c r="AB47" s="570"/>
      <c r="AC47" s="570"/>
      <c r="AD47" s="570"/>
      <c r="AE47" s="570"/>
      <c r="AF47" s="570"/>
      <c r="AG47" s="570"/>
      <c r="AH47" s="570"/>
      <c r="AI47" s="570"/>
      <c r="AJ47" s="570"/>
      <c r="AK47" s="570"/>
      <c r="AL47" s="570"/>
      <c r="AM47" s="570"/>
      <c r="AN47" s="570"/>
      <c r="AO47" s="570"/>
      <c r="AP47" s="570"/>
      <c r="AQ47" s="570"/>
      <c r="AR47" s="570"/>
      <c r="AS47" s="570"/>
      <c r="AT47" s="570"/>
      <c r="AU47" s="570"/>
      <c r="AV47" s="570"/>
      <c r="AW47" s="570"/>
      <c r="AX47" s="570"/>
      <c r="AY47" s="570"/>
      <c r="AZ47" s="570"/>
      <c r="BA47" s="570"/>
      <c r="BB47" s="570"/>
      <c r="BC47" s="570"/>
      <c r="BD47" s="570"/>
      <c r="BE47" s="570"/>
      <c r="BF47" s="570"/>
      <c r="BG47" s="570"/>
      <c r="BH47" s="570"/>
      <c r="BI47" s="570"/>
      <c r="BJ47" s="570"/>
      <c r="BK47" s="570"/>
      <c r="BL47" s="570"/>
      <c r="BM47" s="570"/>
      <c r="BN47" s="570"/>
      <c r="BO47" s="570"/>
      <c r="BP47" s="570"/>
      <c r="BQ47" s="570"/>
      <c r="BR47" s="570"/>
      <c r="BS47" s="570"/>
      <c r="BT47" s="570"/>
    </row>
    <row r="48">
      <c r="A48" s="582" t="s">
        <v>43</v>
      </c>
      <c r="B48" s="129"/>
      <c r="C48" s="583" t="s">
        <v>2413</v>
      </c>
      <c r="D48" s="570"/>
      <c r="E48" s="570"/>
      <c r="F48" s="570"/>
      <c r="G48" s="570"/>
      <c r="H48" s="570" t="s">
        <v>2383</v>
      </c>
      <c r="I48" s="570"/>
      <c r="J48" s="570"/>
      <c r="K48" s="570"/>
      <c r="L48" s="570"/>
      <c r="M48" s="570"/>
      <c r="N48" s="570"/>
      <c r="O48" s="570" t="s">
        <v>2383</v>
      </c>
      <c r="P48" s="570"/>
      <c r="Q48" s="570"/>
      <c r="R48" s="570"/>
      <c r="S48" s="570"/>
      <c r="T48" s="570"/>
      <c r="U48" s="570"/>
      <c r="V48" s="570"/>
      <c r="W48" s="570"/>
      <c r="X48" s="570"/>
      <c r="Y48" s="570"/>
      <c r="Z48" s="570"/>
      <c r="AA48" s="570"/>
      <c r="AB48" s="570"/>
      <c r="AC48" s="570"/>
      <c r="AD48" s="570"/>
      <c r="AE48" s="570"/>
      <c r="AF48" s="570"/>
      <c r="AG48" s="570"/>
      <c r="AH48" s="570"/>
      <c r="AI48" s="570"/>
      <c r="AJ48" s="570"/>
      <c r="AK48" s="570"/>
      <c r="AL48" s="570"/>
      <c r="AM48" s="570"/>
      <c r="AN48" s="570"/>
      <c r="AO48" s="570"/>
      <c r="AP48" s="570"/>
      <c r="AQ48" s="570"/>
      <c r="AR48" s="570"/>
      <c r="AS48" s="570"/>
      <c r="AT48" s="570"/>
      <c r="AU48" s="570"/>
      <c r="AV48" s="570"/>
      <c r="AW48" s="570"/>
      <c r="AX48" s="570"/>
      <c r="AY48" s="570"/>
      <c r="AZ48" s="570"/>
      <c r="BA48" s="570"/>
      <c r="BB48" s="570"/>
      <c r="BC48" s="570"/>
      <c r="BD48" s="570"/>
      <c r="BE48" s="570"/>
      <c r="BF48" s="570"/>
      <c r="BG48" s="570"/>
      <c r="BH48" s="570"/>
      <c r="BI48" s="570"/>
      <c r="BJ48" s="570"/>
      <c r="BK48" s="570"/>
      <c r="BL48" s="570"/>
      <c r="BM48" s="570"/>
      <c r="BN48" s="570"/>
      <c r="BO48" s="570"/>
      <c r="BP48" s="570"/>
      <c r="BQ48" s="570"/>
      <c r="BR48" s="570"/>
      <c r="BS48" s="570"/>
      <c r="BT48" s="570"/>
    </row>
    <row r="49">
      <c r="A49" s="129"/>
      <c r="B49" s="129"/>
      <c r="C49" s="575" t="s">
        <v>2026</v>
      </c>
      <c r="D49" s="570"/>
      <c r="E49" s="570"/>
      <c r="F49" s="570"/>
      <c r="G49" s="570"/>
      <c r="H49" s="570"/>
      <c r="I49" s="570"/>
      <c r="J49" s="570"/>
      <c r="K49" s="570"/>
      <c r="L49" s="570"/>
      <c r="M49" s="570"/>
      <c r="N49" s="570"/>
      <c r="O49" s="570"/>
      <c r="P49" s="570"/>
      <c r="Q49" s="570"/>
      <c r="R49" s="570"/>
      <c r="S49" s="570"/>
      <c r="T49" s="570"/>
      <c r="U49" s="570"/>
      <c r="V49" s="570"/>
      <c r="W49" s="570"/>
      <c r="X49" s="570"/>
      <c r="Y49" s="570"/>
      <c r="Z49" s="570"/>
      <c r="AA49" s="570"/>
      <c r="AB49" s="570"/>
      <c r="AC49" s="570"/>
      <c r="AD49" s="570"/>
      <c r="AE49" s="570"/>
      <c r="AF49" s="570"/>
      <c r="AG49" s="570"/>
      <c r="AH49" s="570"/>
      <c r="AI49" s="570"/>
      <c r="AJ49" s="570"/>
      <c r="AK49" s="570"/>
      <c r="AL49" s="570"/>
      <c r="AM49" s="570"/>
      <c r="AN49" s="570"/>
      <c r="AO49" s="570"/>
      <c r="AP49" s="570"/>
      <c r="AQ49" s="570"/>
      <c r="AR49" s="570"/>
      <c r="AS49" s="570"/>
      <c r="AT49" s="570"/>
      <c r="AU49" s="570"/>
      <c r="AV49" s="570"/>
      <c r="AW49" s="570"/>
      <c r="AX49" s="570"/>
      <c r="AY49" s="570"/>
      <c r="AZ49" s="570"/>
      <c r="BA49" s="570"/>
      <c r="BB49" s="570"/>
      <c r="BC49" s="570"/>
      <c r="BD49" s="570"/>
      <c r="BE49" s="570"/>
      <c r="BF49" s="570"/>
      <c r="BG49" s="570"/>
      <c r="BH49" s="570"/>
      <c r="BI49" s="570"/>
      <c r="BJ49" s="570"/>
      <c r="BK49" s="570"/>
      <c r="BL49" s="570"/>
      <c r="BM49" s="570"/>
      <c r="BN49" s="570"/>
      <c r="BO49" s="570"/>
      <c r="BP49" s="570"/>
      <c r="BQ49" s="570"/>
      <c r="BR49" s="570"/>
      <c r="BS49" s="570"/>
      <c r="BT49" s="570"/>
    </row>
    <row r="50">
      <c r="A50" s="129"/>
      <c r="B50" s="129"/>
      <c r="C50" s="583" t="s">
        <v>2021</v>
      </c>
      <c r="D50" s="570"/>
      <c r="E50" s="570"/>
      <c r="F50" s="570"/>
      <c r="G50" s="570"/>
      <c r="H50" s="570"/>
      <c r="I50" s="570"/>
      <c r="J50" s="570"/>
      <c r="K50" s="570"/>
      <c r="L50" s="570"/>
      <c r="M50" s="570"/>
      <c r="N50" s="570"/>
      <c r="O50" s="570"/>
      <c r="P50" s="570"/>
      <c r="Q50" s="570"/>
      <c r="R50" s="570"/>
      <c r="S50" s="570"/>
      <c r="T50" s="570"/>
      <c r="U50" s="570"/>
      <c r="V50" s="570"/>
      <c r="W50" s="570"/>
      <c r="X50" s="570"/>
      <c r="Y50" s="570"/>
      <c r="Z50" s="570"/>
      <c r="AA50" s="570"/>
      <c r="AB50" s="570"/>
      <c r="AC50" s="570"/>
      <c r="AD50" s="570"/>
      <c r="AE50" s="570"/>
      <c r="AF50" s="570"/>
      <c r="AG50" s="570"/>
      <c r="AH50" s="570"/>
      <c r="AI50" s="570"/>
      <c r="AJ50" s="570"/>
      <c r="AK50" s="570"/>
      <c r="AL50" s="570"/>
      <c r="AM50" s="570"/>
      <c r="AN50" s="570"/>
      <c r="AO50" s="570"/>
      <c r="AP50" s="570"/>
      <c r="AQ50" s="570"/>
      <c r="AR50" s="570"/>
      <c r="AS50" s="570"/>
      <c r="AT50" s="570"/>
      <c r="AU50" s="570"/>
      <c r="AV50" s="570"/>
      <c r="AW50" s="570"/>
      <c r="AX50" s="570"/>
      <c r="AY50" s="570"/>
      <c r="AZ50" s="570"/>
      <c r="BA50" s="570"/>
      <c r="BB50" s="570"/>
      <c r="BC50" s="570"/>
      <c r="BD50" s="570"/>
      <c r="BE50" s="570"/>
      <c r="BF50" s="570"/>
      <c r="BG50" s="570"/>
      <c r="BH50" s="570"/>
      <c r="BI50" s="570"/>
      <c r="BJ50" s="570"/>
      <c r="BK50" s="570"/>
      <c r="BL50" s="570"/>
      <c r="BM50" s="570"/>
      <c r="BN50" s="570"/>
      <c r="BO50" s="570"/>
      <c r="BP50" s="570"/>
      <c r="BQ50" s="570"/>
      <c r="BR50" s="570"/>
      <c r="BS50" s="570"/>
      <c r="BT50" s="570"/>
    </row>
    <row r="51">
      <c r="A51" s="129"/>
      <c r="B51" s="129"/>
      <c r="C51" s="583" t="s">
        <v>2414</v>
      </c>
      <c r="D51" s="570"/>
      <c r="E51" s="570"/>
      <c r="F51" s="570"/>
      <c r="G51" s="570"/>
      <c r="H51" s="570"/>
      <c r="I51" s="570"/>
      <c r="J51" s="570"/>
      <c r="K51" s="570"/>
      <c r="L51" s="570"/>
      <c r="M51" s="570"/>
      <c r="N51" s="570"/>
      <c r="O51" s="570"/>
      <c r="P51" s="570"/>
      <c r="Q51" s="570"/>
      <c r="R51" s="570"/>
      <c r="S51" s="570"/>
      <c r="T51" s="570"/>
      <c r="U51" s="570"/>
      <c r="V51" s="570"/>
      <c r="W51" s="570"/>
      <c r="X51" s="570"/>
      <c r="Y51" s="570"/>
      <c r="Z51" s="570"/>
      <c r="AA51" s="570"/>
      <c r="AB51" s="570"/>
      <c r="AC51" s="570"/>
      <c r="AD51" s="570"/>
      <c r="AE51" s="570"/>
      <c r="AF51" s="570"/>
      <c r="AG51" s="570"/>
      <c r="AH51" s="570"/>
      <c r="AI51" s="570"/>
      <c r="AJ51" s="570"/>
      <c r="AK51" s="570"/>
      <c r="AL51" s="570"/>
      <c r="AM51" s="570"/>
      <c r="AN51" s="570"/>
      <c r="AO51" s="570"/>
      <c r="AP51" s="570"/>
      <c r="AQ51" s="570"/>
      <c r="AR51" s="570"/>
      <c r="AS51" s="570"/>
      <c r="AT51" s="570"/>
      <c r="AU51" s="570"/>
      <c r="AV51" s="570"/>
      <c r="AW51" s="570"/>
      <c r="AX51" s="570"/>
      <c r="AY51" s="570"/>
      <c r="AZ51" s="570"/>
      <c r="BA51" s="570"/>
      <c r="BB51" s="570"/>
      <c r="BC51" s="570"/>
      <c r="BD51" s="570"/>
      <c r="BE51" s="570"/>
      <c r="BF51" s="570"/>
      <c r="BG51" s="570"/>
      <c r="BH51" s="570"/>
      <c r="BI51" s="570"/>
      <c r="BJ51" s="570"/>
      <c r="BK51" s="570"/>
      <c r="BL51" s="570"/>
      <c r="BM51" s="570"/>
      <c r="BN51" s="570"/>
      <c r="BO51" s="570"/>
      <c r="BP51" s="570"/>
      <c r="BQ51" s="570"/>
      <c r="BR51" s="570"/>
      <c r="BS51" s="570"/>
      <c r="BT51" s="570"/>
    </row>
    <row r="52">
      <c r="A52" s="129"/>
      <c r="B52" s="56"/>
      <c r="C52" s="583" t="s">
        <v>2415</v>
      </c>
      <c r="D52" s="570"/>
      <c r="E52" s="570"/>
      <c r="F52" s="570"/>
      <c r="G52" s="570"/>
      <c r="H52" s="570"/>
      <c r="I52" s="570"/>
      <c r="J52" s="570"/>
      <c r="K52" s="570"/>
      <c r="L52" s="570"/>
      <c r="M52" s="570"/>
      <c r="N52" s="570"/>
      <c r="O52" s="570"/>
      <c r="P52" s="570"/>
      <c r="Q52" s="570"/>
      <c r="R52" s="570"/>
      <c r="S52" s="570"/>
      <c r="T52" s="570"/>
      <c r="U52" s="570"/>
      <c r="V52" s="570"/>
      <c r="W52" s="570"/>
      <c r="X52" s="570"/>
      <c r="Y52" s="570"/>
      <c r="Z52" s="570"/>
      <c r="AA52" s="570"/>
      <c r="AB52" s="570"/>
      <c r="AC52" s="570"/>
      <c r="AD52" s="570"/>
      <c r="AE52" s="570"/>
      <c r="AF52" s="570"/>
      <c r="AG52" s="570"/>
      <c r="AH52" s="570"/>
      <c r="AI52" s="570"/>
      <c r="AJ52" s="570"/>
      <c r="AK52" s="570"/>
      <c r="AL52" s="570"/>
      <c r="AM52" s="570"/>
      <c r="AN52" s="570"/>
      <c r="AO52" s="570"/>
      <c r="AP52" s="570"/>
      <c r="AQ52" s="570"/>
      <c r="AR52" s="570"/>
      <c r="AS52" s="570"/>
      <c r="AT52" s="570"/>
      <c r="AU52" s="570"/>
      <c r="AV52" s="570"/>
      <c r="AW52" s="570"/>
      <c r="AX52" s="570"/>
      <c r="AY52" s="570"/>
      <c r="AZ52" s="570"/>
      <c r="BA52" s="570"/>
      <c r="BB52" s="570"/>
      <c r="BC52" s="570"/>
      <c r="BD52" s="570"/>
      <c r="BE52" s="570"/>
      <c r="BF52" s="570"/>
      <c r="BG52" s="570"/>
      <c r="BH52" s="570"/>
      <c r="BI52" s="570"/>
      <c r="BJ52" s="570"/>
      <c r="BK52" s="570"/>
      <c r="BL52" s="570"/>
      <c r="BM52" s="570"/>
      <c r="BN52" s="570"/>
      <c r="BO52" s="570"/>
      <c r="BP52" s="570"/>
      <c r="BQ52" s="570"/>
      <c r="BR52" s="570"/>
      <c r="BS52" s="570"/>
      <c r="BT52" s="570"/>
    </row>
    <row r="53">
      <c r="A53" s="129"/>
      <c r="B53" s="576" t="s">
        <v>2416</v>
      </c>
      <c r="C53" s="583" t="s">
        <v>2417</v>
      </c>
      <c r="D53" s="570"/>
      <c r="E53" s="570"/>
      <c r="F53" s="570"/>
      <c r="G53" s="570"/>
      <c r="H53" s="570"/>
      <c r="I53" s="570"/>
      <c r="J53" s="570"/>
      <c r="K53" s="570"/>
      <c r="L53" s="570"/>
      <c r="M53" s="570"/>
      <c r="N53" s="570"/>
      <c r="O53" s="570"/>
      <c r="P53" s="570"/>
      <c r="Q53" s="570"/>
      <c r="R53" s="570"/>
      <c r="S53" s="570"/>
      <c r="T53" s="570"/>
      <c r="U53" s="570"/>
      <c r="V53" s="570"/>
      <c r="W53" s="570"/>
      <c r="X53" s="570"/>
      <c r="Y53" s="570"/>
      <c r="Z53" s="570"/>
      <c r="AA53" s="570"/>
      <c r="AB53" s="570"/>
      <c r="AC53" s="570"/>
      <c r="AD53" s="570"/>
      <c r="AE53" s="570"/>
      <c r="AF53" s="570"/>
      <c r="AG53" s="570"/>
      <c r="AH53" s="570"/>
      <c r="AI53" s="570"/>
      <c r="AJ53" s="570"/>
      <c r="AK53" s="570"/>
      <c r="AL53" s="570"/>
      <c r="AM53" s="570"/>
      <c r="AN53" s="570"/>
      <c r="AO53" s="570"/>
      <c r="AP53" s="570"/>
      <c r="AQ53" s="570"/>
      <c r="AR53" s="570"/>
      <c r="AS53" s="570"/>
      <c r="AT53" s="570"/>
      <c r="AU53" s="570"/>
      <c r="AV53" s="570"/>
      <c r="AW53" s="570"/>
      <c r="AX53" s="570"/>
      <c r="AY53" s="570"/>
      <c r="AZ53" s="570"/>
      <c r="BA53" s="570"/>
      <c r="BB53" s="570"/>
      <c r="BC53" s="570"/>
      <c r="BD53" s="570"/>
      <c r="BE53" s="570"/>
      <c r="BF53" s="570"/>
      <c r="BG53" s="570"/>
      <c r="BH53" s="570"/>
      <c r="BI53" s="570"/>
      <c r="BJ53" s="570"/>
      <c r="BK53" s="570"/>
      <c r="BL53" s="570"/>
      <c r="BM53" s="570"/>
      <c r="BN53" s="570"/>
      <c r="BO53" s="570"/>
      <c r="BP53" s="570"/>
      <c r="BQ53" s="570"/>
      <c r="BR53" s="570"/>
      <c r="BS53" s="570"/>
      <c r="BT53" s="570"/>
    </row>
    <row r="54">
      <c r="A54" s="129"/>
      <c r="B54" s="56"/>
      <c r="C54" s="583" t="s">
        <v>2418</v>
      </c>
      <c r="D54" s="570"/>
      <c r="E54" s="570"/>
      <c r="F54" s="570"/>
      <c r="G54" s="570"/>
      <c r="H54" s="570"/>
      <c r="I54" s="570"/>
      <c r="J54" s="570"/>
      <c r="K54" s="570"/>
      <c r="L54" s="570"/>
      <c r="M54" s="570"/>
      <c r="N54" s="570"/>
      <c r="O54" s="570"/>
      <c r="P54" s="570"/>
      <c r="Q54" s="570"/>
      <c r="R54" s="570"/>
      <c r="S54" s="570"/>
      <c r="T54" s="570"/>
      <c r="U54" s="570"/>
      <c r="V54" s="570"/>
      <c r="W54" s="570"/>
      <c r="X54" s="570"/>
      <c r="Y54" s="570"/>
      <c r="Z54" s="570"/>
      <c r="AA54" s="570"/>
      <c r="AB54" s="570"/>
      <c r="AC54" s="570"/>
      <c r="AD54" s="570"/>
      <c r="AE54" s="570"/>
      <c r="AF54" s="570"/>
      <c r="AG54" s="570"/>
      <c r="AH54" s="570"/>
      <c r="AI54" s="570"/>
      <c r="AJ54" s="570"/>
      <c r="AK54" s="570"/>
      <c r="AL54" s="570"/>
      <c r="AM54" s="570"/>
      <c r="AN54" s="570"/>
      <c r="AO54" s="570"/>
      <c r="AP54" s="570"/>
      <c r="AQ54" s="570"/>
      <c r="AR54" s="570"/>
      <c r="AS54" s="570"/>
      <c r="AT54" s="570"/>
      <c r="AU54" s="570"/>
      <c r="AV54" s="570"/>
      <c r="AW54" s="570"/>
      <c r="AX54" s="570"/>
      <c r="AY54" s="570"/>
      <c r="AZ54" s="570"/>
      <c r="BA54" s="570"/>
      <c r="BB54" s="570"/>
      <c r="BC54" s="570"/>
      <c r="BD54" s="570"/>
      <c r="BE54" s="570"/>
      <c r="BF54" s="570"/>
      <c r="BG54" s="570"/>
      <c r="BH54" s="570"/>
      <c r="BI54" s="570"/>
      <c r="BJ54" s="570"/>
      <c r="BK54" s="570"/>
      <c r="BL54" s="570"/>
      <c r="BM54" s="570"/>
      <c r="BN54" s="570"/>
      <c r="BO54" s="570"/>
      <c r="BP54" s="570"/>
      <c r="BQ54" s="570"/>
      <c r="BR54" s="570"/>
      <c r="BS54" s="570"/>
      <c r="BT54" s="570"/>
    </row>
    <row r="55">
      <c r="A55" s="56"/>
      <c r="B55" s="583" t="s">
        <v>2419</v>
      </c>
      <c r="C55" s="584"/>
      <c r="D55" s="570"/>
      <c r="E55" s="570"/>
      <c r="F55" s="570"/>
      <c r="G55" s="570"/>
      <c r="H55" s="570"/>
      <c r="I55" s="570"/>
      <c r="J55" s="570"/>
      <c r="K55" s="570"/>
      <c r="L55" s="570"/>
      <c r="M55" s="570"/>
      <c r="N55" s="570"/>
      <c r="O55" s="570"/>
      <c r="P55" s="570"/>
      <c r="Q55" s="570"/>
      <c r="R55" s="570"/>
      <c r="S55" s="570"/>
      <c r="T55" s="570"/>
      <c r="U55" s="570"/>
      <c r="V55" s="570"/>
      <c r="W55" s="570"/>
      <c r="X55" s="570"/>
      <c r="Y55" s="570"/>
      <c r="Z55" s="570"/>
      <c r="AA55" s="570"/>
      <c r="AB55" s="570"/>
      <c r="AC55" s="570"/>
      <c r="AD55" s="570"/>
      <c r="AE55" s="570"/>
      <c r="AF55" s="570"/>
      <c r="AG55" s="570"/>
      <c r="AH55" s="570"/>
      <c r="AI55" s="570"/>
      <c r="AJ55" s="570"/>
      <c r="AK55" s="570"/>
      <c r="AL55" s="570"/>
      <c r="AM55" s="570"/>
      <c r="AN55" s="570"/>
      <c r="AO55" s="570"/>
      <c r="AP55" s="570"/>
      <c r="AQ55" s="570"/>
      <c r="AR55" s="570"/>
      <c r="AS55" s="570"/>
      <c r="AT55" s="570"/>
      <c r="AU55" s="570"/>
      <c r="AV55" s="570"/>
      <c r="AW55" s="570"/>
      <c r="AX55" s="570"/>
      <c r="AY55" s="570"/>
      <c r="AZ55" s="570"/>
      <c r="BA55" s="570"/>
      <c r="BB55" s="570"/>
      <c r="BC55" s="570"/>
      <c r="BD55" s="570"/>
      <c r="BE55" s="570"/>
      <c r="BF55" s="570"/>
      <c r="BG55" s="570"/>
      <c r="BH55" s="570"/>
      <c r="BI55" s="570"/>
      <c r="BJ55" s="570"/>
      <c r="BK55" s="570"/>
      <c r="BL55" s="570"/>
      <c r="BM55" s="570"/>
      <c r="BN55" s="570"/>
      <c r="BO55" s="570"/>
      <c r="BP55" s="570"/>
      <c r="BQ55" s="570"/>
      <c r="BR55" s="570"/>
      <c r="BS55" s="570"/>
      <c r="BT55" s="570"/>
    </row>
    <row r="56">
      <c r="A56" s="563"/>
      <c r="B56" s="585" t="s">
        <v>2420</v>
      </c>
      <c r="C56" s="585" t="s">
        <v>2045</v>
      </c>
      <c r="D56" s="570"/>
      <c r="E56" s="570"/>
      <c r="F56" s="570"/>
      <c r="G56" s="570"/>
      <c r="H56" s="570"/>
      <c r="I56" s="570"/>
      <c r="J56" s="570"/>
      <c r="K56" s="570"/>
      <c r="L56" s="570"/>
      <c r="M56" s="570"/>
      <c r="N56" s="570"/>
      <c r="O56" s="570"/>
      <c r="P56" s="570"/>
      <c r="Q56" s="570"/>
      <c r="R56" s="570"/>
      <c r="S56" s="570"/>
      <c r="T56" s="570"/>
      <c r="U56" s="570"/>
      <c r="V56" s="570"/>
      <c r="W56" s="570"/>
      <c r="X56" s="570"/>
      <c r="Y56" s="570"/>
      <c r="Z56" s="570"/>
      <c r="AA56" s="570"/>
      <c r="AB56" s="570"/>
      <c r="AC56" s="570"/>
      <c r="AD56" s="570"/>
      <c r="AE56" s="570"/>
      <c r="AF56" s="570"/>
      <c r="AG56" s="570"/>
      <c r="AH56" s="570"/>
      <c r="AI56" s="570"/>
      <c r="AJ56" s="570"/>
      <c r="AK56" s="570"/>
      <c r="AL56" s="570"/>
      <c r="AM56" s="570"/>
      <c r="AN56" s="570"/>
      <c r="AO56" s="570"/>
      <c r="AP56" s="570"/>
      <c r="AQ56" s="570"/>
      <c r="AR56" s="570"/>
      <c r="AS56" s="570"/>
      <c r="AT56" s="570"/>
      <c r="AU56" s="570"/>
      <c r="AV56" s="570"/>
      <c r="AW56" s="570"/>
      <c r="AX56" s="570"/>
      <c r="AY56" s="570"/>
      <c r="AZ56" s="570" t="s">
        <v>2383</v>
      </c>
      <c r="BA56" s="570"/>
      <c r="BB56" s="570"/>
      <c r="BC56" s="570"/>
      <c r="BD56" s="570"/>
      <c r="BE56" s="570"/>
      <c r="BF56" s="570"/>
      <c r="BG56" s="570"/>
      <c r="BH56" s="570"/>
      <c r="BI56" s="570"/>
      <c r="BJ56" s="570"/>
      <c r="BK56" s="570"/>
      <c r="BL56" s="570"/>
      <c r="BM56" s="570"/>
      <c r="BN56" s="570"/>
      <c r="BO56" s="570"/>
      <c r="BP56" s="570"/>
      <c r="BQ56" s="570"/>
      <c r="BR56" s="570"/>
      <c r="BS56" s="570"/>
      <c r="BT56" s="570"/>
    </row>
    <row r="57">
      <c r="A57" s="582" t="s">
        <v>2421</v>
      </c>
      <c r="B57" s="586" t="s">
        <v>2422</v>
      </c>
      <c r="C57" s="586" t="s">
        <v>2048</v>
      </c>
      <c r="D57" s="570"/>
      <c r="E57" s="570"/>
      <c r="F57" s="570"/>
      <c r="G57" s="570"/>
      <c r="H57" s="570"/>
      <c r="I57" s="570"/>
      <c r="J57" s="570"/>
      <c r="K57" s="570"/>
      <c r="L57" s="570"/>
      <c r="M57" s="570"/>
      <c r="N57" s="570"/>
      <c r="O57" s="570"/>
      <c r="P57" s="570"/>
      <c r="Q57" s="570"/>
      <c r="R57" s="570"/>
      <c r="S57" s="570"/>
      <c r="T57" s="570"/>
      <c r="U57" s="570"/>
      <c r="V57" s="570"/>
      <c r="W57" s="570"/>
      <c r="X57" s="570"/>
      <c r="Y57" s="570"/>
      <c r="Z57" s="570"/>
      <c r="AA57" s="570"/>
      <c r="AB57" s="570"/>
      <c r="AC57" s="570"/>
      <c r="AD57" s="570"/>
      <c r="AE57" s="570"/>
      <c r="AF57" s="570"/>
      <c r="AG57" s="570"/>
      <c r="AH57" s="570"/>
      <c r="AI57" s="570"/>
      <c r="AJ57" s="570"/>
      <c r="AK57" s="570"/>
      <c r="AL57" s="570"/>
      <c r="AM57" s="570"/>
      <c r="AN57" s="570"/>
      <c r="AO57" s="570"/>
      <c r="AP57" s="570"/>
      <c r="AQ57" s="570"/>
      <c r="AR57" s="570"/>
      <c r="AS57" s="570"/>
      <c r="AT57" s="570"/>
      <c r="AU57" s="570"/>
      <c r="AV57" s="570"/>
      <c r="AW57" s="570"/>
      <c r="AX57" s="570"/>
      <c r="AY57" s="570"/>
      <c r="AZ57" s="570"/>
      <c r="BA57" s="570"/>
      <c r="BB57" s="570"/>
      <c r="BC57" s="570"/>
      <c r="BD57" s="570"/>
      <c r="BE57" s="570"/>
      <c r="BF57" s="570"/>
      <c r="BG57" s="570"/>
      <c r="BH57" s="570"/>
      <c r="BI57" s="570"/>
      <c r="BJ57" s="570"/>
      <c r="BK57" s="570"/>
      <c r="BL57" s="570"/>
      <c r="BM57" s="570"/>
      <c r="BN57" s="570"/>
      <c r="BO57" s="570"/>
      <c r="BP57" s="570"/>
      <c r="BQ57" s="570"/>
      <c r="BR57" s="570"/>
      <c r="BS57" s="570"/>
      <c r="BT57" s="570"/>
    </row>
    <row r="58">
      <c r="A58" s="129"/>
      <c r="B58" s="586" t="s">
        <v>2423</v>
      </c>
      <c r="C58" s="586" t="s">
        <v>2424</v>
      </c>
      <c r="D58" s="570"/>
      <c r="E58" s="570"/>
      <c r="F58" s="570"/>
      <c r="G58" s="570"/>
      <c r="H58" s="570"/>
      <c r="I58" s="570"/>
      <c r="J58" s="570"/>
      <c r="K58" s="570"/>
      <c r="L58" s="570"/>
      <c r="M58" s="570"/>
      <c r="N58" s="570"/>
      <c r="O58" s="570"/>
      <c r="P58" s="570"/>
      <c r="Q58" s="570"/>
      <c r="R58" s="570"/>
      <c r="S58" s="570"/>
      <c r="T58" s="570"/>
      <c r="U58" s="570"/>
      <c r="V58" s="570"/>
      <c r="W58" s="570"/>
      <c r="X58" s="570"/>
      <c r="Y58" s="570"/>
      <c r="Z58" s="570"/>
      <c r="AA58" s="570"/>
      <c r="AB58" s="570"/>
      <c r="AC58" s="570"/>
      <c r="AD58" s="570"/>
      <c r="AE58" s="570"/>
      <c r="AF58" s="570"/>
      <c r="AG58" s="570"/>
      <c r="AH58" s="570"/>
      <c r="AI58" s="570"/>
      <c r="AJ58" s="570"/>
      <c r="AK58" s="570"/>
      <c r="AL58" s="570"/>
      <c r="AM58" s="570"/>
      <c r="AN58" s="570"/>
      <c r="AO58" s="570"/>
      <c r="AP58" s="570"/>
      <c r="AQ58" s="570"/>
      <c r="AR58" s="570"/>
      <c r="AS58" s="570"/>
      <c r="AT58" s="570"/>
      <c r="AU58" s="570"/>
      <c r="AV58" s="570"/>
      <c r="AW58" s="570"/>
      <c r="AX58" s="570"/>
      <c r="AY58" s="570"/>
      <c r="AZ58" s="570"/>
      <c r="BA58" s="570"/>
      <c r="BB58" s="570"/>
      <c r="BC58" s="570"/>
      <c r="BD58" s="570"/>
      <c r="BE58" s="570"/>
      <c r="BF58" s="570"/>
      <c r="BG58" s="570"/>
      <c r="BH58" s="570"/>
      <c r="BI58" s="570"/>
      <c r="BJ58" s="570"/>
      <c r="BK58" s="570"/>
      <c r="BL58" s="570"/>
      <c r="BM58" s="570"/>
      <c r="BN58" s="570"/>
      <c r="BO58" s="570"/>
      <c r="BP58" s="570"/>
      <c r="BQ58" s="570"/>
      <c r="BR58" s="570"/>
      <c r="BS58" s="570"/>
      <c r="BT58" s="570"/>
    </row>
    <row r="59">
      <c r="A59" s="129"/>
      <c r="B59" s="576" t="s">
        <v>2425</v>
      </c>
      <c r="C59" s="586" t="s">
        <v>2426</v>
      </c>
      <c r="D59" s="570"/>
      <c r="E59" s="570"/>
      <c r="F59" s="570"/>
      <c r="G59" s="570"/>
      <c r="H59" s="570"/>
      <c r="I59" s="570"/>
      <c r="J59" s="570"/>
      <c r="K59" s="570"/>
      <c r="L59" s="570"/>
      <c r="M59" s="570"/>
      <c r="N59" s="570"/>
      <c r="O59" s="570"/>
      <c r="P59" s="570"/>
      <c r="Q59" s="570"/>
      <c r="R59" s="570"/>
      <c r="S59" s="570"/>
      <c r="T59" s="570"/>
      <c r="U59" s="570"/>
      <c r="V59" s="570"/>
      <c r="W59" s="570"/>
      <c r="X59" s="570"/>
      <c r="Y59" s="570"/>
      <c r="Z59" s="570"/>
      <c r="AA59" s="570"/>
      <c r="AB59" s="570"/>
      <c r="AC59" s="570"/>
      <c r="AD59" s="570"/>
      <c r="AE59" s="570"/>
      <c r="AF59" s="570"/>
      <c r="AG59" s="570"/>
      <c r="AH59" s="570"/>
      <c r="AI59" s="570"/>
      <c r="AJ59" s="570"/>
      <c r="AK59" s="570"/>
      <c r="AL59" s="570"/>
      <c r="AM59" s="570"/>
      <c r="AN59" s="570"/>
      <c r="AO59" s="570"/>
      <c r="AP59" s="570"/>
      <c r="AQ59" s="570"/>
      <c r="AR59" s="570"/>
      <c r="AS59" s="570"/>
      <c r="AT59" s="570"/>
      <c r="AU59" s="570"/>
      <c r="AV59" s="570"/>
      <c r="AW59" s="570"/>
      <c r="AX59" s="570"/>
      <c r="AY59" s="570"/>
      <c r="AZ59" s="570"/>
      <c r="BA59" s="570"/>
      <c r="BB59" s="570"/>
      <c r="BC59" s="570"/>
      <c r="BD59" s="570"/>
      <c r="BE59" s="570"/>
      <c r="BF59" s="570"/>
      <c r="BG59" s="570"/>
      <c r="BH59" s="570"/>
      <c r="BI59" s="570"/>
      <c r="BJ59" s="570"/>
      <c r="BK59" s="570"/>
      <c r="BL59" s="570"/>
      <c r="BM59" s="570"/>
      <c r="BN59" s="570"/>
      <c r="BO59" s="570"/>
      <c r="BP59" s="570"/>
      <c r="BQ59" s="570"/>
      <c r="BR59" s="570"/>
      <c r="BS59" s="570"/>
      <c r="BT59" s="570"/>
    </row>
    <row r="60">
      <c r="A60" s="56"/>
      <c r="B60" s="129"/>
      <c r="C60" s="587" t="s">
        <v>2057</v>
      </c>
      <c r="D60" s="570"/>
      <c r="E60" s="570"/>
      <c r="F60" s="570"/>
      <c r="G60" s="570"/>
      <c r="H60" s="570"/>
      <c r="I60" s="570"/>
      <c r="J60" s="570"/>
      <c r="K60" s="570"/>
      <c r="L60" s="570"/>
      <c r="M60" s="570"/>
      <c r="N60" s="570"/>
      <c r="O60" s="570"/>
      <c r="P60" s="570"/>
      <c r="Q60" s="570"/>
      <c r="R60" s="570"/>
      <c r="S60" s="570"/>
      <c r="T60" s="570"/>
      <c r="U60" s="570"/>
      <c r="V60" s="570"/>
      <c r="W60" s="570"/>
      <c r="X60" s="570"/>
      <c r="Y60" s="570"/>
      <c r="Z60" s="570"/>
      <c r="AA60" s="570"/>
      <c r="AB60" s="570"/>
      <c r="AC60" s="570"/>
      <c r="AD60" s="570"/>
      <c r="AE60" s="570"/>
      <c r="AF60" s="570"/>
      <c r="AG60" s="570"/>
      <c r="AH60" s="570"/>
      <c r="AI60" s="570"/>
      <c r="AJ60" s="570"/>
      <c r="AK60" s="570"/>
      <c r="AL60" s="570"/>
      <c r="AM60" s="570"/>
      <c r="AN60" s="570"/>
      <c r="AO60" s="570"/>
      <c r="AP60" s="570"/>
      <c r="AQ60" s="570"/>
      <c r="AR60" s="570"/>
      <c r="AS60" s="570"/>
      <c r="AT60" s="570"/>
      <c r="AU60" s="570"/>
      <c r="AV60" s="570"/>
      <c r="AW60" s="570"/>
      <c r="AX60" s="570"/>
      <c r="AY60" s="570"/>
      <c r="AZ60" s="570"/>
      <c r="BA60" s="570"/>
      <c r="BB60" s="570"/>
      <c r="BC60" s="570"/>
      <c r="BD60" s="570"/>
      <c r="BE60" s="570"/>
      <c r="BF60" s="570"/>
      <c r="BG60" s="570"/>
      <c r="BH60" s="570"/>
      <c r="BI60" s="570"/>
      <c r="BJ60" s="570"/>
      <c r="BK60" s="570"/>
      <c r="BL60" s="570"/>
      <c r="BM60" s="570"/>
      <c r="BN60" s="570"/>
      <c r="BO60" s="570"/>
      <c r="BP60" s="570"/>
      <c r="BQ60" s="570"/>
      <c r="BR60" s="570"/>
      <c r="BS60" s="570"/>
      <c r="BT60" s="570"/>
    </row>
    <row r="61">
      <c r="A61" s="582" t="s">
        <v>2427</v>
      </c>
      <c r="B61" s="129"/>
      <c r="C61" s="575" t="s">
        <v>2428</v>
      </c>
      <c r="D61" s="570"/>
      <c r="E61" s="570"/>
      <c r="F61" s="570"/>
      <c r="G61" s="570"/>
      <c r="H61" s="570"/>
      <c r="I61" s="570" t="s">
        <v>2383</v>
      </c>
      <c r="J61" s="570" t="s">
        <v>2383</v>
      </c>
      <c r="K61" s="570"/>
      <c r="L61" s="570"/>
      <c r="M61" s="570"/>
      <c r="N61" s="570"/>
      <c r="O61" s="570"/>
      <c r="P61" s="570" t="s">
        <v>2383</v>
      </c>
      <c r="Q61" s="570"/>
      <c r="R61" s="570"/>
      <c r="S61" s="570"/>
      <c r="T61" s="570" t="s">
        <v>2383</v>
      </c>
      <c r="U61" s="570" t="s">
        <v>2383</v>
      </c>
      <c r="V61" s="570"/>
      <c r="W61" s="570"/>
      <c r="X61" s="570"/>
      <c r="Y61" s="570"/>
      <c r="Z61" s="570"/>
      <c r="AA61" s="570"/>
      <c r="AB61" s="570"/>
      <c r="AC61" s="570"/>
      <c r="AD61" s="570"/>
      <c r="AE61" s="570"/>
      <c r="AF61" s="570"/>
      <c r="AG61" s="570"/>
      <c r="AH61" s="570"/>
      <c r="AI61" s="570"/>
      <c r="AJ61" s="570"/>
      <c r="AK61" s="570"/>
      <c r="AL61" s="570"/>
      <c r="AM61" s="570"/>
      <c r="AN61" s="570"/>
      <c r="AO61" s="570"/>
      <c r="AP61" s="570"/>
      <c r="AQ61" s="570"/>
      <c r="AR61" s="570"/>
      <c r="AS61" s="570"/>
      <c r="AT61" s="570"/>
      <c r="AU61" s="570"/>
      <c r="AV61" s="570" t="s">
        <v>2383</v>
      </c>
      <c r="AW61" s="570"/>
      <c r="AX61" s="570" t="s">
        <v>2383</v>
      </c>
      <c r="AY61" s="570" t="s">
        <v>2383</v>
      </c>
      <c r="AZ61" s="570"/>
      <c r="BA61" s="570"/>
      <c r="BB61" s="570"/>
      <c r="BC61" s="570"/>
      <c r="BD61" s="570"/>
      <c r="BE61" s="570"/>
      <c r="BF61" s="570" t="s">
        <v>2383</v>
      </c>
      <c r="BG61" s="570"/>
      <c r="BH61" s="570"/>
      <c r="BI61" s="570"/>
      <c r="BJ61" s="570"/>
      <c r="BK61" s="570"/>
      <c r="BL61" s="570" t="s">
        <v>2383</v>
      </c>
      <c r="BM61" s="570"/>
      <c r="BN61" s="570"/>
      <c r="BO61" s="570"/>
      <c r="BP61" s="570"/>
      <c r="BQ61" s="570"/>
      <c r="BR61" s="570" t="s">
        <v>2383</v>
      </c>
      <c r="BS61" s="570"/>
      <c r="BT61" s="570"/>
    </row>
    <row r="62">
      <c r="A62" s="129"/>
      <c r="B62" s="129"/>
      <c r="C62" s="583" t="s">
        <v>2428</v>
      </c>
      <c r="D62" s="570"/>
      <c r="E62" s="570"/>
      <c r="F62" s="570"/>
      <c r="G62" s="570"/>
      <c r="H62" s="570"/>
      <c r="I62" s="570"/>
      <c r="J62" s="570"/>
      <c r="K62" s="570"/>
      <c r="L62" s="570"/>
      <c r="M62" s="570"/>
      <c r="N62" s="570"/>
      <c r="O62" s="570"/>
      <c r="P62" s="570"/>
      <c r="Q62" s="570"/>
      <c r="R62" s="570"/>
      <c r="S62" s="570"/>
      <c r="T62" s="570"/>
      <c r="U62" s="570"/>
      <c r="V62" s="570"/>
      <c r="W62" s="570"/>
      <c r="X62" s="570"/>
      <c r="Y62" s="570"/>
      <c r="Z62" s="570"/>
      <c r="AA62" s="570"/>
      <c r="AB62" s="570"/>
      <c r="AC62" s="570"/>
      <c r="AD62" s="570"/>
      <c r="AE62" s="570"/>
      <c r="AF62" s="570"/>
      <c r="AG62" s="570"/>
      <c r="AH62" s="570"/>
      <c r="AI62" s="570"/>
      <c r="AJ62" s="570"/>
      <c r="AK62" s="570"/>
      <c r="AL62" s="570"/>
      <c r="AM62" s="570"/>
      <c r="AN62" s="570"/>
      <c r="AO62" s="570"/>
      <c r="AP62" s="570"/>
      <c r="AQ62" s="570"/>
      <c r="AR62" s="570"/>
      <c r="AS62" s="570"/>
      <c r="AT62" s="570"/>
      <c r="AU62" s="570"/>
      <c r="AV62" s="570"/>
      <c r="AW62" s="570"/>
      <c r="AX62" s="570"/>
      <c r="AY62" s="570"/>
      <c r="AZ62" s="570"/>
      <c r="BA62" s="570"/>
      <c r="BB62" s="570"/>
      <c r="BC62" s="570"/>
      <c r="BD62" s="570"/>
      <c r="BE62" s="570"/>
      <c r="BF62" s="570"/>
      <c r="BG62" s="570"/>
      <c r="BH62" s="570"/>
      <c r="BI62" s="570"/>
      <c r="BJ62" s="570"/>
      <c r="BK62" s="570"/>
      <c r="BL62" s="570"/>
      <c r="BM62" s="570"/>
      <c r="BN62" s="570"/>
      <c r="BO62" s="570"/>
      <c r="BP62" s="570"/>
      <c r="BQ62" s="570"/>
      <c r="BR62" s="570"/>
      <c r="BS62" s="570"/>
      <c r="BT62" s="570"/>
    </row>
    <row r="63">
      <c r="A63" s="129"/>
      <c r="B63" s="129"/>
      <c r="C63" s="575" t="s">
        <v>2429</v>
      </c>
      <c r="D63" s="570"/>
      <c r="E63" s="570"/>
      <c r="F63" s="570"/>
      <c r="G63" s="570"/>
      <c r="H63" s="570"/>
      <c r="I63" s="570"/>
      <c r="J63" s="570"/>
      <c r="K63" s="570"/>
      <c r="L63" s="570"/>
      <c r="M63" s="570"/>
      <c r="N63" s="570"/>
      <c r="O63" s="570"/>
      <c r="P63" s="570"/>
      <c r="Q63" s="570"/>
      <c r="R63" s="570"/>
      <c r="S63" s="570"/>
      <c r="T63" s="570"/>
      <c r="U63" s="570"/>
      <c r="V63" s="570"/>
      <c r="W63" s="570"/>
      <c r="X63" s="570"/>
      <c r="Y63" s="570"/>
      <c r="Z63" s="570"/>
      <c r="AA63" s="570"/>
      <c r="AB63" s="570"/>
      <c r="AC63" s="570"/>
      <c r="AD63" s="570"/>
      <c r="AE63" s="570"/>
      <c r="AF63" s="570"/>
      <c r="AG63" s="570"/>
      <c r="AH63" s="570"/>
      <c r="AI63" s="570"/>
      <c r="AJ63" s="570"/>
      <c r="AK63" s="570"/>
      <c r="AL63" s="570"/>
      <c r="AM63" s="570"/>
      <c r="AN63" s="570"/>
      <c r="AO63" s="570"/>
      <c r="AP63" s="570"/>
      <c r="AQ63" s="570"/>
      <c r="AR63" s="570"/>
      <c r="AS63" s="570"/>
      <c r="AT63" s="570"/>
      <c r="AU63" s="570"/>
      <c r="AV63" s="570"/>
      <c r="AW63" s="570"/>
      <c r="AX63" s="570"/>
      <c r="AY63" s="570"/>
      <c r="AZ63" s="570"/>
      <c r="BA63" s="570"/>
      <c r="BB63" s="570"/>
      <c r="BC63" s="570"/>
      <c r="BD63" s="570"/>
      <c r="BE63" s="570"/>
      <c r="BF63" s="570"/>
      <c r="BG63" s="570"/>
      <c r="BH63" s="570"/>
      <c r="BI63" s="570"/>
      <c r="BJ63" s="570"/>
      <c r="BK63" s="570"/>
      <c r="BL63" s="570"/>
      <c r="BM63" s="570"/>
      <c r="BN63" s="570"/>
      <c r="BO63" s="570"/>
      <c r="BP63" s="570"/>
      <c r="BQ63" s="570"/>
      <c r="BR63" s="570"/>
      <c r="BS63" s="570"/>
      <c r="BT63" s="570"/>
    </row>
    <row r="64">
      <c r="A64" s="129"/>
      <c r="B64" s="129"/>
      <c r="C64" s="588" t="s">
        <v>2065</v>
      </c>
      <c r="D64" s="570"/>
      <c r="E64" s="570"/>
      <c r="F64" s="570"/>
      <c r="G64" s="570"/>
      <c r="H64" s="570"/>
      <c r="I64" s="570"/>
      <c r="J64" s="570"/>
      <c r="K64" s="570"/>
      <c r="L64" s="570"/>
      <c r="M64" s="570"/>
      <c r="N64" s="570"/>
      <c r="O64" s="570"/>
      <c r="P64" s="570"/>
      <c r="Q64" s="570"/>
      <c r="R64" s="570"/>
      <c r="S64" s="570"/>
      <c r="T64" s="570"/>
      <c r="U64" s="570"/>
      <c r="V64" s="570"/>
      <c r="W64" s="570"/>
      <c r="X64" s="570"/>
      <c r="Y64" s="570"/>
      <c r="Z64" s="570"/>
      <c r="AA64" s="570"/>
      <c r="AB64" s="570"/>
      <c r="AC64" s="570"/>
      <c r="AD64" s="570"/>
      <c r="AE64" s="570"/>
      <c r="AF64" s="570"/>
      <c r="AG64" s="570"/>
      <c r="AH64" s="570"/>
      <c r="AI64" s="570"/>
      <c r="AJ64" s="570"/>
      <c r="AK64" s="570"/>
      <c r="AL64" s="570"/>
      <c r="AM64" s="570"/>
      <c r="AN64" s="570"/>
      <c r="AO64" s="570"/>
      <c r="AP64" s="570"/>
      <c r="AQ64" s="570"/>
      <c r="AR64" s="570"/>
      <c r="AS64" s="570"/>
      <c r="AT64" s="570"/>
      <c r="AU64" s="570"/>
      <c r="AV64" s="570"/>
      <c r="AW64" s="570"/>
      <c r="AX64" s="570"/>
      <c r="AY64" s="570"/>
      <c r="AZ64" s="570"/>
      <c r="BA64" s="570"/>
      <c r="BB64" s="570"/>
      <c r="BC64" s="570"/>
      <c r="BD64" s="570"/>
      <c r="BE64" s="570"/>
      <c r="BF64" s="570"/>
      <c r="BG64" s="570"/>
      <c r="BH64" s="570"/>
      <c r="BI64" s="570"/>
      <c r="BJ64" s="570"/>
      <c r="BK64" s="570"/>
      <c r="BL64" s="570"/>
      <c r="BM64" s="570"/>
      <c r="BN64" s="570"/>
      <c r="BO64" s="570"/>
      <c r="BP64" s="570"/>
      <c r="BQ64" s="570"/>
      <c r="BR64" s="570"/>
      <c r="BS64" s="570"/>
      <c r="BT64" s="570"/>
    </row>
    <row r="65">
      <c r="A65" s="56"/>
      <c r="B65" s="129"/>
      <c r="C65" s="575" t="s">
        <v>2430</v>
      </c>
      <c r="D65" s="570"/>
      <c r="E65" s="570"/>
      <c r="F65" s="570"/>
      <c r="G65" s="570"/>
      <c r="H65" s="570"/>
      <c r="I65" s="570"/>
      <c r="J65" s="570"/>
      <c r="K65" s="570"/>
      <c r="L65" s="570"/>
      <c r="M65" s="570"/>
      <c r="N65" s="570"/>
      <c r="O65" s="570"/>
      <c r="P65" s="570"/>
      <c r="Q65" s="570"/>
      <c r="R65" s="570"/>
      <c r="S65" s="570"/>
      <c r="T65" s="570"/>
      <c r="U65" s="570"/>
      <c r="V65" s="570"/>
      <c r="W65" s="570"/>
      <c r="X65" s="570"/>
      <c r="Y65" s="570"/>
      <c r="Z65" s="570"/>
      <c r="AA65" s="570"/>
      <c r="AB65" s="570"/>
      <c r="AC65" s="570"/>
      <c r="AD65" s="570"/>
      <c r="AE65" s="570"/>
      <c r="AF65" s="570"/>
      <c r="AG65" s="570"/>
      <c r="AH65" s="570"/>
      <c r="AI65" s="570"/>
      <c r="AJ65" s="570"/>
      <c r="AK65" s="570"/>
      <c r="AL65" s="570"/>
      <c r="AM65" s="570"/>
      <c r="AN65" s="570"/>
      <c r="AO65" s="570"/>
      <c r="AP65" s="570"/>
      <c r="AQ65" s="570"/>
      <c r="AR65" s="570"/>
      <c r="AS65" s="570"/>
      <c r="AT65" s="570"/>
      <c r="AU65" s="570"/>
      <c r="AV65" s="570"/>
      <c r="AW65" s="570"/>
      <c r="AX65" s="570"/>
      <c r="AY65" s="570"/>
      <c r="AZ65" s="570"/>
      <c r="BA65" s="570"/>
      <c r="BB65" s="570"/>
      <c r="BC65" s="570"/>
      <c r="BD65" s="570"/>
      <c r="BE65" s="570"/>
      <c r="BF65" s="570"/>
      <c r="BG65" s="570"/>
      <c r="BH65" s="570"/>
      <c r="BI65" s="570"/>
      <c r="BJ65" s="570"/>
      <c r="BK65" s="570"/>
      <c r="BL65" s="570"/>
      <c r="BM65" s="570"/>
      <c r="BN65" s="570"/>
      <c r="BO65" s="570"/>
      <c r="BP65" s="570"/>
      <c r="BQ65" s="570"/>
      <c r="BR65" s="570"/>
      <c r="BS65" s="570"/>
      <c r="BT65" s="570"/>
    </row>
    <row r="66">
      <c r="A66" s="589" t="s">
        <v>2431</v>
      </c>
      <c r="B66" s="56"/>
      <c r="C66" s="590" t="s">
        <v>2432</v>
      </c>
      <c r="D66" s="570"/>
      <c r="E66" s="570"/>
      <c r="F66" s="570"/>
      <c r="G66" s="570"/>
      <c r="H66" s="570"/>
      <c r="I66" s="570"/>
      <c r="J66" s="570"/>
      <c r="K66" s="570"/>
      <c r="L66" s="570"/>
      <c r="M66" s="570"/>
      <c r="N66" s="570"/>
      <c r="O66" s="570"/>
      <c r="P66" s="570"/>
      <c r="Q66" s="570"/>
      <c r="R66" s="570"/>
      <c r="S66" s="570"/>
      <c r="T66" s="570"/>
      <c r="U66" s="570"/>
      <c r="V66" s="570" t="s">
        <v>2383</v>
      </c>
      <c r="W66" s="570" t="s">
        <v>2383</v>
      </c>
      <c r="X66" s="570"/>
      <c r="Y66" s="570" t="s">
        <v>2383</v>
      </c>
      <c r="Z66" s="570"/>
      <c r="AA66" s="570"/>
      <c r="AB66" s="570"/>
      <c r="AC66" s="570"/>
      <c r="AD66" s="570"/>
      <c r="AE66" s="570"/>
      <c r="AF66" s="570" t="s">
        <v>2383</v>
      </c>
      <c r="AG66" s="570" t="s">
        <v>2383</v>
      </c>
      <c r="AH66" s="570" t="s">
        <v>2383</v>
      </c>
      <c r="AI66" s="570"/>
      <c r="AJ66" s="570"/>
      <c r="AK66" s="570"/>
      <c r="AL66" s="570" t="s">
        <v>2383</v>
      </c>
      <c r="AM66" s="570"/>
      <c r="AN66" s="570"/>
      <c r="AO66" s="570"/>
      <c r="AP66" s="570"/>
      <c r="AQ66" s="570" t="s">
        <v>2383</v>
      </c>
      <c r="AR66" s="570"/>
      <c r="AS66" s="570"/>
      <c r="AT66" s="570"/>
      <c r="AU66" s="570" t="s">
        <v>2383</v>
      </c>
      <c r="AV66" s="570"/>
      <c r="AW66" s="570"/>
      <c r="AX66" s="570"/>
      <c r="AY66" s="570" t="s">
        <v>2383</v>
      </c>
      <c r="AZ66" s="570"/>
      <c r="BA66" s="570"/>
      <c r="BB66" s="570"/>
      <c r="BC66" s="570"/>
      <c r="BD66" s="570"/>
      <c r="BE66" s="570" t="s">
        <v>2383</v>
      </c>
      <c r="BF66" s="570" t="s">
        <v>2383</v>
      </c>
      <c r="BG66" s="570" t="s">
        <v>2383</v>
      </c>
      <c r="BH66" s="570" t="s">
        <v>2383</v>
      </c>
      <c r="BI66" s="570"/>
      <c r="BJ66" s="570"/>
      <c r="BK66" s="570"/>
      <c r="BL66" s="570" t="s">
        <v>2383</v>
      </c>
      <c r="BM66" s="570"/>
      <c r="BN66" s="570"/>
      <c r="BO66" s="570"/>
      <c r="BP66" s="570"/>
      <c r="BQ66" s="570"/>
      <c r="BR66" s="570" t="s">
        <v>2383</v>
      </c>
      <c r="BS66" s="570"/>
      <c r="BT66" s="570"/>
    </row>
    <row r="67">
      <c r="A67" s="129"/>
      <c r="B67" s="576" t="s">
        <v>2433</v>
      </c>
      <c r="C67" s="575" t="s">
        <v>2073</v>
      </c>
      <c r="D67" s="570"/>
      <c r="E67" s="570"/>
      <c r="F67" s="570"/>
      <c r="G67" s="570"/>
      <c r="H67" s="570"/>
      <c r="I67" s="570"/>
      <c r="J67" s="570"/>
      <c r="K67" s="570"/>
      <c r="L67" s="570"/>
      <c r="M67" s="570"/>
      <c r="N67" s="570"/>
      <c r="O67" s="570"/>
      <c r="P67" s="570"/>
      <c r="Q67" s="570"/>
      <c r="R67" s="570"/>
      <c r="S67" s="570"/>
      <c r="T67" s="570"/>
      <c r="U67" s="570"/>
      <c r="V67" s="570"/>
      <c r="W67" s="570"/>
      <c r="X67" s="570"/>
      <c r="Y67" s="570"/>
      <c r="Z67" s="570"/>
      <c r="AA67" s="570"/>
      <c r="AB67" s="570"/>
      <c r="AC67" s="570"/>
      <c r="AD67" s="570"/>
      <c r="AE67" s="570"/>
      <c r="AF67" s="570"/>
      <c r="AG67" s="570"/>
      <c r="AH67" s="570"/>
      <c r="AI67" s="570"/>
      <c r="AJ67" s="570"/>
      <c r="AK67" s="570"/>
      <c r="AL67" s="570"/>
      <c r="AM67" s="570"/>
      <c r="AN67" s="570"/>
      <c r="AO67" s="570"/>
      <c r="AP67" s="570"/>
      <c r="AQ67" s="570"/>
      <c r="AR67" s="570"/>
      <c r="AS67" s="570"/>
      <c r="AT67" s="570"/>
      <c r="AU67" s="570"/>
      <c r="AV67" s="570"/>
      <c r="AW67" s="570"/>
      <c r="AX67" s="570"/>
      <c r="AY67" s="570"/>
      <c r="AZ67" s="570"/>
      <c r="BA67" s="570"/>
      <c r="BB67" s="570" t="s">
        <v>2383</v>
      </c>
      <c r="BC67" s="570"/>
      <c r="BD67" s="570"/>
      <c r="BE67" s="570"/>
      <c r="BF67" s="570"/>
      <c r="BG67" s="570"/>
      <c r="BH67" s="570" t="s">
        <v>2383</v>
      </c>
      <c r="BI67" s="570"/>
      <c r="BJ67" s="570"/>
      <c r="BK67" s="570"/>
      <c r="BL67" s="570"/>
      <c r="BM67" s="570"/>
      <c r="BN67" s="570"/>
      <c r="BO67" s="570"/>
      <c r="BP67" s="570"/>
      <c r="BQ67" s="570"/>
      <c r="BR67" s="570"/>
      <c r="BS67" s="570"/>
      <c r="BT67" s="570"/>
    </row>
    <row r="68">
      <c r="A68" s="129"/>
      <c r="B68" s="129"/>
      <c r="C68" s="575" t="s">
        <v>2074</v>
      </c>
      <c r="D68" s="570"/>
      <c r="E68" s="570" t="s">
        <v>2383</v>
      </c>
      <c r="F68" s="570"/>
      <c r="G68" s="570"/>
      <c r="H68" s="570"/>
      <c r="I68" s="570"/>
      <c r="J68" s="570"/>
      <c r="K68" s="570"/>
      <c r="L68" s="570"/>
      <c r="M68" s="570"/>
      <c r="N68" s="570"/>
      <c r="O68" s="570"/>
      <c r="P68" s="570"/>
      <c r="Q68" s="570"/>
      <c r="R68" s="570"/>
      <c r="S68" s="570"/>
      <c r="T68" s="570"/>
      <c r="U68" s="570"/>
      <c r="V68" s="570" t="s">
        <v>2383</v>
      </c>
      <c r="W68" s="570" t="s">
        <v>2383</v>
      </c>
      <c r="X68" s="570"/>
      <c r="Y68" s="570"/>
      <c r="Z68" s="570"/>
      <c r="AA68" s="570"/>
      <c r="AB68" s="570"/>
      <c r="AC68" s="570"/>
      <c r="AD68" s="570"/>
      <c r="AE68" s="570"/>
      <c r="AF68" s="570"/>
      <c r="AG68" s="570"/>
      <c r="AH68" s="570"/>
      <c r="AI68" s="570"/>
      <c r="AJ68" s="570" t="s">
        <v>2383</v>
      </c>
      <c r="AK68" s="570" t="s">
        <v>2383</v>
      </c>
      <c r="AL68" s="570"/>
      <c r="AM68" s="570"/>
      <c r="AN68" s="570"/>
      <c r="AO68" s="570"/>
      <c r="AP68" s="570"/>
      <c r="AQ68" s="570"/>
      <c r="AR68" s="570"/>
      <c r="AS68" s="570"/>
      <c r="AT68" s="570"/>
      <c r="AU68" s="570"/>
      <c r="AV68" s="570"/>
      <c r="AW68" s="570"/>
      <c r="AX68" s="570"/>
      <c r="AY68" s="570"/>
      <c r="AZ68" s="570"/>
      <c r="BA68" s="570"/>
      <c r="BB68" s="570"/>
      <c r="BC68" s="570"/>
      <c r="BD68" s="570"/>
      <c r="BE68" s="570"/>
      <c r="BF68" s="570"/>
      <c r="BG68" s="570"/>
      <c r="BH68" s="570" t="s">
        <v>2383</v>
      </c>
      <c r="BI68" s="570"/>
      <c r="BJ68" s="570"/>
      <c r="BK68" s="570"/>
      <c r="BL68" s="570"/>
      <c r="BM68" s="570"/>
      <c r="BN68" s="570"/>
      <c r="BO68" s="570"/>
      <c r="BP68" s="570"/>
      <c r="BQ68" s="570"/>
      <c r="BR68" s="570"/>
      <c r="BS68" s="570"/>
      <c r="BT68" s="570"/>
    </row>
    <row r="69">
      <c r="A69" s="129"/>
      <c r="B69" s="56"/>
      <c r="C69" s="578" t="s">
        <v>2434</v>
      </c>
      <c r="D69" s="570"/>
      <c r="E69" s="570"/>
      <c r="F69" s="570"/>
      <c r="G69" s="570"/>
      <c r="H69" s="570"/>
      <c r="I69" s="570"/>
      <c r="J69" s="570"/>
      <c r="K69" s="570"/>
      <c r="L69" s="570"/>
      <c r="M69" s="570"/>
      <c r="N69" s="570"/>
      <c r="O69" s="570"/>
      <c r="P69" s="570" t="s">
        <v>2383</v>
      </c>
      <c r="Q69" s="570"/>
      <c r="R69" s="570"/>
      <c r="S69" s="570"/>
      <c r="T69" s="570"/>
      <c r="U69" s="570"/>
      <c r="V69" s="570"/>
      <c r="W69" s="570"/>
      <c r="X69" s="570" t="s">
        <v>2383</v>
      </c>
      <c r="Y69" s="570"/>
      <c r="Z69" s="570"/>
      <c r="AA69" s="570"/>
      <c r="AB69" s="570"/>
      <c r="AC69" s="570"/>
      <c r="AD69" s="570"/>
      <c r="AE69" s="570"/>
      <c r="AF69" s="570"/>
      <c r="AG69" s="570"/>
      <c r="AH69" s="570"/>
      <c r="AI69" s="570"/>
      <c r="AJ69" s="570"/>
      <c r="AK69" s="570"/>
      <c r="AL69" s="570"/>
      <c r="AM69" s="570"/>
      <c r="AN69" s="570"/>
      <c r="AO69" s="570"/>
      <c r="AP69" s="570"/>
      <c r="AQ69" s="570"/>
      <c r="AR69" s="570"/>
      <c r="AS69" s="570"/>
      <c r="AT69" s="570"/>
      <c r="AU69" s="570"/>
      <c r="AV69" s="570"/>
      <c r="AW69" s="570"/>
      <c r="AX69" s="570"/>
      <c r="AY69" s="570"/>
      <c r="AZ69" s="570"/>
      <c r="BA69" s="570"/>
      <c r="BB69" s="570"/>
      <c r="BC69" s="570"/>
      <c r="BD69" s="570"/>
      <c r="BE69" s="570"/>
      <c r="BF69" s="570"/>
      <c r="BG69" s="570"/>
      <c r="BH69" s="570"/>
      <c r="BI69" s="570"/>
      <c r="BJ69" s="570"/>
      <c r="BK69" s="570"/>
      <c r="BL69" s="570"/>
      <c r="BM69" s="570"/>
      <c r="BN69" s="570"/>
      <c r="BO69" s="570"/>
      <c r="BP69" s="570"/>
      <c r="BQ69" s="570"/>
      <c r="BR69" s="570"/>
      <c r="BS69" s="570"/>
      <c r="BT69" s="570"/>
    </row>
    <row r="70">
      <c r="A70" s="129"/>
      <c r="B70" s="576" t="s">
        <v>2435</v>
      </c>
      <c r="C70" s="578" t="s">
        <v>2081</v>
      </c>
      <c r="D70" s="570"/>
      <c r="E70" s="570" t="s">
        <v>2383</v>
      </c>
      <c r="F70" s="570"/>
      <c r="G70" s="570"/>
      <c r="H70" s="570"/>
      <c r="I70" s="570"/>
      <c r="J70" s="570"/>
      <c r="K70" s="570"/>
      <c r="L70" s="570"/>
      <c r="M70" s="570"/>
      <c r="N70" s="570"/>
      <c r="O70" s="570"/>
      <c r="P70" s="570"/>
      <c r="Q70" s="570"/>
      <c r="R70" s="570"/>
      <c r="S70" s="570"/>
      <c r="T70" s="570"/>
      <c r="U70" s="570"/>
      <c r="V70" s="570"/>
      <c r="W70" s="570"/>
      <c r="X70" s="570"/>
      <c r="Y70" s="570" t="s">
        <v>2383</v>
      </c>
      <c r="Z70" s="570"/>
      <c r="AA70" s="570"/>
      <c r="AB70" s="570"/>
      <c r="AC70" s="570"/>
      <c r="AD70" s="570"/>
      <c r="AE70" s="570"/>
      <c r="AF70" s="570"/>
      <c r="AG70" s="570" t="s">
        <v>2383</v>
      </c>
      <c r="AH70" s="570" t="s">
        <v>2383</v>
      </c>
      <c r="AI70" s="570"/>
      <c r="AJ70" s="570"/>
      <c r="AK70" s="570"/>
      <c r="AL70" s="570"/>
      <c r="AM70" s="570"/>
      <c r="AN70" s="570"/>
      <c r="AO70" s="570"/>
      <c r="AP70" s="570"/>
      <c r="AQ70" s="570"/>
      <c r="AR70" s="570"/>
      <c r="AS70" s="570"/>
      <c r="AT70" s="570"/>
      <c r="AU70" s="570"/>
      <c r="AV70" s="570"/>
      <c r="AW70" s="570"/>
      <c r="AX70" s="570"/>
      <c r="AY70" s="570"/>
      <c r="AZ70" s="570"/>
      <c r="BA70" s="570" t="s">
        <v>2383</v>
      </c>
      <c r="BB70" s="570"/>
      <c r="BC70" s="570"/>
      <c r="BD70" s="570"/>
      <c r="BE70" s="570" t="s">
        <v>2383</v>
      </c>
      <c r="BF70" s="570"/>
      <c r="BG70" s="570"/>
      <c r="BH70" s="570"/>
      <c r="BI70" s="570" t="s">
        <v>2383</v>
      </c>
      <c r="BJ70" s="570" t="s">
        <v>2383</v>
      </c>
      <c r="BK70" s="570"/>
      <c r="BL70" s="570" t="s">
        <v>2383</v>
      </c>
      <c r="BM70" s="570"/>
      <c r="BN70" s="570"/>
      <c r="BO70" s="570"/>
      <c r="BP70" s="570"/>
      <c r="BQ70" s="570"/>
      <c r="BR70" s="570"/>
      <c r="BS70" s="570" t="s">
        <v>2383</v>
      </c>
      <c r="BT70" s="570" t="s">
        <v>2383</v>
      </c>
    </row>
    <row r="71">
      <c r="A71" s="129"/>
      <c r="B71" s="129"/>
      <c r="C71" s="578" t="s">
        <v>2082</v>
      </c>
      <c r="D71" s="570"/>
      <c r="E71" s="570"/>
      <c r="F71" s="570"/>
      <c r="G71" s="570"/>
      <c r="H71" s="570"/>
      <c r="I71" s="570"/>
      <c r="J71" s="570"/>
      <c r="K71" s="570"/>
      <c r="L71" s="570"/>
      <c r="M71" s="570"/>
      <c r="N71" s="570"/>
      <c r="O71" s="570"/>
      <c r="P71" s="570"/>
      <c r="Q71" s="570"/>
      <c r="R71" s="570"/>
      <c r="S71" s="570"/>
      <c r="T71" s="570"/>
      <c r="U71" s="570"/>
      <c r="V71" s="570"/>
      <c r="W71" s="570"/>
      <c r="X71" s="570"/>
      <c r="Y71" s="570"/>
      <c r="Z71" s="570"/>
      <c r="AA71" s="570"/>
      <c r="AB71" s="570"/>
      <c r="AC71" s="570"/>
      <c r="AD71" s="570"/>
      <c r="AE71" s="570"/>
      <c r="AF71" s="570"/>
      <c r="AG71" s="570"/>
      <c r="AH71" s="570"/>
      <c r="AI71" s="570"/>
      <c r="AJ71" s="570"/>
      <c r="AK71" s="570"/>
      <c r="AL71" s="570"/>
      <c r="AM71" s="570"/>
      <c r="AN71" s="570"/>
      <c r="AO71" s="570"/>
      <c r="AP71" s="570"/>
      <c r="AQ71" s="570"/>
      <c r="AR71" s="570"/>
      <c r="AS71" s="570"/>
      <c r="AT71" s="570"/>
      <c r="AU71" s="570"/>
      <c r="AV71" s="570"/>
      <c r="AW71" s="570"/>
      <c r="AX71" s="570"/>
      <c r="AY71" s="570"/>
      <c r="AZ71" s="570"/>
      <c r="BA71" s="570"/>
      <c r="BB71" s="570"/>
      <c r="BC71" s="570"/>
      <c r="BD71" s="570"/>
      <c r="BE71" s="570"/>
      <c r="BF71" s="570"/>
      <c r="BG71" s="570"/>
      <c r="BH71" s="570"/>
      <c r="BI71" s="570"/>
      <c r="BJ71" s="570"/>
      <c r="BK71" s="570"/>
      <c r="BL71" s="570"/>
      <c r="BM71" s="570"/>
      <c r="BN71" s="570"/>
      <c r="BO71" s="570"/>
      <c r="BP71" s="570"/>
      <c r="BQ71" s="570"/>
      <c r="BR71" s="570"/>
      <c r="BS71" s="570"/>
      <c r="BT71" s="570"/>
    </row>
    <row r="72">
      <c r="A72" s="129"/>
      <c r="B72" s="56"/>
      <c r="C72" s="578" t="s">
        <v>2436</v>
      </c>
      <c r="D72" s="570"/>
      <c r="E72" s="570"/>
      <c r="F72" s="570"/>
      <c r="G72" s="570"/>
      <c r="H72" s="570"/>
      <c r="I72" s="570"/>
      <c r="J72" s="570"/>
      <c r="K72" s="570"/>
      <c r="L72" s="570"/>
      <c r="M72" s="570"/>
      <c r="N72" s="570"/>
      <c r="O72" s="570"/>
      <c r="P72" s="570"/>
      <c r="Q72" s="570"/>
      <c r="R72" s="570"/>
      <c r="S72" s="570"/>
      <c r="T72" s="570"/>
      <c r="U72" s="570"/>
      <c r="V72" s="570"/>
      <c r="W72" s="570"/>
      <c r="X72" s="570"/>
      <c r="Y72" s="570"/>
      <c r="Z72" s="570"/>
      <c r="AA72" s="570"/>
      <c r="AB72" s="570"/>
      <c r="AC72" s="570"/>
      <c r="AD72" s="570"/>
      <c r="AE72" s="570"/>
      <c r="AF72" s="570"/>
      <c r="AG72" s="570"/>
      <c r="AH72" s="570"/>
      <c r="AI72" s="570"/>
      <c r="AJ72" s="570"/>
      <c r="AK72" s="570"/>
      <c r="AL72" s="570"/>
      <c r="AM72" s="570"/>
      <c r="AN72" s="570"/>
      <c r="AO72" s="570"/>
      <c r="AP72" s="570"/>
      <c r="AQ72" s="570"/>
      <c r="AR72" s="570"/>
      <c r="AS72" s="570"/>
      <c r="AT72" s="570"/>
      <c r="AU72" s="570"/>
      <c r="AV72" s="570"/>
      <c r="AW72" s="570"/>
      <c r="AX72" s="570"/>
      <c r="AY72" s="570"/>
      <c r="AZ72" s="570"/>
      <c r="BA72" s="570"/>
      <c r="BB72" s="570"/>
      <c r="BC72" s="570"/>
      <c r="BD72" s="570"/>
      <c r="BE72" s="570"/>
      <c r="BF72" s="570"/>
      <c r="BG72" s="570"/>
      <c r="BH72" s="570"/>
      <c r="BI72" s="570"/>
      <c r="BJ72" s="570"/>
      <c r="BK72" s="570"/>
      <c r="BL72" s="570"/>
      <c r="BM72" s="570"/>
      <c r="BN72" s="570"/>
      <c r="BO72" s="570"/>
      <c r="BP72" s="570"/>
      <c r="BQ72" s="570"/>
      <c r="BR72" s="570"/>
      <c r="BS72" s="570"/>
      <c r="BT72" s="570"/>
    </row>
    <row r="73">
      <c r="A73" s="129"/>
      <c r="B73" s="578" t="s">
        <v>2437</v>
      </c>
      <c r="C73" s="578" t="s">
        <v>2438</v>
      </c>
      <c r="D73" s="570"/>
      <c r="E73" s="570"/>
      <c r="F73" s="570"/>
      <c r="G73" s="570"/>
      <c r="H73" s="570"/>
      <c r="I73" s="570"/>
      <c r="J73" s="570"/>
      <c r="K73" s="570"/>
      <c r="L73" s="570"/>
      <c r="M73" s="570"/>
      <c r="N73" s="570"/>
      <c r="O73" s="570"/>
      <c r="P73" s="570"/>
      <c r="Q73" s="570"/>
      <c r="R73" s="570"/>
      <c r="S73" s="570"/>
      <c r="T73" s="570"/>
      <c r="U73" s="570"/>
      <c r="V73" s="570"/>
      <c r="W73" s="570"/>
      <c r="X73" s="570"/>
      <c r="Y73" s="570"/>
      <c r="Z73" s="570"/>
      <c r="AA73" s="570"/>
      <c r="AB73" s="570"/>
      <c r="AC73" s="570"/>
      <c r="AD73" s="570"/>
      <c r="AE73" s="570"/>
      <c r="AF73" s="570"/>
      <c r="AG73" s="570"/>
      <c r="AH73" s="570"/>
      <c r="AI73" s="570"/>
      <c r="AJ73" s="570"/>
      <c r="AK73" s="570"/>
      <c r="AL73" s="570"/>
      <c r="AM73" s="570"/>
      <c r="AN73" s="570"/>
      <c r="AO73" s="570"/>
      <c r="AP73" s="570"/>
      <c r="AQ73" s="570"/>
      <c r="AR73" s="570"/>
      <c r="AS73" s="570"/>
      <c r="AT73" s="570"/>
      <c r="AU73" s="570"/>
      <c r="AV73" s="570"/>
      <c r="AW73" s="570"/>
      <c r="AX73" s="570"/>
      <c r="AY73" s="570"/>
      <c r="AZ73" s="570"/>
      <c r="BA73" s="570"/>
      <c r="BB73" s="570"/>
      <c r="BC73" s="570"/>
      <c r="BD73" s="570"/>
      <c r="BE73" s="570"/>
      <c r="BF73" s="570"/>
      <c r="BG73" s="570"/>
      <c r="BH73" s="570"/>
      <c r="BI73" s="570"/>
      <c r="BJ73" s="570"/>
      <c r="BK73" s="570"/>
      <c r="BL73" s="570"/>
      <c r="BM73" s="570"/>
      <c r="BN73" s="570"/>
      <c r="BO73" s="570"/>
      <c r="BP73" s="570"/>
      <c r="BQ73" s="570"/>
      <c r="BR73" s="570"/>
      <c r="BS73" s="570"/>
      <c r="BT73" s="570"/>
    </row>
    <row r="74">
      <c r="A74" s="56"/>
      <c r="B74" s="578" t="s">
        <v>2439</v>
      </c>
      <c r="C74" s="578" t="s">
        <v>2440</v>
      </c>
      <c r="D74" s="570"/>
      <c r="E74" s="570"/>
      <c r="F74" s="570"/>
      <c r="G74" s="570"/>
      <c r="H74" s="570"/>
      <c r="I74" s="570"/>
      <c r="J74" s="570"/>
      <c r="K74" s="570"/>
      <c r="L74" s="570"/>
      <c r="M74" s="570"/>
      <c r="N74" s="570"/>
      <c r="O74" s="570"/>
      <c r="P74" s="570"/>
      <c r="Q74" s="570"/>
      <c r="R74" s="570"/>
      <c r="S74" s="570"/>
      <c r="T74" s="570"/>
      <c r="U74" s="570"/>
      <c r="V74" s="570"/>
      <c r="W74" s="570"/>
      <c r="X74" s="570"/>
      <c r="Y74" s="570"/>
      <c r="Z74" s="570"/>
      <c r="AA74" s="570"/>
      <c r="AB74" s="570"/>
      <c r="AC74" s="570"/>
      <c r="AD74" s="570"/>
      <c r="AE74" s="570"/>
      <c r="AF74" s="570"/>
      <c r="AG74" s="570"/>
      <c r="AH74" s="570"/>
      <c r="AI74" s="570"/>
      <c r="AJ74" s="570"/>
      <c r="AK74" s="570"/>
      <c r="AL74" s="570"/>
      <c r="AM74" s="570"/>
      <c r="AN74" s="570"/>
      <c r="AO74" s="570"/>
      <c r="AP74" s="570"/>
      <c r="AQ74" s="570"/>
      <c r="AR74" s="570"/>
      <c r="AS74" s="570"/>
      <c r="AT74" s="570"/>
      <c r="AU74" s="570"/>
      <c r="AV74" s="570"/>
      <c r="AW74" s="570"/>
      <c r="AX74" s="570"/>
      <c r="AY74" s="570"/>
      <c r="AZ74" s="570"/>
      <c r="BA74" s="570"/>
      <c r="BB74" s="570"/>
      <c r="BC74" s="570"/>
      <c r="BD74" s="570"/>
      <c r="BE74" s="570"/>
      <c r="BF74" s="570"/>
      <c r="BG74" s="570"/>
      <c r="BH74" s="570"/>
      <c r="BI74" s="570"/>
      <c r="BJ74" s="570"/>
      <c r="BK74" s="570"/>
      <c r="BL74" s="570"/>
      <c r="BM74" s="570"/>
      <c r="BN74" s="570"/>
      <c r="BO74" s="570"/>
      <c r="BP74" s="570"/>
      <c r="BQ74" s="570"/>
      <c r="BR74" s="570"/>
      <c r="BS74" s="570"/>
      <c r="BT74" s="570"/>
    </row>
    <row r="75">
      <c r="B75" s="591" t="s">
        <v>2441</v>
      </c>
      <c r="C75" s="592" t="s">
        <v>2442</v>
      </c>
      <c r="D75" s="593"/>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594"/>
      <c r="BJ75" s="594"/>
      <c r="BK75" s="594"/>
      <c r="BL75" s="594"/>
      <c r="BM75" s="594"/>
      <c r="BN75" s="594"/>
      <c r="BO75" s="594"/>
      <c r="BP75" s="594"/>
      <c r="BQ75" s="594"/>
      <c r="BR75" s="594"/>
      <c r="BS75" s="594"/>
      <c r="BT75" s="594"/>
    </row>
    <row r="76">
      <c r="C76" s="592" t="s">
        <v>2443</v>
      </c>
      <c r="D76" s="593"/>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594"/>
      <c r="BJ76" s="594"/>
      <c r="BK76" s="594"/>
      <c r="BL76" s="594"/>
      <c r="BM76" s="594"/>
      <c r="BN76" s="594"/>
      <c r="BO76" s="594"/>
      <c r="BP76" s="594"/>
      <c r="BQ76" s="594"/>
      <c r="BR76" s="594"/>
      <c r="BS76" s="594"/>
      <c r="BT76" s="594"/>
    </row>
    <row r="77">
      <c r="C77" s="592" t="s">
        <v>2096</v>
      </c>
      <c r="D77" s="593"/>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594"/>
      <c r="BJ77" s="594"/>
      <c r="BK77" s="594"/>
      <c r="BL77" s="594"/>
      <c r="BM77" s="594"/>
      <c r="BN77" s="594"/>
      <c r="BO77" s="594"/>
      <c r="BP77" s="594"/>
      <c r="BQ77" s="594"/>
      <c r="BR77" s="594"/>
      <c r="BS77" s="594"/>
      <c r="BT77" s="594"/>
    </row>
    <row r="78">
      <c r="B78" s="592" t="s">
        <v>2444</v>
      </c>
      <c r="C78" s="592" t="s">
        <v>2103</v>
      </c>
      <c r="D78" s="593"/>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594"/>
      <c r="BJ78" s="594"/>
      <c r="BK78" s="594"/>
      <c r="BL78" s="594"/>
      <c r="BM78" s="594"/>
      <c r="BN78" s="594"/>
      <c r="BO78" s="594"/>
      <c r="BP78" s="594"/>
      <c r="BQ78" s="594"/>
      <c r="BR78" s="594"/>
      <c r="BS78" s="594"/>
      <c r="BT78" s="594"/>
    </row>
    <row r="79">
      <c r="B79" s="591" t="s">
        <v>2445</v>
      </c>
      <c r="C79" s="592" t="s">
        <v>2446</v>
      </c>
      <c r="D79" s="593"/>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594"/>
      <c r="BJ79" s="594"/>
      <c r="BK79" s="594"/>
      <c r="BL79" s="594"/>
      <c r="BM79" s="594"/>
      <c r="BN79" s="594"/>
      <c r="BO79" s="594"/>
      <c r="BP79" s="594"/>
      <c r="BQ79" s="594"/>
      <c r="BR79" s="594"/>
      <c r="BS79" s="594"/>
      <c r="BT79" s="594"/>
    </row>
    <row r="80">
      <c r="C80" s="592" t="s">
        <v>2447</v>
      </c>
      <c r="D80" s="593"/>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594"/>
      <c r="BJ80" s="594"/>
      <c r="BK80" s="594"/>
      <c r="BL80" s="594"/>
      <c r="BM80" s="594"/>
      <c r="BN80" s="594"/>
      <c r="BO80" s="594"/>
      <c r="BP80" s="594"/>
      <c r="BQ80" s="594"/>
      <c r="BR80" s="594"/>
      <c r="BS80" s="594"/>
      <c r="BT80" s="594"/>
    </row>
    <row r="81">
      <c r="C81" s="592" t="s">
        <v>2112</v>
      </c>
      <c r="D81" s="593"/>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594"/>
      <c r="BJ81" s="594"/>
      <c r="BK81" s="594"/>
      <c r="BL81" s="594"/>
      <c r="BM81" s="594"/>
      <c r="BN81" s="594"/>
      <c r="BO81" s="594"/>
      <c r="BP81" s="594"/>
      <c r="BQ81" s="594"/>
      <c r="BR81" s="594"/>
      <c r="BS81" s="594"/>
      <c r="BT81" s="594"/>
    </row>
    <row r="82">
      <c r="C82" s="592" t="s">
        <v>2448</v>
      </c>
      <c r="D82" s="593"/>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594"/>
      <c r="BJ82" s="594"/>
      <c r="BK82" s="594"/>
      <c r="BL82" s="594"/>
      <c r="BM82" s="594"/>
      <c r="BN82" s="594"/>
      <c r="BO82" s="594"/>
      <c r="BP82" s="594"/>
      <c r="BQ82" s="594"/>
      <c r="BR82" s="594"/>
      <c r="BS82" s="594"/>
      <c r="BT82" s="594"/>
    </row>
    <row r="83">
      <c r="C83" s="592" t="s">
        <v>2111</v>
      </c>
      <c r="D83" s="593"/>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594"/>
      <c r="BJ83" s="594"/>
      <c r="BK83" s="594"/>
      <c r="BL83" s="594"/>
      <c r="BM83" s="594"/>
      <c r="BN83" s="594"/>
      <c r="BO83" s="594"/>
      <c r="BP83" s="594"/>
      <c r="BQ83" s="594"/>
      <c r="BR83" s="594"/>
      <c r="BS83" s="594"/>
      <c r="BT83" s="594"/>
    </row>
    <row r="84">
      <c r="B84" s="591" t="s">
        <v>2449</v>
      </c>
      <c r="C84" s="592" t="s">
        <v>2118</v>
      </c>
      <c r="D84" s="593"/>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594"/>
      <c r="BJ84" s="594"/>
      <c r="BK84" s="594"/>
      <c r="BL84" s="594"/>
      <c r="BM84" s="594"/>
      <c r="BN84" s="594"/>
      <c r="BO84" s="594"/>
      <c r="BP84" s="594"/>
      <c r="BQ84" s="594"/>
      <c r="BR84" s="594"/>
      <c r="BS84" s="594"/>
      <c r="BT84" s="594"/>
    </row>
    <row r="85">
      <c r="C85" s="592" t="s">
        <v>2121</v>
      </c>
      <c r="D85" s="593"/>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594"/>
      <c r="BJ85" s="594"/>
      <c r="BK85" s="594"/>
      <c r="BL85" s="594"/>
      <c r="BM85" s="594"/>
      <c r="BN85" s="594"/>
      <c r="BO85" s="594"/>
      <c r="BP85" s="594"/>
      <c r="BQ85" s="594"/>
      <c r="BR85" s="594"/>
      <c r="BS85" s="594"/>
      <c r="BT85" s="594"/>
    </row>
    <row r="86">
      <c r="C86" s="592" t="s">
        <v>2124</v>
      </c>
      <c r="D86" s="593"/>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594"/>
      <c r="BJ86" s="594"/>
      <c r="BK86" s="594"/>
      <c r="BL86" s="594"/>
      <c r="BM86" s="594"/>
      <c r="BN86" s="594"/>
      <c r="BO86" s="594"/>
      <c r="BP86" s="594"/>
      <c r="BQ86" s="594"/>
      <c r="BR86" s="594"/>
      <c r="BS86" s="594"/>
      <c r="BT86" s="594"/>
    </row>
    <row r="87">
      <c r="C87" s="592" t="s">
        <v>2127</v>
      </c>
      <c r="D87" s="595"/>
      <c r="E87" s="596"/>
      <c r="F87" s="596"/>
      <c r="G87" s="596"/>
      <c r="H87" s="596"/>
      <c r="I87" s="596"/>
      <c r="J87" s="596"/>
      <c r="K87" s="596"/>
      <c r="L87" s="596"/>
      <c r="M87" s="596"/>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596"/>
      <c r="AT87" s="596"/>
      <c r="AU87" s="596"/>
      <c r="AV87" s="596"/>
      <c r="AW87" s="596"/>
      <c r="AX87" s="596"/>
      <c r="AY87" s="596"/>
      <c r="AZ87" s="596"/>
      <c r="BA87" s="596"/>
      <c r="BB87" s="596"/>
      <c r="BC87" s="596"/>
      <c r="BD87" s="596"/>
      <c r="BE87" s="596"/>
      <c r="BF87" s="596"/>
      <c r="BG87" s="596"/>
      <c r="BH87" s="596"/>
      <c r="BI87" s="596"/>
      <c r="BJ87" s="596"/>
      <c r="BK87" s="596"/>
      <c r="BL87" s="596"/>
      <c r="BM87" s="596"/>
      <c r="BN87" s="596"/>
      <c r="BO87" s="596"/>
      <c r="BP87" s="596"/>
      <c r="BQ87" s="596"/>
      <c r="BR87" s="596"/>
      <c r="BS87" s="596"/>
      <c r="BT87" s="596"/>
    </row>
    <row r="88">
      <c r="B88" s="592" t="s">
        <v>2450</v>
      </c>
      <c r="C88" s="592" t="s">
        <v>2451</v>
      </c>
    </row>
    <row r="89">
      <c r="B89" s="591" t="s">
        <v>2452</v>
      </c>
      <c r="C89" s="592" t="s">
        <v>2134</v>
      </c>
    </row>
    <row r="90">
      <c r="C90" s="592" t="s">
        <v>2137</v>
      </c>
    </row>
    <row r="91">
      <c r="B91" s="591" t="s">
        <v>2453</v>
      </c>
      <c r="C91" s="592" t="s">
        <v>2454</v>
      </c>
    </row>
    <row r="92">
      <c r="C92" s="592" t="s">
        <v>2146</v>
      </c>
    </row>
    <row r="93">
      <c r="C93" s="592" t="s">
        <v>2455</v>
      </c>
    </row>
    <row r="94">
      <c r="C94" s="592" t="s">
        <v>2145</v>
      </c>
    </row>
    <row r="95">
      <c r="C95" s="592" t="s">
        <v>2150</v>
      </c>
    </row>
    <row r="96">
      <c r="C96" s="592" t="s">
        <v>2149</v>
      </c>
    </row>
    <row r="97">
      <c r="C97" s="592" t="s">
        <v>2456</v>
      </c>
    </row>
    <row r="98">
      <c r="C98" s="592" t="s">
        <v>2457</v>
      </c>
    </row>
    <row r="99">
      <c r="B99" s="592" t="s">
        <v>2458</v>
      </c>
      <c r="C99" s="592" t="s">
        <v>2459</v>
      </c>
    </row>
    <row r="100">
      <c r="B100" s="592" t="s">
        <v>2460</v>
      </c>
      <c r="C100" s="592" t="s">
        <v>2157</v>
      </c>
    </row>
    <row r="101">
      <c r="B101" s="591" t="s">
        <v>2461</v>
      </c>
      <c r="C101" s="592" t="s">
        <v>2462</v>
      </c>
    </row>
    <row r="102">
      <c r="C102" s="592" t="s">
        <v>2463</v>
      </c>
    </row>
    <row r="103">
      <c r="B103" s="591" t="s">
        <v>2464</v>
      </c>
      <c r="C103" s="592" t="s">
        <v>2168</v>
      </c>
    </row>
    <row r="104">
      <c r="C104" s="592" t="s">
        <v>2465</v>
      </c>
    </row>
    <row r="105">
      <c r="B105" s="592" t="s">
        <v>2466</v>
      </c>
      <c r="C105" s="592" t="s">
        <v>2173</v>
      </c>
    </row>
    <row r="106">
      <c r="B106" s="591" t="s">
        <v>2467</v>
      </c>
      <c r="C106" s="592" t="s">
        <v>2183</v>
      </c>
    </row>
    <row r="107">
      <c r="C107" s="592" t="s">
        <v>2468</v>
      </c>
    </row>
    <row r="108">
      <c r="C108" s="592" t="s">
        <v>2187</v>
      </c>
    </row>
    <row r="109">
      <c r="C109" s="592" t="s">
        <v>2469</v>
      </c>
    </row>
    <row r="110">
      <c r="C110" s="592" t="s">
        <v>2470</v>
      </c>
    </row>
    <row r="111">
      <c r="C111" s="592" t="s">
        <v>2179</v>
      </c>
    </row>
    <row r="112">
      <c r="C112" s="592" t="s">
        <v>2182</v>
      </c>
    </row>
    <row r="113">
      <c r="B113" s="591" t="s">
        <v>2471</v>
      </c>
      <c r="C113" s="592" t="s">
        <v>2194</v>
      </c>
    </row>
    <row r="114">
      <c r="C114" s="592" t="s">
        <v>2196</v>
      </c>
    </row>
    <row r="115">
      <c r="B115" s="591" t="s">
        <v>2472</v>
      </c>
      <c r="C115" s="592" t="s">
        <v>2204</v>
      </c>
    </row>
    <row r="116">
      <c r="C116" s="592" t="s">
        <v>2206</v>
      </c>
    </row>
    <row r="117">
      <c r="C117" s="592" t="s">
        <v>2473</v>
      </c>
    </row>
    <row r="118">
      <c r="C118" s="592" t="s">
        <v>2474</v>
      </c>
    </row>
    <row r="119">
      <c r="C119" s="592" t="s">
        <v>2212</v>
      </c>
    </row>
    <row r="120">
      <c r="C120" s="592" t="s">
        <v>2475</v>
      </c>
    </row>
    <row r="121">
      <c r="B121" s="591" t="s">
        <v>2476</v>
      </c>
      <c r="C121" s="592" t="s">
        <v>2477</v>
      </c>
    </row>
    <row r="122">
      <c r="B122" s="592" t="s">
        <v>2478</v>
      </c>
      <c r="C122" s="592" t="s">
        <v>2220</v>
      </c>
    </row>
    <row r="123">
      <c r="B123" s="591" t="s">
        <v>2479</v>
      </c>
      <c r="C123" s="592" t="s">
        <v>2226</v>
      </c>
    </row>
    <row r="124">
      <c r="C124" s="592" t="s">
        <v>2225</v>
      </c>
    </row>
    <row r="125">
      <c r="B125" s="591" t="s">
        <v>2480</v>
      </c>
      <c r="C125" s="592" t="s">
        <v>2481</v>
      </c>
    </row>
    <row r="126">
      <c r="C126" s="592" t="s">
        <v>2482</v>
      </c>
    </row>
    <row r="127">
      <c r="C127" s="592" t="s">
        <v>2233</v>
      </c>
    </row>
    <row r="128">
      <c r="C128" s="592" t="s">
        <v>2483</v>
      </c>
    </row>
    <row r="129">
      <c r="C129" s="592" t="s">
        <v>2237</v>
      </c>
    </row>
    <row r="130">
      <c r="C130" s="592" t="s">
        <v>2239</v>
      </c>
    </row>
    <row r="131">
      <c r="C131" s="592" t="s">
        <v>2241</v>
      </c>
    </row>
    <row r="132">
      <c r="C132" s="592" t="s">
        <v>2484</v>
      </c>
    </row>
    <row r="133">
      <c r="C133" s="592" t="s">
        <v>2245</v>
      </c>
    </row>
    <row r="134">
      <c r="C134" s="592" t="s">
        <v>2246</v>
      </c>
    </row>
    <row r="135">
      <c r="C135" s="592" t="s">
        <v>2485</v>
      </c>
    </row>
    <row r="136">
      <c r="C136" s="592" t="s">
        <v>2248</v>
      </c>
    </row>
    <row r="137">
      <c r="C137" s="592" t="s">
        <v>2230</v>
      </c>
    </row>
    <row r="138">
      <c r="B138" s="591" t="s">
        <v>2486</v>
      </c>
      <c r="C138" s="592" t="s">
        <v>2253</v>
      </c>
    </row>
    <row r="139">
      <c r="C139" s="592" t="s">
        <v>2254</v>
      </c>
    </row>
    <row r="140">
      <c r="C140" s="592" t="s">
        <v>2487</v>
      </c>
    </row>
    <row r="141">
      <c r="C141" s="592" t="s">
        <v>2252</v>
      </c>
    </row>
    <row r="142">
      <c r="B142" s="591" t="s">
        <v>2488</v>
      </c>
      <c r="C142" s="592" t="s">
        <v>2260</v>
      </c>
    </row>
    <row r="143">
      <c r="C143" s="592" t="s">
        <v>2489</v>
      </c>
    </row>
    <row r="144">
      <c r="C144" s="592" t="s">
        <v>2490</v>
      </c>
    </row>
    <row r="145">
      <c r="B145" s="592" t="s">
        <v>2491</v>
      </c>
    </row>
    <row r="146">
      <c r="B146" s="591" t="s">
        <v>2492</v>
      </c>
      <c r="C146" s="592" t="s">
        <v>2264</v>
      </c>
    </row>
    <row r="147">
      <c r="C147" s="592" t="s">
        <v>2263</v>
      </c>
    </row>
    <row r="148">
      <c r="C148" s="592" t="s">
        <v>2265</v>
      </c>
    </row>
    <row r="149">
      <c r="C149" s="592" t="s">
        <v>2266</v>
      </c>
    </row>
    <row r="150">
      <c r="B150" s="591" t="s">
        <v>2493</v>
      </c>
      <c r="C150" s="592" t="s">
        <v>2270</v>
      </c>
    </row>
    <row r="151">
      <c r="C151" s="592" t="s">
        <v>2494</v>
      </c>
    </row>
    <row r="152">
      <c r="C152" s="592" t="s">
        <v>2495</v>
      </c>
    </row>
    <row r="153">
      <c r="C153" s="592" t="s">
        <v>2275</v>
      </c>
    </row>
    <row r="154">
      <c r="C154" s="592" t="s">
        <v>2496</v>
      </c>
    </row>
    <row r="155">
      <c r="C155" s="592" t="s">
        <v>2497</v>
      </c>
    </row>
    <row r="156">
      <c r="C156" s="592" t="s">
        <v>2498</v>
      </c>
    </row>
    <row r="157">
      <c r="C157" s="592" t="s">
        <v>2286</v>
      </c>
    </row>
    <row r="158">
      <c r="C158" s="592" t="s">
        <v>2269</v>
      </c>
    </row>
    <row r="159">
      <c r="B159" s="591" t="s">
        <v>2499</v>
      </c>
      <c r="C159" s="592" t="s">
        <v>2296</v>
      </c>
    </row>
    <row r="160">
      <c r="C160" s="592" t="s">
        <v>2500</v>
      </c>
    </row>
    <row r="161">
      <c r="C161" s="592" t="s">
        <v>2501</v>
      </c>
    </row>
    <row r="162">
      <c r="C162" s="592" t="s">
        <v>2502</v>
      </c>
    </row>
    <row r="163">
      <c r="C163" s="592" t="s">
        <v>2290</v>
      </c>
    </row>
    <row r="164">
      <c r="C164" s="592" t="s">
        <v>2294</v>
      </c>
    </row>
    <row r="165">
      <c r="C165" s="592" t="s">
        <v>2293</v>
      </c>
    </row>
    <row r="166">
      <c r="B166" s="591" t="s">
        <v>2503</v>
      </c>
      <c r="C166" s="592" t="s">
        <v>2302</v>
      </c>
    </row>
    <row r="167">
      <c r="C167" s="592" t="s">
        <v>2504</v>
      </c>
    </row>
    <row r="168">
      <c r="B168" s="592" t="s">
        <v>2505</v>
      </c>
      <c r="C168" s="591" t="s">
        <v>2506</v>
      </c>
    </row>
    <row r="169">
      <c r="B169" s="591" t="s">
        <v>2507</v>
      </c>
      <c r="C169" s="592" t="s">
        <v>2310</v>
      </c>
    </row>
    <row r="170">
      <c r="C170" s="592" t="s">
        <v>2313</v>
      </c>
    </row>
    <row r="171">
      <c r="C171" s="592" t="s">
        <v>2508</v>
      </c>
    </row>
    <row r="172">
      <c r="C172" s="592" t="s">
        <v>2318</v>
      </c>
    </row>
    <row r="173">
      <c r="C173" s="592" t="s">
        <v>2509</v>
      </c>
    </row>
    <row r="174">
      <c r="B174" s="591" t="s">
        <v>2510</v>
      </c>
      <c r="C174" s="591" t="s">
        <v>2511</v>
      </c>
    </row>
    <row r="175">
      <c r="B175" s="591" t="s">
        <v>2512</v>
      </c>
      <c r="C175" s="592" t="s">
        <v>2513</v>
      </c>
    </row>
    <row r="176">
      <c r="C176" s="592" t="s">
        <v>2330</v>
      </c>
    </row>
    <row r="177">
      <c r="B177" s="592" t="s">
        <v>2514</v>
      </c>
      <c r="C177" s="592" t="s">
        <v>2334</v>
      </c>
    </row>
    <row r="178">
      <c r="C178" s="592" t="s">
        <v>2515</v>
      </c>
    </row>
    <row r="179">
      <c r="B179" s="591" t="s">
        <v>2516</v>
      </c>
      <c r="C179" s="592" t="s">
        <v>2342</v>
      </c>
    </row>
    <row r="180">
      <c r="C180" s="592" t="s">
        <v>2344</v>
      </c>
    </row>
    <row r="181">
      <c r="C181" s="592" t="s">
        <v>2347</v>
      </c>
    </row>
    <row r="182">
      <c r="C182" s="592" t="s">
        <v>2517</v>
      </c>
    </row>
    <row r="183">
      <c r="B183" s="591" t="s">
        <v>2518</v>
      </c>
      <c r="C183" s="592" t="s">
        <v>2350</v>
      </c>
    </row>
    <row r="184">
      <c r="C184" s="592" t="s">
        <v>2353</v>
      </c>
    </row>
    <row r="185">
      <c r="B185" s="591" t="s">
        <v>2519</v>
      </c>
      <c r="C185" s="592" t="s">
        <v>2357</v>
      </c>
    </row>
    <row r="186">
      <c r="B186" s="591" t="s">
        <v>2520</v>
      </c>
      <c r="C186" s="592" t="s">
        <v>2362</v>
      </c>
    </row>
    <row r="187">
      <c r="C187" s="592" t="s">
        <v>2521</v>
      </c>
    </row>
    <row r="188">
      <c r="C188" s="592" t="s">
        <v>2522</v>
      </c>
    </row>
    <row r="189">
      <c r="B189" s="591" t="s">
        <v>2523</v>
      </c>
      <c r="C189" s="592" t="s">
        <v>2367</v>
      </c>
      <c r="D189" s="597"/>
    </row>
    <row r="190">
      <c r="C190" s="592" t="s">
        <v>2524</v>
      </c>
      <c r="D190" s="597"/>
    </row>
  </sheetData>
  <mergeCells count="60">
    <mergeCell ref="B101:B102"/>
    <mergeCell ref="B103:B104"/>
    <mergeCell ref="B106:B112"/>
    <mergeCell ref="B113:B114"/>
    <mergeCell ref="B115:B120"/>
    <mergeCell ref="B123:B124"/>
    <mergeCell ref="B125:B137"/>
    <mergeCell ref="B175:B176"/>
    <mergeCell ref="B177:B178"/>
    <mergeCell ref="B179:B182"/>
    <mergeCell ref="B183:B184"/>
    <mergeCell ref="B186:B188"/>
    <mergeCell ref="B189:B190"/>
    <mergeCell ref="B138:B141"/>
    <mergeCell ref="B142:B144"/>
    <mergeCell ref="B146:B149"/>
    <mergeCell ref="B150:B158"/>
    <mergeCell ref="B159:B165"/>
    <mergeCell ref="B166:B167"/>
    <mergeCell ref="B169:B173"/>
    <mergeCell ref="AX2:BO2"/>
    <mergeCell ref="BP2:BR2"/>
    <mergeCell ref="A1:A3"/>
    <mergeCell ref="B1:B3"/>
    <mergeCell ref="C1:C3"/>
    <mergeCell ref="D1:BT1"/>
    <mergeCell ref="D2:L2"/>
    <mergeCell ref="M2:U2"/>
    <mergeCell ref="V2:AD2"/>
    <mergeCell ref="BS2:BT2"/>
    <mergeCell ref="AE2:AN2"/>
    <mergeCell ref="AO2:AW2"/>
    <mergeCell ref="A5:A14"/>
    <mergeCell ref="B5:B11"/>
    <mergeCell ref="B12:B20"/>
    <mergeCell ref="B22:B23"/>
    <mergeCell ref="B24:B27"/>
    <mergeCell ref="A33:A39"/>
    <mergeCell ref="A40:A47"/>
    <mergeCell ref="A15:A25"/>
    <mergeCell ref="A26:A28"/>
    <mergeCell ref="A29:A32"/>
    <mergeCell ref="B29:B30"/>
    <mergeCell ref="B31:B32"/>
    <mergeCell ref="B34:B36"/>
    <mergeCell ref="B39:B44"/>
    <mergeCell ref="B47:B52"/>
    <mergeCell ref="A48:A55"/>
    <mergeCell ref="B53:B54"/>
    <mergeCell ref="A57:A60"/>
    <mergeCell ref="B59:B66"/>
    <mergeCell ref="A61:A65"/>
    <mergeCell ref="A66:A74"/>
    <mergeCell ref="B67:B69"/>
    <mergeCell ref="B70:B72"/>
    <mergeCell ref="B75:B77"/>
    <mergeCell ref="B79:B83"/>
    <mergeCell ref="B84:B87"/>
    <mergeCell ref="B89:B90"/>
    <mergeCell ref="B91:B98"/>
  </mergeCells>
  <drawing r:id="rId1"/>
</worksheet>
</file>