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<sst xmlns="http://schemas.openxmlformats.org/spreadsheetml/2006/main" count="6158" uniqueCount="1398">
  <si>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</si>
  <si>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</si>
  <si>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</si>
  <si>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</si>
  <si>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</si>
  <si>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</si>
  <si>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</si>
  <si>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</si>
  <si>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</si>
  <si>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</si>
  <si>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</si>
  <si>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</si>
  <si>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</si>
  <si>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</si>
  <si>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</si>
  <si>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</si>
  <si>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</si>
  <si>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</si>
  <si>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</si>
  <si>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</si>
  <si>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</si>
  <si>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</si>
  <si>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</si>
  <si>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</si>
  <si>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</si>
  <si>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</si>
  <si>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</si>
  <si>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</si>
  <si>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</si>
  <si>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</si>
  <si>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</si>
  <si>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</si>
  <si>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</si>
  <si>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</si>
  <si>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</si>
  <si>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</si>
  <si>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</si>
  <si>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</si>
  <si>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</si>
  <si>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</si>
  <si>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</si>
  <si>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</si>
  <si>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</si>
  <si>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</si>
  <si>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</si>
  <si>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</si>
  <si>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</si>
  <si>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</si>
  <si>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</si>
  <si>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</si>
  <si>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</si>
  <si>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</si>
  <si>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</si>
  <si>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</si>
  <si>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</si>
  <si>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</si>
  <si>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</si>
  <si>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</si>
  <si>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</si>
  <si>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</si>
  <si>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</si>
  <si>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</si>
  <si>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</si>
  <si>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</si>
  <si>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</si>
  <si>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</si>
  <si>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</si>
  <si>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</si>
  <si>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</si>
  <si>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</si>
  <si>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</si>
  <si>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</si>
  <si>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</si>
  <si>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</si>
  <si>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</si>
  <si>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</si>
  <si>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</si>
  <si>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</si>
  <si>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</si>
  <si>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</si>
  <si>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</si>
  <si>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</si>
  <si>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</si>
  <si>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</si>
  <si>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</si>
  <si>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</si>
  <si>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</si>
  <si>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</si>
  <si>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</si>
  <si>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</si>
  <si>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</si>
  <si>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</si>
  <si>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</si>
  <si>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</si>
  <si>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</si>
  <si>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</si>
  <si>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</si>
  <si>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</si>
  <si>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</si>
  <si>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</si>
  <si>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</si>
  <si>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</si>
  <si>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</si>
  <si>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</si>
  <si>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</si>
  <si>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</si>
  <si>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</si>
  <si>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</si>
  <si>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</si>
  <si>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</si>
  <si>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</si>
  <si>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</si>
  <si>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</si>
  <si>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</si>
  <si>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</si>
  <si>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</si>
  <si>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</si>
  <si>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</si>
  <si>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</si>
  <si>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</si>
  <si>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</si>
  <si>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</si>
  <si>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</si>
  <si>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</si>
  <si>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</si>
  <si>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</si>
  <si>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</si>
  <si>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</si>
  <si>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</si>
  <si>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</si>
  <si>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</si>
  <si>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</si>
  <si>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</si>
  <si>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</si>
  <si>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</si>
  <si>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</si>
  <si>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</si>
  <si>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</si>
  <si>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</si>
  <si>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</si>
  <si>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</si>
  <si>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</si>
  <si>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</si>
  <si>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</si>
  <si>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</si>
  <si>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</si>
  <si>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</si>
  <si>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</si>
  <si>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</si>
  <si>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</si>
  <si>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</si>
  <si>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</si>
  <si>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</si>
  <si>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</si>
  <si>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</si>
  <si>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</si>
  <si>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</si>
  <si>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</si>
  <si>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</si>
  <si>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</si>
  <si>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</si>
  <si>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</si>
  <si>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</si>
  <si>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</si>
  <si>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</si>
  <si>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</si>
  <si>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</si>
  <si>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</si>
  <si>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</si>
  <si>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</si>
  <si>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</si>
  <si>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</si>
  <si>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</si>
  <si>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</si>
  <si>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</si>
  <si>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</si>
  <si>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</si>
  <si>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</si>
  <si>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</si>
  <si>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</si>
  <si>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</si>
  <si>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</si>
  <si>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</si>
  <si>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</si>
  <si>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</si>
  <si>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</si>
  <si>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</si>
  <si>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</si>
  <si>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</si>
  <si>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</si>
  <si>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</si>
  <si>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</si>
  <si>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</si>
  <si>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</si>
  <si>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</si>
  <si>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</si>
  <si>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</si>
  <si>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</si>
  <si>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</si>
  <si>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</si>
  <si>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</si>
  <si>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</si>
  <si>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</si>
  <si>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</si>
  <si>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</si>
  <si>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</si>
  <si>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</si>
  <si>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</si>
  <si>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</si>
  <si>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</si>
  <si>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</si>
  <si>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</si>
  <si>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</si>
  <si>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</si>
  <si>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</si>
  <si>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</si>
  <si>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</si>
  <si>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</si>
  <si>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</si>
  <si>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</si>
  <si>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</si>
  <si>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</si>
  <si>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</si>
  <si>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</si>
  <si>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</si>
  <si>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</si>
  <si>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</si>
  <si>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</si>
  <si>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</si>
  <si>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</si>
  <si>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</si>
  <si>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</si>
  <si>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</si>
  <si>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</si>
  <si>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</si>
  <si>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</si>
  <si>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</si>
  <si>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</si>
  <si>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</si>
  <si>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</si>
  <si>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</si>
  <si>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</si>
  <si>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</si>
  <si>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</si>
  <si>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</si>
  <si>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</si>
  <si>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</si>
  <si>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</si>
  <si>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</si>
  <si>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</si>
  <si>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</si>
  <si>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</si>
  <si>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</si>
  <si>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</si>
  <si>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</si>
  <si>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</si>
  <si>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</si>
  <si>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</si>
  <si>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</si>
  <si>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</si>
  <si>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</si>
  <si>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</si>
  <si>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</si>
  <si>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</si>
  <si>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</si>
  <si>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</si>
  <si>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</si>
  <si>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</si>
  <si>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</si>
  <si>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</si>
  <si>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</si>
  <si>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</si>
  <si>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</si>
  <si>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</si>
  <si>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</si>
  <si>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</si>
  <si>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</si>
  <si>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</si>
  <si>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</si>
  <si>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</si>
  <si>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</si>
  <si>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</si>
  <si>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</si>
  <si>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</si>
  <si>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</si>
  <si>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</si>
  <si>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</si>
  <si>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</si>
  <si>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</si>
  <si>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</si>
  <si>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</si>
  <si>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</si>
  <si>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</si>
  <si>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</si>
  <si>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</si>
  <si>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</si>
  <si>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</si>
  <si>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</si>
  <si>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</si>
  <si>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</si>
  <si>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</si>
  <si>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</si>
  <si>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</si>
  <si>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</si>
  <si>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</si>
  <si>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</si>
  <si>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</si>
  <si>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</si>
  <si>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</si>
  <si>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</si>
  <si>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</si>
  <si>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</si>
  <si>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</si>
  <si>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</si>
  <si>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</si>
  <si>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</si>
  <si>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</si>
  <si>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</si>
  <si>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</si>
  <si>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</si>
  <si>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</si>
  <si>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</si>
  <si>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</si>
  <si>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</si>
  <si>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</si>
  <si>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</si>
  <si>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</si>
  <si>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</si>
  <si>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</si>
  <si>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</si>
  <si>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</si>
  <si>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</si>
  <si>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</si>
  <si>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</si>
  <si>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</si>
  <si>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</si>
  <si>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</si>
  <si>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</si>
  <si>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</si>
  <si>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</si>
  <si>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</si>
  <si>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</si>
  <si>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</si>
  <si>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</si>
  <si>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</si>
  <si>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</si>
  <si>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</si>
  <si>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</si>
  <si>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</si>
  <si>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</si>
  <si>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</si>
  <si>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</si>
  <si>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</si>
  <si>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</si>
  <si>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CPMK201</t>
  </si>
  <si>
    <t>Mampu merancang dan mendokumentasikan rencana manajemen proyek pengembangan aplikasi multi-platform dengan menerapkan metodologi pengembangan perangkat lunak yang tepat</t>
  </si>
  <si>
    <t xml:space="preserve">MK048
</t>
  </si>
  <si>
    <t xml:space="preserve">BK03 </t>
  </si>
  <si>
    <t>CPMK202</t>
  </si>
  <si>
    <t>Mampu menerapkan prinsip dan metode User Experience (UX) Design untuk merancang prototipe antarmuka aplikasi multi-platform yang interaktif</t>
  </si>
  <si>
    <t>BK04
BK22</t>
  </si>
  <si>
    <t>User Experience Design
Human-Computer Interaction</t>
  </si>
  <si>
    <t>CPMK203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</si>
  <si>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</si>
  <si>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</si>
  <si>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</si>
  <si>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CPMK204</t>
  </si>
  <si>
    <t>Mampu menganalisis kebutuhan komputasi dari sebuah solusi IoT multi-platform dan arsitektur terdistribusi</t>
  </si>
  <si>
    <t>CPMK205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</si>
  <si>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</si>
  <si>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</si>
  <si>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</si>
  <si>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</si>
  <si>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</si>
  <si>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</si>
  <si>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CPMK207</t>
  </si>
  <si>
    <t xml:space="preserve">Mampu menganalisis kompleksitas permasalahan komputasi kemudian memilih dan merancang struktur data serta algoritma yang optimal </t>
  </si>
  <si>
    <t>CPMK208</t>
  </si>
  <si>
    <t>Mampu menganalisis kebutuhan komputasi dari solusi aplikasi multi-platform dan memilih arsitektur computing system yang sesuai dengan mempertimbangkan interaksi antara hardware, sistem operasi, dan aplikasi</t>
  </si>
  <si>
    <t>Konsep Teknologi Informasi
Sistem Operasi</t>
  </si>
  <si>
    <t>CPMK209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</si>
  <si>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</si>
  <si>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</si>
  <si>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</si>
  <si>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</si>
  <si>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</si>
  <si>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</si>
  <si>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</si>
  <si>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</si>
  <si>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</si>
  <si>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</si>
  <si>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</si>
  <si>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</si>
  <si>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</si>
  <si>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</si>
  <si>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</si>
  <si>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</si>
  <si>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</si>
  <si>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</si>
  <si>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</si>
  <si>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</si>
  <si>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CPMK401</t>
  </si>
  <si>
    <t>Mampu menganalisis permasalahan kompleks dan menyusun solusi rasional berbasis data dalam bentuk deskripsi ilmiah yang terstruktur.</t>
  </si>
  <si>
    <t>vivi</t>
  </si>
  <si>
    <t>CPMK402</t>
  </si>
  <si>
    <t>Mampu merencanakan dan mengorganisasi dokumentasi proyek teknologi informasi secara sistematis dalam bentuk laporan teknis yang memenuhi kaidah ilmiah.</t>
  </si>
  <si>
    <t>CPMK403</t>
  </si>
  <si>
    <t>Mampu merumuskan masalah penelitian, menentukan metode yang tepat, serta menyusun proposal dan deskripsi saintifik penelitian sebagai dasar penulisan skripsi atau artikel ilmiah.</t>
  </si>
  <si>
    <t>CPMK404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</si>
  <si>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</si>
  <si>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</si>
  <si>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</si>
  <si>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CPMK501</t>
  </si>
  <si>
    <t>Mampu merancang dan menerapkan kebijakan serta prosedur manajemen keamanan untuk infrastruktur jaringan dan layanan cloud dengan memilih pendekatan yang sesuai kebutuhan operasional.</t>
  </si>
  <si>
    <t>Administrasi dan Keamanan Jaringan
Cloud Computing</t>
  </si>
  <si>
    <t>CPMK502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</si>
  <si>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</si>
  <si>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</si>
  <si>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</si>
  <si>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</si>
  <si>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</si>
  <si>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CPMK503</t>
  </si>
  <si>
    <t>Mampu merancang dan mengonfigurasi solusi komputasi paralel dan terdistribusi yang mendukung kebutuhan pemrosesan IoT, Big Data, dan layanan berbasis cloud.</t>
  </si>
  <si>
    <t>MK049
MK050
MK051</t>
  </si>
  <si>
    <t>Internet Of Things
Big Data
Cloud Computing</t>
  </si>
  <si>
    <t>CPMK504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</si>
  <si>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</si>
  <si>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</si>
  <si>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</si>
  <si>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CPMK505</t>
  </si>
  <si>
    <t>Mampu menerapkan teknologi dan mekanisme keamanan jaringan secara tepat guna dalam melindungi infrastruktur digital dari ancaman aktual.</t>
  </si>
  <si>
    <t>CPMK508</t>
  </si>
  <si>
    <t>Mampu menerapkan prinsip information assurance dan teknik keamanan perangkat lunak untuk memastikan keandalan, integritas, dan ketahanan sistem terhadap risiko.</t>
  </si>
  <si>
    <t>CPMK509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</si>
  <si>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</si>
  <si>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</si>
  <si>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</si>
  <si>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CPMK601</t>
  </si>
  <si>
    <t>Mampu merancang dan menjamin mutu pengalaman pengguna (UX) melalui pembuatan prototipe yang menjawab permasalahan interaksi pengguna</t>
  </si>
  <si>
    <t>vipkas</t>
  </si>
  <si>
    <t>CPMK602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</si>
  <si>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</si>
  <si>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</si>
  <si>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</si>
  <si>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CPMK603</t>
  </si>
  <si>
    <t>Mampu mengimplementasikan dan melakukan deployment aplikasi perangkat lunak pada platform web, mobile, atau framework secara fungsional</t>
  </si>
  <si>
    <t>MK022
MK034
MK039
MK047</t>
  </si>
  <si>
    <t>CPMK605</t>
  </si>
  <si>
    <t>Mampu mengimplementasikan prinsip dasar pengembangan dan memelihara kualitas kode program agar tetap bersih, efisien, dan berkelanjutan</t>
  </si>
  <si>
    <t>MK029
MK042</t>
  </si>
  <si>
    <t>Analisis Dan Desain Berorientasi Objek
Penjaminan Mutu Perangkat Lunak</t>
  </si>
  <si>
    <t>CPMK606</t>
  </si>
  <si>
    <t>Mampu mengelola proses deployment dan menyusun rencana memelihara perangkat lunak sesuai dengan metodologi siklus hidup pengembangan (SDLC)</t>
  </si>
  <si>
    <t>Pemrograman Berbasis Objek
Penjaminan Mutu Perangkat Lunak</t>
  </si>
  <si>
    <t>CPMK607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</si>
  <si>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</si>
  <si>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</si>
  <si>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CPMK608</t>
  </si>
  <si>
    <t>Mampu merencanakan strategi pengujian serta menjamin mutu perangkat lunak melalui teknik verifikasi dan validasi yang terukur</t>
  </si>
  <si>
    <t>CPMK609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</si>
  <si>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</si>
  <si>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</si>
  <si>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CPMK701 
</t>
  </si>
  <si>
    <t>Mampu merancang, mengimplementasikan, dan mengevaluasi sistem manajemen data yang handal untuk mendukung kebutuhan penyimpanan dan pengelolaan informasi</t>
  </si>
  <si>
    <t>Praktikum Basis Data
Basis Data Lanjut</t>
  </si>
  <si>
    <t>bella</t>
  </si>
  <si>
    <t>CPMK702</t>
  </si>
  <si>
    <t>Mampu merancang dan mengimplementasikan pemrosesan data berskala besar menggunakan arsitektur komputasi paralel dan terdistribusi untuk mengoptimalkan kinerja analisis data</t>
  </si>
  <si>
    <t xml:space="preserve">
Parallel and Distributed Computing
</t>
  </si>
  <si>
    <t>CPMK703</t>
  </si>
  <si>
    <t>Mampu memilih dan mengimplementasikan struktur data serta algoritma yang efisien untuk mendukung pengolahan data dan pengembangan sistem</t>
  </si>
  <si>
    <t>Praktikum Algoritma &amp; Struktur Data</t>
  </si>
  <si>
    <t>CPMK704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</si>
  <si>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</si>
  <si>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</si>
  <si>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CPMK705</t>
  </si>
  <si>
    <t>Mampu merancang dan mengimplementasikan teknik pengolahan citra dan visualisasi data secara efektif untuk mengeksplorasi dan merepresentasikan pola informasi</t>
  </si>
  <si>
    <t>MK041
MK043</t>
  </si>
  <si>
    <t>Business Intelligence
Pengolahan Citra Dan Visi Komputer</t>
  </si>
  <si>
    <t>CPMK706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</si>
  <si>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</si>
  <si>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</si>
  <si>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</si>
  <si>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CPMK707</t>
  </si>
  <si>
    <t>Mahasiswa mampu memodelkan, mensimulasikan, dan menganalisis permasalahan menggunakan metode statistika komputasi dan pendekatan numerik</t>
  </si>
  <si>
    <t>Statistika Komputasi</t>
  </si>
  <si>
    <t>CPMK708</t>
  </si>
  <si>
    <t>Mampu menerapkan konsep struktur data dalam perancangan dan implementasi algoritma untuk menghasilkan solusi komputasi yang efisien</t>
  </si>
  <si>
    <t>CPMK801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</si>
  <si>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</si>
  <si>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</si>
  <si>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</si>
  <si>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</si>
  <si>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</si>
  <si>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</si>
  <si>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</si>
  <si>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</si>
  <si>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</si>
  <si>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</si>
  <si>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</si>
  <si>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</si>
  <si>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</si>
  <si>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</si>
  <si>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</si>
  <si>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</si>
  <si>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</si>
  <si>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</si>
  <si>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</si>
  <si>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</si>
  <si>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</si>
  <si>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</si>
  <si>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</si>
  <si>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</si>
  <si>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</si>
  <si>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</si>
  <si>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</si>
  <si>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</si>
  <si>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</si>
  <si>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</si>
  <si>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</si>
  <si>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</si>
  <si>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</si>
  <si>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</si>
  <si>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</si>
  <si>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</si>
  <si>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</si>
  <si>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</si>
  <si>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</si>
  <si>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</si>
  <si>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CPMK904</t>
  </si>
  <si>
    <t>Mahasiswa mampu menguraikan prinsip kerja sistem paralel–terdistribusi yang dimanfaatkan untuk pemrosesan data skala besar.</t>
  </si>
  <si>
    <t xml:space="preserve">MK050
</t>
  </si>
  <si>
    <t xml:space="preserve">BK07
</t>
  </si>
  <si>
    <t xml:space="preserve">Parallel and Distributed Computing
</t>
  </si>
  <si>
    <t>CPMK905 -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</si>
  <si>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</si>
  <si>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</si>
  <si>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</si>
  <si>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</si>
  <si>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</si>
  <si>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</si>
  <si>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</si>
  <si>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CPMK10.2</t>
  </si>
  <si>
    <t>Mampu merancang, menerapkan, dan mengevaluasi mekanisme keamanan jaringan untuk melindungi data, layanan, dan sumber daya jaringan dengan mempertimbangkan aspek teknis, operasional, dan kebijakan organisasi.</t>
  </si>
  <si>
    <t>CPMK10.3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</si>
  <si>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</si>
  <si>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</si>
  <si>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</si>
  <si>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</si>
  <si>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</si>
  <si>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</si>
  <si>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CPMK10.5</t>
  </si>
  <si>
    <t>Mampu mengembangkan dan mengevaluasi solusi sistem cerdas berdasarkan aspek kinerja, keandalan, interpretabilitas, dan kesesuaian solusi terhadap kebutuhan domain aplikasi.</t>
  </si>
  <si>
    <t>CPMK10.6</t>
  </si>
  <si>
    <t>Mampu mengevaluasi dan mengembangkan aplikasi berbasis web dan mobile dengan mempertimbangkan aspek arsitektur, performa, integrasi layanan, dan pengalaman pengguna.</t>
  </si>
  <si>
    <t>MK034
MK039</t>
  </si>
  <si>
    <t>Pemrograman Web Lanjut
Pemrograman Mobile</t>
  </si>
  <si>
    <t>CPMK10.7</t>
  </si>
  <si>
    <t>Mampu menganalisis persoalan komputasi numerik yang kompleks dengan memanfaatkan konsep struktur diskrit (logika, relasi, fungsi, graf, dan matriks) untuk merumuskan dan memilih solusi numerik yang tepat.</t>
  </si>
  <si>
    <t>CPMK10.8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</si>
  <si>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</si>
  <si>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</si>
  <si>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</si>
  <si>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</si>
  <si>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</si>
  <si>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</si>
  <si>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</si>
  <si>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</si>
  <si>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</si>
  <si>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</si>
  <si>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</si>
  <si>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</si>
  <si>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</si>
  <si>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</si>
  <si>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CPMK902</t>
  </si>
  <si>
    <t>(CPL03)
Memiliki kemampuan (pengelolaan) manajerial tim dan kerja sama (team work), manajemen diri, mampu berkomunikasi baik lisan maupun tertulis dengan baik dan mampu melakukan presentasi.</t>
  </si>
  <si>
    <t>CPMK903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</si>
  <si>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</si>
  <si>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</si>
  <si>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</si>
  <si>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</si>
  <si>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</si>
  <si>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</si>
  <si>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</si>
  <si>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</si>
  <si>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</si>
  <si>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</si>
  <si>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</si>
  <si>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</si>
  <si>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</si>
  <si>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</si>
  <si>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</si>
  <si>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</si>
  <si>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</si>
  <si>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</si>
  <si>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</si>
  <si>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</si>
  <si>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</si>
  <si>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</si>
  <si>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</si>
  <si>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</si>
  <si>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</si>
  <si>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</si>
  <si>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</si>
  <si>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</si>
  <si>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</si>
  <si>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</si>
  <si>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</si>
  <si>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</si>
  <si>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</si>
  <si>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</si>
  <si>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</si>
  <si>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</si>
  <si>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</si>
  <si>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</si>
  <si>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</si>
  <si>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</si>
  <si>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CPMK311</t>
  </si>
  <si>
    <t>Mahasiswa mampu mengidentifikasi peluang bisnis berbasis teknologi dan menyusun business model canvas, serta bekerja dalam tim untuk merancang dan mengembangkan konsep startup dengan menerapkan mindset entrepreneurial.</t>
  </si>
  <si>
    <t>CPMK312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</si>
  <si>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</si>
  <si>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</si>
  <si>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</si>
  <si>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</si>
  <si>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</si>
  <si>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</si>
  <si>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</si>
  <si>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</si>
  <si>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</si>
  <si>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</si>
  <si>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CPMK313</t>
  </si>
  <si>
    <t>Mahasiswa mampu berkomunikasi secara efektif dalam lingkungan kerja profesional TI dengan menerapkan prinsip komunikasi yang baik, menyusun dokumen profesional yang jelas dan etis, serta melakukan presentasi dengan memperhatikan aspek verbal dan nonverbal.</t>
  </si>
  <si>
    <t>CPMK314</t>
  </si>
  <si>
    <t>Mahasiswa mampu bekerja sama dalam tim dengan menerapkan etika dan kode etik profesi TI serta mengelola konflik melalui komunikasi yang asertif dan profesional.</t>
  </si>
  <si>
    <t>CPMK315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</si>
  <si>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</si>
  <si>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</si>
  <si>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</si>
  <si>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</si>
  <si>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</si>
  <si>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</si>
  <si>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</si>
  <si>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</si>
  <si>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</si>
  <si>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</si>
  <si>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</si>
  <si>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</si>
  <si>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</si>
  <si>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</si>
  <si>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</si>
  <si>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</si>
  <si>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</si>
  <si>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</si>
  <si>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</si>
  <si>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</si>
  <si>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</si>
  <si>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</si>
  <si>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</si>
  <si>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CPMK319</t>
  </si>
  <si>
    <t>Mahasiswa mampu beradaptasi dan bekerja sama dalam tim kerja profesional di industri, mengelola waktu, tugas, dan tanggung jawab secara mandiri, serta berkomunikasi secara profesional dengan supervisor, rekan kerja, dan stakeholder perusahaan.</t>
  </si>
  <si>
    <t>CPMK320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</si>
  <si>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</si>
  <si>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</si>
  <si>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</si>
  <si>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</si>
  <si>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</si>
  <si>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</si>
  <si>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</si>
  <si>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</si>
  <si>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</si>
  <si>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</si>
  <si>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</si>
  <si>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</si>
  <si>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</si>
  <si>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</si>
  <si>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</si>
  <si>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</si>
  <si>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</si>
  <si>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</si>
  <si>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</si>
  <si>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</si>
  <si>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</si>
  <si>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</si>
  <si>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</si>
  <si>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</si>
  <si>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</si>
  <si>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</si>
  <si>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</si>
  <si>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</si>
  <si>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</si>
  <si>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</si>
  <si>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</si>
  <si>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</si>
  <si>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</si>
  <si>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</si>
  <si>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</si>
  <si>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</si>
  <si>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</si>
  <si>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</si>
  <si>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</si>
  <si>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</si>
  <si>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</si>
  <si>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</si>
  <si>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</si>
  <si>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</si>
  <si>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</si>
  <si>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</si>
  <si>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</si>
  <si>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</si>
  <si>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</si>
  <si>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</si>
  <si>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</si>
  <si>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</si>
  <si>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</si>
  <si>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</si>
  <si>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</si>
  <si>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</si>
  <si>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</si>
  <si>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</si>
  <si>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</si>
  <si>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</si>
  <si>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</si>
  <si>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</si>
  <si>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</si>
  <si>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SCPMK902-00402</t>
  </si>
  <si>
    <t xml:space="preserve">- Mampu menerapkan algoritma komputasional berbasis struktur diskrit dalam menyelesaikan perhitungan sistematis.
</t>
  </si>
  <si>
    <t>SCPMK902-00403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</si>
  <si>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</si>
  <si>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</si>
  <si>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</si>
  <si>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</si>
  <si>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</si>
  <si>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</si>
  <si>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</si>
  <si>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</si>
  <si>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</si>
  <si>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</si>
  <si>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</si>
  <si>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</si>
  <si>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</si>
  <si>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</si>
  <si>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</si>
  <si>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</si>
  <si>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</si>
  <si>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</si>
  <si>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</si>
  <si>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</si>
  <si>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</si>
  <si>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</si>
  <si>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SCPMK903-00602</t>
  </si>
  <si>
    <t>- Mahasiswa mampu merancang alur logika penyelesaian masalah menggunakan instrumen Flowchart dan Pseudocode dengan menerapkan prinsip urutan (sequence).</t>
  </si>
  <si>
    <t>SCPMK704-00601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</si>
  <si>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</si>
  <si>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</si>
  <si>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SCPMK704-00602</t>
  </si>
  <si>
    <t>- Mahasiswa mampu mengembangkan program yang efisien dan modular dengan menerapkan struktur data Array serta pengorganisasian kode menggunakan Fungsi.</t>
  </si>
  <si>
    <t>Imam Fahrur Rozi, ST., MT.</t>
  </si>
  <si>
    <t>SCPMK903-00701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</si>
  <si>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</si>
  <si>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</si>
  <si>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</si>
  <si>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</si>
  <si>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SCPMK903-00702</t>
  </si>
  <si>
    <t xml:space="preserve">
- Mahasiswa mampu mengimplementasikan rancangan flowchart dan pseudocode ke dalam sintaks bahasa pemrograman menggunakan prinsip urutan (sequence).</t>
  </si>
  <si>
    <t>SCPMK704-00701</t>
  </si>
  <si>
    <t>- Mahasiswa mampu membangun aplikasi sederhana yang menerapkan struktur kontrol pemilihan dan perulangan untuk menyelesaikan berbagai kasus logika.</t>
  </si>
  <si>
    <t>SCPMK704-00702</t>
  </si>
  <si>
    <t>- Mahasiswa mampu menciptakan program yang modular menggunakan fungsi dan mengelola sekumpulan data melalui array untuk menghasilkan solusi yang efisien.</t>
  </si>
  <si>
    <t>Titis Octary Satrio, S.ST., M.MT.</t>
  </si>
  <si>
    <t>SCPMK101-00801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</si>
  <si>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</si>
  <si>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</si>
  <si>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</si>
  <si>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</si>
  <si>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</si>
  <si>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</si>
  <si>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SCPMK101-00802</t>
  </si>
  <si>
    <t>Mahasiswa mengetahui perundang-undangan yang menjadi dasar semua kebijakan yang berhubungan dengan keselamatan dan kesehatan kerja</t>
  </si>
  <si>
    <t>Tes Tulis (UAS)</t>
  </si>
  <si>
    <t>Landasan Hukum, Audit K3</t>
  </si>
  <si>
    <t>SCPMK101-00803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</si>
  <si>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</si>
  <si>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</si>
  <si>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</si>
  <si>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</si>
  <si>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</si>
  <si>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</si>
  <si>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</si>
  <si>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</si>
  <si>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</si>
  <si>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</si>
  <si>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</si>
  <si>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</si>
  <si>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</si>
  <si>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</si>
  <si>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</si>
  <si>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</si>
  <si>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</si>
  <si>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</si>
  <si>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</si>
  <si>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</si>
  <si>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</si>
  <si>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</si>
  <si>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</si>
  <si>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</si>
  <si>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</si>
  <si>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</si>
  <si>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</si>
  <si>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</si>
  <si>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</si>
  <si>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</si>
  <si>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</si>
  <si>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</si>
  <si>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</si>
  <si>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</si>
  <si>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</si>
  <si>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</si>
  <si>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</si>
  <si>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</si>
  <si>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</si>
  <si>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</si>
  <si>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</si>
  <si>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</si>
  <si>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</si>
  <si>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</si>
  <si>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</si>
  <si>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</si>
  <si>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</si>
  <si>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</si>
  <si>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</si>
  <si>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</si>
  <si>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</si>
  <si>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</si>
  <si>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SCPMK202-01202</t>
  </si>
  <si>
    <t>Mahasiswa mampu menerapkan prinsip usability, accessibility, dan desain visual dalam perancangan antarmuka pengguna.</t>
  </si>
  <si>
    <t>SCPMK601-01201</t>
  </si>
  <si>
    <t>Mahasiswa mampu melakukan evaluasi dan perbaikan prototipe berdasarkan uji coba pengguna (usability testing) dan umpan balik yang diperoleh.</t>
  </si>
  <si>
    <t xml:space="preserve">SCPMK802-01201
</t>
  </si>
  <si>
    <t>Mahasiswa mampu menganalisis kebutuhan dan permasalahan pengguna melalui teknik user research sederhana (persona, user journey, skenario penggunaan).</t>
  </si>
  <si>
    <t>SCPMK802-01202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</si>
  <si>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</si>
  <si>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</si>
  <si>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</si>
  <si>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</si>
  <si>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</si>
  <si>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</si>
  <si>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</si>
  <si>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</si>
  <si>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</si>
  <si>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</si>
  <si>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</si>
  <si>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</si>
  <si>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</si>
  <si>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</si>
  <si>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</si>
  <si>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</si>
  <si>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</si>
  <si>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</si>
  <si>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SCPMK211-05001</t>
  </si>
  <si>
    <t>Mampu mentransformasi kebutuhan menjadi desain teknis menggunakan pemodelan sistem (UML/Diagram).</t>
  </si>
  <si>
    <t>Observasi (Praktik/ Tugas)</t>
  </si>
  <si>
    <t>Ketepatan penggunaan simbol UML sesuai standar diagram.likasi multi-platform</t>
  </si>
  <si>
    <t>Desain Perangkat Lunak</t>
  </si>
  <si>
    <t>SCPMK802-05001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</si>
  <si>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</si>
  <si>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</si>
  <si>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</si>
  <si>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</si>
  <si>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</si>
  <si>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</si>
  <si>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</si>
  <si>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</si>
  <si>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SCPMK802-05003</t>
  </si>
  <si>
    <t>Mampu mengelola proses pengembangan menggunakan metodologi Agile (Scrum) untuk adaptasi perubahan yang cepat.</t>
  </si>
  <si>
    <t>Kepatuhan menjalankan peran (Scrum Master/PO) sesuai prosedur Agile Ceremony.</t>
  </si>
  <si>
    <t>6. AGILE Methodology
7. SCRUM Framework</t>
  </si>
  <si>
    <t>SCPMK802-05004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</si>
  <si>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</si>
  <si>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</si>
  <si>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</si>
  <si>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</si>
  <si>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SCPMK802-05005</t>
  </si>
  <si>
    <t>Mampu menerapkan prinsip penjaminan mutu (SQA) melalui pengujian perangkat lunak (Testing).</t>
  </si>
  <si>
    <t xml:space="preserve">
Kelengkapan kolom status dan kejelasan deskripsi task pada Board.</t>
  </si>
  <si>
    <t>Pengujian Perangkat Lunak</t>
  </si>
  <si>
    <t>SCPMK802-05006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</si>
  <si>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</si>
  <si>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</si>
  <si>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</si>
  <si>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</si>
  <si>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</si>
  <si>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</si>
  <si>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</si>
  <si>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</si>
  <si>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</si>
  <si>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</si>
  <si>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</si>
  <si>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</si>
  <si>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</si>
  <si>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</si>
  <si>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</si>
  <si>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</si>
  <si>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</si>
  <si>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</si>
  <si>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</si>
  <si>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</si>
  <si>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</si>
  <si>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</si>
  <si>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</si>
  <si>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</si>
  <si>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</si>
  <si>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</si>
  <si>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</si>
  <si>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</si>
  <si>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</si>
  <si>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</si>
  <si>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</si>
  <si>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</si>
  <si>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</si>
  <si>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</si>
  <si>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</si>
  <si>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</si>
  <si>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</si>
  <si>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</si>
  <si>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</si>
  <si>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</si>
  <si>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</si>
  <si>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</si>
  <si>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</si>
  <si>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</si>
  <si>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</si>
  <si>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</si>
  <si>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</si>
  <si>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</si>
  <si>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</si>
  <si>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</si>
  <si>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</si>
  <si>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</si>
  <si>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</si>
  <si>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</si>
  <si>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</si>
  <si>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</si>
  <si>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</si>
  <si>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</si>
  <si>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</si>
  <si>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</si>
  <si>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</si>
  <si>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</si>
  <si>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</si>
  <si>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</si>
  <si>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</si>
  <si>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</si>
  <si>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</si>
  <si>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SCPMK708-01801</t>
  </si>
  <si>
    <t>Mahasiswa mampu mengimplementasikan struktur data linear dan mengintegrasikannya ke dalam algoritma untuk menyelesaikan permasalahan komputasi.</t>
  </si>
  <si>
    <t>Stack
Queue
Single Linked List
Double Linked List</t>
  </si>
  <si>
    <t>SCPMK903-01801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</si>
  <si>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</si>
  <si>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</si>
  <si>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</si>
  <si>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</si>
  <si>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</si>
  <si>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</si>
  <si>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</si>
  <si>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</si>
  <si>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</si>
  <si>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</si>
  <si>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</si>
  <si>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</si>
  <si>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</si>
  <si>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</si>
  <si>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</si>
  <si>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</si>
  <si>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</si>
  <si>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</si>
  <si>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</si>
  <si>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</si>
  <si>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</si>
  <si>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</si>
  <si>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</si>
  <si>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</si>
  <si>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</si>
  <si>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</si>
  <si>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</si>
  <si>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</si>
  <si>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</si>
  <si>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</si>
  <si>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</si>
  <si>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</si>
  <si>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</si>
  <si>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</si>
  <si>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</si>
  <si>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</si>
  <si>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</si>
  <si>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</si>
  <si>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</si>
  <si>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</si>
  <si>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</si>
  <si>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</si>
  <si>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</si>
  <si>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</si>
  <si>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</si>
  <si>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</si>
  <si>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</si>
  <si>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</si>
  <si>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</si>
  <si>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</si>
  <si>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</si>
  <si>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</si>
  <si>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</si>
  <si>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</si>
  <si>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</si>
  <si>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</si>
  <si>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</si>
  <si>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</si>
  <si>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</si>
  <si>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</si>
  <si>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</si>
  <si>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</si>
  <si>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</si>
  <si>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</si>
  <si>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</si>
  <si>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</si>
  <si>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</si>
  <si>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</si>
  <si>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</si>
  <si>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</si>
  <si>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</si>
  <si>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</si>
  <si>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</si>
  <si>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</si>
  <si>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</si>
  <si>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</si>
  <si>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</si>
  <si>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</si>
  <si>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</si>
  <si>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</si>
  <si>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</si>
  <si>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</si>
  <si>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</si>
  <si>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</si>
  <si>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</si>
  <si>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</si>
  <si>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</si>
  <si>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</si>
  <si>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</si>
  <si>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</si>
  <si>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</si>
  <si>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</si>
  <si>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</si>
  <si>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</si>
  <si>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</si>
  <si>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</si>
  <si>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</si>
  <si>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</si>
  <si>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</si>
  <si>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</si>
  <si>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SCPMK211-029001</t>
  </si>
  <si>
    <t>Mahasiswa mampu mentransformasikan kebutuhan stakeholder menjadi spesifikasi teknis sistem melalui domain model, use case description, dan robustness analysis secara terstruktur dan konsisten.</t>
  </si>
  <si>
    <t>SCPMK602-029001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</si>
  <si>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</si>
  <si>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</si>
  <si>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</si>
  <si>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</si>
  <si>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</si>
  <si>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CPMK609-029001</t>
  </si>
  <si>
    <t>Mahasiswa mampu menyusun dan mengevaluasi dokumen Spesifikasi Kebutuhan Perangkat Lunak (SKPL) berdasarkan hasil pemodelan UML secara lengkap dan siap diimplementasikan.</t>
  </si>
  <si>
    <t xml:space="preserve">Rizki Putri Ramadhani, S.S., M.Pd.
</t>
  </si>
  <si>
    <t>CPMK307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</si>
  <si>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</si>
  <si>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</si>
  <si>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</si>
  <si>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</si>
  <si>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</si>
  <si>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</si>
  <si>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</si>
  <si>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</si>
  <si>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</si>
  <si>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</si>
  <si>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</si>
  <si>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</si>
  <si>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</si>
  <si>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</si>
  <si>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</si>
  <si>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</si>
  <si>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</si>
  <si>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</si>
  <si>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</si>
  <si>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</si>
  <si>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</si>
  <si>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</si>
  <si>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</si>
  <si>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</si>
  <si>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</si>
  <si>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</si>
  <si>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</si>
  <si>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</si>
  <si>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</si>
  <si>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</si>
  <si>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</si>
  <si>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</si>
  <si>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</si>
  <si>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</si>
  <si>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</si>
  <si>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</si>
  <si>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</si>
  <si>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</si>
  <si>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</si>
  <si>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</si>
  <si>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</si>
  <si>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</si>
  <si>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</si>
  <si>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</si>
  <si>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</si>
  <si>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</si>
  <si>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</si>
  <si>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</si>
  <si>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</si>
  <si>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</si>
  <si>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</si>
  <si>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</si>
  <si>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</si>
  <si>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</si>
  <si>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</si>
  <si>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</si>
  <si>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</si>
  <si>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</si>
  <si>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</si>
  <si>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CPMK602-00102</t>
  </si>
  <si>
    <t>Mampu merancang arsitektur dan komponen perangkat lunak secara sistematis dengan menerapkan pola desain yang sesuai.</t>
  </si>
  <si>
    <t>Unjuk Kerja (Presentasi), Quiz</t>
  </si>
  <si>
    <t>Resource Management &amp; Procurement Management</t>
  </si>
  <si>
    <t>CPMK802-00101</t>
  </si>
  <si>
    <t>Mampu menerapkan metodologi pengembangan perangkat lunak dalam pengelolaan siklus hidup proyek secara sistematis.</t>
  </si>
  <si>
    <t>Project scope management, Project time management</t>
  </si>
  <si>
    <t>CPMK802-00102</t>
  </si>
  <si>
    <t>Mampu merancang dan mengevaluasi desain antarmuka (UI/UX) dengan menerapkan prinsip penjaminan mutu (SQA) untuk menghasilkan produk yang berkualitas dan berpusat pada pengguna.</t>
  </si>
  <si>
    <t>Cost Management, Quality Management</t>
  </si>
  <si>
    <t>CPMK803-00101</t>
  </si>
  <si>
    <t>Mampu menggunakan alat bantu (tools) manajemen proyek untuk melaksanakan, memonitor, dan mengendalikan aktivitas proyek.</t>
  </si>
  <si>
    <t>Unjuk Kerja (Presentasi), Tes Tulis (UAS), Quiz</t>
  </si>
  <si>
    <t>Communications Management &amp; Risk Management</t>
  </si>
  <si>
    <t>CPMK803-00102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</si>
  <si>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</si>
  <si>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</si>
  <si>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</si>
  <si>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</si>
  <si>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</si>
  <si>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</si>
  <si>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</si>
  <si>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</si>
  <si>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</si>
  <si>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</si>
  <si>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</si>
  <si>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</si>
  <si>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</si>
  <si>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</si>
  <si>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</si>
  <si>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</si>
  <si>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</si>
  <si>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</si>
  <si>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</si>
  <si>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</si>
  <si>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</si>
  <si>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</si>
  <si>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</si>
  <si>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</si>
  <si>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</si>
  <si>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</si>
  <si>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</si>
  <si>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</si>
  <si>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</si>
  <si>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</si>
  <si>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</si>
  <si>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</si>
  <si>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</si>
  <si>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</si>
  <si>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</si>
  <si>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</si>
  <si>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</si>
  <si>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</si>
  <si>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</si>
  <si>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</si>
  <si>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</si>
  <si>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</si>
  <si>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</si>
  <si>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</si>
  <si>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</si>
  <si>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</si>
  <si>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</si>
  <si>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</si>
  <si>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</si>
  <si>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</si>
  <si>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</si>
  <si>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</si>
  <si>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</si>
  <si>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</si>
  <si>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</si>
  <si>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</si>
  <si>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</si>
  <si>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</si>
  <si>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</si>
  <si>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</si>
  <si>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</si>
  <si>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</si>
  <si>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</si>
  <si>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</si>
  <si>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</si>
  <si>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</si>
  <si>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</si>
  <si>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</si>
  <si>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</si>
  <si>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</si>
  <si>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</si>
  <si>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</si>
  <si>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</si>
  <si>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</si>
  <si>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</si>
  <si>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</si>
  <si>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</si>
  <si>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</si>
  <si>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</si>
  <si>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</si>
  <si>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</si>
  <si>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</si>
  <si>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</si>
  <si>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</si>
  <si>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</si>
  <si>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</si>
  <si>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</si>
  <si>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</si>
  <si>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</si>
  <si>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</si>
  <si>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</si>
  <si>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</si>
  <si>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</si>
  <si>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</si>
  <si>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</si>
  <si>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CPMK101-00101</t>
  </si>
  <si>
    <t>CPMK102-00101</t>
  </si>
  <si>
    <t>CPMK313-00101</t>
  </si>
  <si>
    <t>CPMK314-00101</t>
  </si>
  <si>
    <t>Adevian Fairuz Pratama,S.S.T.,M.Eng
Ahmadi Yuli Ananta, S.T, M.M.</t>
  </si>
  <si>
    <t>SUBCPMK102-04601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</si>
  <si>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</si>
  <si>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</si>
  <si>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</si>
  <si>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</si>
  <si>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</si>
  <si>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</si>
  <si>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</si>
  <si>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</si>
  <si>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</si>
  <si>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</si>
  <si>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</si>
  <si>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</si>
  <si>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</si>
  <si>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</si>
  <si>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</si>
  <si>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</si>
  <si>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</si>
  <si>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</si>
  <si>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</si>
  <si>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</si>
  <si>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</si>
  <si>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</si>
  <si>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</si>
  <si>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</si>
  <si>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</si>
  <si>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</si>
  <si>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</si>
  <si>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</si>
  <si>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</si>
  <si>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</si>
  <si>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</si>
  <si>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</si>
  <si>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</si>
  <si>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</si>
  <si>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</si>
  <si>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</si>
  <si>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</si>
  <si>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</si>
  <si>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</si>
  <si>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</si>
  <si>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</si>
  <si>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</si>
  <si>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</si>
  <si>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</si>
  <si>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</si>
  <si>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</si>
  <si>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</si>
  <si>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</si>
  <si>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</si>
  <si>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</si>
  <si>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</si>
  <si>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</si>
  <si>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</si>
  <si>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</si>
  <si>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</si>
  <si>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</si>
  <si>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</si>
  <si>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</si>
  <si>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</si>
  <si>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</si>
  <si>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</si>
  <si>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</si>
  <si>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</si>
  <si>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</si>
  <si>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</si>
  <si>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</si>
  <si>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</si>
  <si>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</si>
  <si>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</si>
  <si>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</si>
  <si>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</si>
  <si>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</si>
  <si>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</si>
  <si>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</si>
  <si>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</si>
  <si>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</si>
  <si>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</si>
  <si>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</si>
  <si>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</si>
  <si>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</si>
  <si>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</si>
  <si>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</si>
  <si>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</si>
  <si>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</si>
  <si>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</si>
  <si>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</si>
  <si>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</si>
  <si>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</si>
  <si>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</si>
  <si>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CPMK305</t>
  </si>
  <si>
    <t>Mahasiswa mampu berkomunikasi secara lisan dan tulisan dalam Bahasa Inggris tingkat menengah untuk keperluan akademik dan profesional, termasuk dalam penyusunan dokumen teknis seperti laporan, email profesional, dan proposal.</t>
  </si>
  <si>
    <t>CPMK306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</si>
  <si>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</si>
  <si>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</si>
  <si>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</si>
  <si>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</si>
  <si>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</si>
  <si>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</si>
  <si>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</si>
  <si>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CPMK323</t>
  </si>
  <si>
    <t>CPMK324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</si>
  <si>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</si>
  <si>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</si>
  <si>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</si>
  <si>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</si>
  <si>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</si>
  <si>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</si>
  <si>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</si>
  <si>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</si>
  <si>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</si>
  <si>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</si>
  <si>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</si>
  <si>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</si>
  <si>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</si>
  <si>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CPMK309</t>
  </si>
  <si>
    <t>Mahasiswa mampu bekerja dalam tim untuk menganalisis, merancang, dan mengimplementasikan sistem informasi sesuai kebutuhan pengguna dengan mengelola pembagian tugas, koordinasi, serta pengaturan waktu dan sumber daya secara efektif.</t>
  </si>
  <si>
    <t>CPMK310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</si>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</sst>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53.0</v>
      </c>
      <c r="B55" s="30" t="s">
        <v>226</v>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54.0</v>
      </c>
      <c r="B56" s="30" t="s">
        <v>228</v>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55.0</v>
      </c>
      <c r="B57" s="30" t="s">
        <v>230</v>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D58" s="28"/>
      <c r="E58" s="28">
        <f t="shared" ref="E58:AI58" si="2">COUNTA(E3:E57)</f>
        <v>5</v>
      </c>
      <c r="F58" s="28">
        <f t="shared" si="2"/>
        <v>2</v>
      </c>
      <c r="G58" s="28">
        <f t="shared" si="2"/>
        <v>3</v>
      </c>
      <c r="H58" s="28">
        <f t="shared" si="2"/>
        <v>1</v>
      </c>
      <c r="I58" s="28">
        <f t="shared" si="2"/>
        <v>3</v>
      </c>
      <c r="J58" s="28">
        <f t="shared" si="2"/>
        <v>4</v>
      </c>
      <c r="K58" s="28">
        <f t="shared" si="2"/>
        <v>3</v>
      </c>
      <c r="L58" s="28">
        <f t="shared" si="2"/>
        <v>3</v>
      </c>
      <c r="M58" s="28">
        <f t="shared" si="2"/>
        <v>2</v>
      </c>
      <c r="N58" s="28">
        <f t="shared" si="2"/>
        <v>5</v>
      </c>
      <c r="O58" s="28">
        <f t="shared" si="2"/>
        <v>3</v>
      </c>
      <c r="P58" s="28">
        <f t="shared" si="2"/>
        <v>2</v>
      </c>
      <c r="Q58" s="28">
        <f t="shared" si="2"/>
        <v>5</v>
      </c>
      <c r="R58" s="28">
        <f t="shared" si="2"/>
        <v>4</v>
      </c>
      <c r="S58" s="28">
        <f t="shared" si="2"/>
        <v>2</v>
      </c>
      <c r="T58" s="28">
        <f t="shared" si="2"/>
        <v>2</v>
      </c>
      <c r="U58" s="28">
        <f t="shared" si="2"/>
        <v>2</v>
      </c>
      <c r="V58" s="28">
        <f t="shared" si="2"/>
        <v>4</v>
      </c>
      <c r="W58" s="28">
        <f t="shared" si="2"/>
        <v>4</v>
      </c>
      <c r="X58" s="28">
        <f t="shared" si="2"/>
        <v>6</v>
      </c>
      <c r="Y58" s="28">
        <f t="shared" si="2"/>
        <v>5</v>
      </c>
      <c r="Z58" s="28">
        <f t="shared" si="2"/>
        <v>1</v>
      </c>
      <c r="AA58" s="28">
        <f t="shared" si="2"/>
        <v>1</v>
      </c>
      <c r="AB58" s="28">
        <f t="shared" si="2"/>
        <v>3</v>
      </c>
      <c r="AC58" s="28">
        <f t="shared" si="2"/>
        <v>2</v>
      </c>
      <c r="AD58" s="28">
        <f t="shared" si="2"/>
        <v>8</v>
      </c>
      <c r="AE58" s="28">
        <f t="shared" si="2"/>
        <v>2</v>
      </c>
      <c r="AF58" s="28">
        <f t="shared" si="2"/>
        <v>1</v>
      </c>
      <c r="AG58" s="28">
        <f t="shared" si="2"/>
        <v>2</v>
      </c>
      <c r="AH58" s="28">
        <f t="shared" si="2"/>
        <v>11</v>
      </c>
      <c r="AI58" s="28">
        <f t="shared" si="2"/>
        <v>2</v>
      </c>
      <c r="AJ58" s="28"/>
    </row>
    <row r="59">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row>
    <row r="60">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row>
    <row r="61">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row>
    <row r="62">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s">
        <v>344</v>
      </c>
      <c r="F2" s="103" t="s">
        <v>345</v>
      </c>
      <c r="G2" s="100" t="s">
        <v>346</v>
      </c>
      <c r="H2" s="100" t="s">
        <v>347</v>
      </c>
      <c r="I2" s="100" t="s">
        <v>348</v>
      </c>
      <c r="J2" s="100" t="s">
        <v>349</v>
      </c>
    </row>
    <row r="3">
      <c r="A3" s="101"/>
      <c r="B3" s="102"/>
      <c r="C3" s="101" t="s">
        <v>350</v>
      </c>
      <c r="D3" s="102" t="s">
        <v>351</v>
      </c>
      <c r="E3" s="100" t="s">
        <v>352</v>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s">
        <v>218</v>
      </c>
      <c r="F7" s="103" t="s">
        <v>219</v>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s">
        <v>311</v>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s">
        <v>322</v>
      </c>
      <c r="F14" s="103" t="s">
        <v>388</v>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s">
        <v>284</v>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s">
        <v>398</v>
      </c>
      <c r="F19" s="109" t="s">
        <v>399</v>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s">
        <v>228</v>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s">
        <v>423</v>
      </c>
      <c r="F28" s="109" t="s">
        <v>424</v>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s">
        <v>442</v>
      </c>
      <c r="F36" s="123" t="s">
        <v>443</v>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s">
        <v>446</v>
      </c>
      <c r="F37" s="123" t="s">
        <v>382</v>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s">
        <v>323</v>
      </c>
      <c r="F41" s="123" t="s">
        <v>456</v>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s">
        <v>179</v>
      </c>
      <c r="F43" s="123" t="s">
        <v>180</v>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s">
        <v>484</v>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s">
        <v>287</v>
      </c>
      <c r="F52" s="109" t="s">
        <v>490</v>
      </c>
      <c r="G52" s="110" t="s">
        <v>491</v>
      </c>
      <c r="H52" s="110" t="s">
        <v>492</v>
      </c>
      <c r="I52" s="3" t="s">
        <v>493</v>
      </c>
    </row>
    <row r="53">
      <c r="C53" s="110" t="s">
        <v>494</v>
      </c>
      <c r="D53" s="113" t="s">
        <v>495</v>
      </c>
      <c r="E53" s="3" t="s">
        <v>496</v>
      </c>
      <c r="F53" s="3" t="s">
        <v>497</v>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s">
        <v>506</v>
      </c>
      <c r="F55" s="3" t="s">
        <v>507</v>
      </c>
      <c r="G55" s="110" t="s">
        <v>508</v>
      </c>
      <c r="H55" s="110" t="s">
        <v>509</v>
      </c>
      <c r="I55" s="3"/>
    </row>
    <row r="56">
      <c r="A56" s="42" t="s">
        <v>37</v>
      </c>
      <c r="B56" s="4" t="s">
        <v>510</v>
      </c>
      <c r="C56" s="4" t="s">
        <v>511</v>
      </c>
      <c r="D56" s="4" t="s">
        <v>512</v>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s">
        <v>518</v>
      </c>
      <c r="D57" s="102" t="s">
        <v>519</v>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s">
        <v>523</v>
      </c>
      <c r="D58" s="4" t="s">
        <v>524</v>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s">
        <v>530</v>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s">
        <v>534</v>
      </c>
      <c r="D60" s="4" t="s">
        <v>535</v>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s">
        <v>291</v>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s">
        <v>310</v>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s">
        <v>561</v>
      </c>
      <c r="F68" s="147" t="s">
        <v>562</v>
      </c>
      <c r="G68" s="110" t="s">
        <v>119</v>
      </c>
      <c r="H68" s="146" t="s">
        <v>86</v>
      </c>
    </row>
    <row r="69">
      <c r="C69" s="110" t="inlineStr">
        <is>
          <t>CPMK1009</t>
        </is>
      </c>
      <c r="D69" s="113" t="s">
        <v>564</v>
      </c>
      <c r="E69" s="110" t="s">
        <v>331</v>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s">
        <v>226</v>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s">
        <v>228</v>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s">
        <v>230</v>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CPMK0102</t>
        </is>
      </c>
      <c r="H2" s="102" t="s">
        <v>351</v>
      </c>
      <c r="I2" s="40" t="inlineStr">
        <is>
          <t xml:space="preserve">SCPMK0102-00101</t>
        </is>
      </c>
      <c r="J2" s="223" t="inlineStr">
        <is>
          <t xml:space="preserve">Mahasiswa mampu menganalisis dan menerapkan prinsip etika, nilai-nilai Pancasila, serta aspek keselamatan dan kesehatan kerja dalam pengembangan dan pemeliharaan sistem informasi sesuai konteks Pancasila dan capaian CPMK102.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1</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CPMK0208</t>
        </is>
      </c>
      <c r="H3" s="102" t="s">
        <v>378</v>
      </c>
      <c r="I3" s="40" t="inlineStr">
        <is>
          <t xml:space="preserve">SCPMK0208-00201</t>
        </is>
      </c>
      <c r="J3" s="216" t="inlineStr">
        <is>
          <t xml:space="preserve">Mahasiswa 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CPMK0502</t>
        </is>
      </c>
      <c r="H4" s="4" t="s">
        <v>416</v>
      </c>
      <c r="I4" s="40" t="inlineStr">
        <is>
          <t xml:space="preserve">SCPMK0502-00201</t>
        </is>
      </c>
      <c r="J4" s="216" t="inlineStr">
        <is>
          <t xml:space="preserve">Mahasiswa 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CPMK0901</t>
        </is>
      </c>
      <c r="H5" s="102" t="s">
        <v>512</v>
      </c>
      <c r="I5" s="40" t="inlineStr">
        <is>
          <t xml:space="preserve">SCPMK0901-00201</t>
        </is>
      </c>
      <c r="J5" s="216" t="inlineStr">
        <is>
          <t xml:space="preserve">Mahasiswa 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s">
        <v>131</v>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CPMK0401</t>
        </is>
      </c>
      <c r="H6" s="102" t="s">
        <v>572</v>
      </c>
      <c r="I6" s="40" t="inlineStr">
        <is>
          <t xml:space="preserve">SCPMK0401-003001</t>
        </is>
      </c>
      <c r="J6" s="216" t="inlineStr">
        <is>
          <t xml:space="preserve">Mahasiswa 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CPMK0401</t>
        </is>
      </c>
      <c r="I7" s="40" t="inlineStr">
        <is>
          <t xml:space="preserve">SCPMK0401-003002</t>
        </is>
      </c>
      <c r="J7" s="216" t="inlineStr">
        <is>
          <t xml:space="preserve">Mahasiswa 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CPMK0902</t>
        </is>
      </c>
      <c r="H8" s="102" t="s">
        <v>519</v>
      </c>
      <c r="I8" s="40" t="inlineStr">
        <is>
          <t xml:space="preserve">SCPMK0902-00401</t>
        </is>
      </c>
      <c r="J8" s="216" t="inlineStr">
        <is>
          <t xml:space="preserve">Mahasiswa 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CPMK0902</t>
        </is>
      </c>
      <c r="I9" s="40" t="inlineStr">
        <is>
          <t xml:space="preserve">SCPMK0902-00402</t>
        </is>
      </c>
      <c r="J9" s="216" t="inlineStr">
        <is>
          <t xml:space="preserve">Mahasiswa 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CPMK0902</t>
        </is>
      </c>
      <c r="I10" s="40" t="inlineStr">
        <is>
          <t xml:space="preserve">SCPMK0902-00403</t>
        </is>
      </c>
      <c r="J10" s="216" t="inlineStr">
        <is>
          <t xml:space="preserve">Mahasiswa 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CPMK0303</t>
        </is>
      </c>
      <c r="H11" s="102" t="s">
        <v>397</v>
      </c>
      <c r="I11" s="40" t="inlineStr">
        <is>
          <t xml:space="preserve">SCPMK0303-00501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1</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CPMK0303</t>
        </is>
      </c>
      <c r="I12" s="40" t="inlineStr">
        <is>
          <t xml:space="preserve">SCPMK0303-00502</t>
        </is>
      </c>
      <c r="J12" s="216" t="inlineStr">
        <is>
          <t xml:space="preserve">Mahasiswa 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CPMK0903</t>
        </is>
      </c>
      <c r="H13" s="137" t="s">
        <v>524</v>
      </c>
      <c r="I13" s="40" t="inlineStr">
        <is>
          <t xml:space="preserve">SCPMK0903-00601</t>
        </is>
      </c>
      <c r="J13" s="216" t="inlineStr">
        <is>
          <t xml:space="preserve">Mahasiswa 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CPMK0903</t>
        </is>
      </c>
      <c r="I14" s="40" t="inlineStr">
        <is>
          <t xml:space="preserve">SCPMK0903-00602</t>
        </is>
      </c>
      <c r="J14" s="216" t="inlineStr">
        <is>
          <t xml:space="preserve">Mahasiswa 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CPMK0704</t>
        </is>
      </c>
      <c r="H15" s="137" t="s">
        <v>473</v>
      </c>
      <c r="I15" s="40" t="inlineStr">
        <is>
          <t xml:space="preserve">SCPMK0704-00601</t>
        </is>
      </c>
      <c r="J15" s="216" t="inlineStr">
        <is>
          <t xml:space="preserve">Mahasiswa 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CPMK0704</t>
        </is>
      </c>
      <c r="I16" s="40" t="inlineStr">
        <is>
          <t xml:space="preserve">SCPMK0704-00602</t>
        </is>
      </c>
      <c r="J16" s="216" t="inlineStr">
        <is>
          <t xml:space="preserve">Mahasiswa 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CPMK0903</t>
        </is>
      </c>
      <c r="H17" s="158" t="s">
        <v>524</v>
      </c>
      <c r="I17" s="40" t="inlineStr">
        <is>
          <t xml:space="preserve">SCPMK0903-00701</t>
        </is>
      </c>
      <c r="J17" s="235" t="inlineStr">
        <is>
          <t xml:space="preserve">Mahasiswa 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CPMK0903</t>
        </is>
      </c>
      <c r="I18" s="40" t="inlineStr">
        <is>
          <t xml:space="preserve">SCPMK0903-00702</t>
        </is>
      </c>
      <c r="J18" s="216" t="inlineStr">
        <is>
          <t xml:space="preserve">Mahasiswa 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CPMK0704</t>
        </is>
      </c>
      <c r="H19" s="158" t="s">
        <v>473</v>
      </c>
      <c r="I19" s="40" t="inlineStr">
        <is>
          <t xml:space="preserve">SCPMK0704-00701</t>
        </is>
      </c>
      <c r="J19" s="216" t="inlineStr">
        <is>
          <t xml:space="preserve">Mahasiswa 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CPMK0704</t>
        </is>
      </c>
      <c r="I20" s="40" t="inlineStr">
        <is>
          <t xml:space="preserve">SCPMK0704-00702</t>
        </is>
      </c>
      <c r="J20" s="216" t="inlineStr">
        <is>
          <t xml:space="preserve">Mahasiswa 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CPMK0101</t>
        </is>
      </c>
      <c r="H21" s="102" t="s">
        <v>343</v>
      </c>
      <c r="I21" s="40" t="inlineStr">
        <is>
          <t xml:space="preserve">SCPMK0101-00801</t>
        </is>
      </c>
      <c r="J21" s="216" t="inlineStr">
        <is>
          <t xml:space="preserve">Mahasiswa 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CPMK0101</t>
        </is>
      </c>
      <c r="I22" s="40" t="inlineStr">
        <is>
          <t xml:space="preserve">SCPMK0101-00802</t>
        </is>
      </c>
      <c r="J22" s="216" t="inlineStr">
        <is>
          <t xml:space="preserve">Mahasiswa 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CPMK0101</t>
        </is>
      </c>
      <c r="I23" s="40" t="inlineStr">
        <is>
          <t xml:space="preserve">SCPMK0101-00803</t>
        </is>
      </c>
      <c r="J23" s="216" t="inlineStr">
        <is>
          <t xml:space="preserve">Mahasiswa 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4">
      <c r="A24" s="236" t="s">
        <v>786</v>
      </c>
      <c r="B24" s="153" t="s">
        <v>142</v>
      </c>
      <c r="C24" s="155" t="s">
        <v>143</v>
      </c>
      <c r="D24" s="102" t="inlineStr">
        <is>
          <t xml:space="preserve">CPL09        Memiliki pemahaman yang memadai terkait cara kerja sistem komputer dan berbagai teknik/pendekatan berbasis komputasi untuk memecahkan masalah  stakeholder</t>
        </is>
      </c>
      <c r="E24" s="102" t="s">
        <v>521</v>
      </c>
      <c r="F24" s="101" t="s">
        <v>522</v>
      </c>
      <c r="G24" s="137" t="inlineStr">
        <is>
          <t xml:space="preserve">CPMK0902</t>
        </is>
      </c>
      <c r="H24" s="102" t="s">
        <v>519</v>
      </c>
      <c r="I24" s="40" t="inlineStr">
        <is>
          <t xml:space="preserve">SCPMK0902-00601</t>
        </is>
      </c>
      <c r="J24" s="217" t="inlineStr">
        <is>
          <t xml:space="preserve">Mahasiswa mampu menerapkan konsep diskrit, logika, himpunan, dan fungsi matematika dasar dalam sistem informasi. Mahasiswa mampu mengidentifikasi, menganalisis fakta dan opini, serta menyusun solusi sistematis terhadap masalah teknis.</t>
        </is>
      </c>
      <c r="K24" s="217" t="inlineStr">
        <is>
          <t xml:space="preserve">Contextual Instruction (CI)</t>
        </is>
      </c>
      <c r="L24" s="216" t="inlineStr">
        <is>
          <t xml:space="preserve">Ceramah, Diskusi studi kasus, Latihan analisis</t>
        </is>
      </c>
      <c r="M24" s="225" t="inlineStr">
        <is>
          <t xml:space="preserve">Tes Tulis (UTS), Tes Tulis (UAS), Quiz</t>
        </is>
      </c>
      <c r="N24" s="216" t="inlineStr">
        <is>
          <t xml:space="preserve">Ketepatan dalam menyelesaikan soal studi kasus yang diberikan di tiap pertemuan</t>
        </is>
      </c>
      <c r="O24" s="217" t="inlineStr">
        <is>
          <t xml:space="preserve">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is>
      </c>
      <c r="P24" s="227" t="s">
        <v>792</v>
      </c>
      <c r="Q24" s="227" t="s">
        <v>791</v>
      </c>
      <c r="R24" s="230" t="s">
        <v>793</v>
      </c>
      <c r="S24" s="38"/>
      <c r="T24" s="38"/>
      <c r="U24" s="38"/>
      <c r="V24" s="38"/>
      <c r="W24" s="38"/>
      <c r="X24" s="38"/>
      <c r="Y24" s="38"/>
      <c r="Z24" s="38"/>
      <c r="AA24" s="38"/>
      <c r="AB24" s="38"/>
      <c r="AC24" s="38"/>
      <c r="AD24" s="38"/>
      <c r="AE24" s="38"/>
      <c r="AF24" s="38"/>
      <c r="AG24"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CPMK0102</t>
        </is>
      </c>
      <c r="H25" s="172" t="s">
        <v>351</v>
      </c>
      <c r="I25" s="40" t="inlineStr">
        <is>
          <t xml:space="preserve">SCPMK0102-01001</t>
        </is>
      </c>
      <c r="J25" s="238" t="inlineStr">
        <is>
          <t xml:space="preserve">Mahasiswa 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CPMK0102</t>
        </is>
      </c>
      <c r="I26" s="40" t="inlineStr">
        <is>
          <t xml:space="preserve">SCPMK0102-01002</t>
        </is>
      </c>
      <c r="J26" s="216" t="inlineStr">
        <is>
          <t xml:space="preserve">Mahasiswa 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CPMK0102</t>
        </is>
      </c>
      <c r="I27" s="40" t="inlineStr">
        <is>
          <t xml:space="preserve">SCPMK0102-01003</t>
        </is>
      </c>
      <c r="J27" s="216" t="inlineStr">
        <is>
          <t xml:space="preserve">Mahasiswa 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CPMK0902</t>
        </is>
      </c>
      <c r="H28" s="102" t="s">
        <v>519</v>
      </c>
      <c r="I28" s="40" t="inlineStr">
        <is>
          <t xml:space="preserve">SCPMK0902-01101</t>
        </is>
      </c>
      <c r="J28" s="216" t="inlineStr">
        <is>
          <t xml:space="preserve">Mahasiswa 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CPMK0902</t>
        </is>
      </c>
      <c r="I29" s="40" t="inlineStr">
        <is>
          <t xml:space="preserve">SCPMK0902-01102</t>
        </is>
      </c>
      <c r="J29" s="216" t="inlineStr">
        <is>
          <t xml:space="preserve">Mahasiswa 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CPMK0902</t>
        </is>
      </c>
      <c r="I30" s="40" t="inlineStr">
        <is>
          <t xml:space="preserve">SCPMK0902-01103</t>
        </is>
      </c>
      <c r="J30" s="216" t="inlineStr">
        <is>
          <t xml:space="preserve">Mahasiswa 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CPMK0202</t>
        </is>
      </c>
      <c r="H31" s="244" t="s">
        <v>359</v>
      </c>
      <c r="I31" s="245" t="inlineStr">
        <is>
          <t xml:space="preserve">SCPMK0202-01201</t>
        </is>
      </c>
      <c r="J31" s="216" t="inlineStr">
        <is>
          <t xml:space="preserve">Mahasiswa 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CPMK0202</t>
        </is>
      </c>
      <c r="H32" s="244"/>
      <c r="I32" s="248" t="inlineStr">
        <is>
          <t xml:space="preserve">SCPMK0202-01202</t>
        </is>
      </c>
      <c r="J32" s="216" t="inlineStr">
        <is>
          <t xml:space="preserve">Mahasiswa 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CPMK0601</t>
        </is>
      </c>
      <c r="H33" s="249" t="s">
        <v>438</v>
      </c>
      <c r="I33" s="245" t="inlineStr">
        <is>
          <t xml:space="preserve">SCPMK0601-01201</t>
        </is>
      </c>
      <c r="J33" s="216" t="inlineStr">
        <is>
          <t xml:space="preserve">Mahasiswa 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CPMK0802</t>
        </is>
      </c>
      <c r="H36" s="254" t="s">
        <v>495</v>
      </c>
      <c r="I36" s="245" t="inlineStr">
        <is>
          <t xml:space="preserve">SCPMK0802-01201</t>
        </is>
      </c>
      <c r="J36" s="216" t="inlineStr">
        <is>
          <t xml:space="preserve">Mahasiswa 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CPMK0802</t>
        </is>
      </c>
      <c r="H37" s="254"/>
      <c r="I37" s="245" t="inlineStr">
        <is>
          <t xml:space="preserve">SCPMK0802-01202</t>
        </is>
      </c>
      <c r="J37" s="216" t="inlineStr">
        <is>
          <t xml:space="preserve">Mahasiswa 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CPMK0206</t>
        </is>
      </c>
      <c r="H38" s="102" t="s">
        <v>373</v>
      </c>
      <c r="I38" s="38" t="inlineStr">
        <is>
          <t xml:space="preserve"/>
        </is>
      </c>
      <c r="J38" s="223" t="inlineStr">
        <is>
          <t xml:space="preserve">Mahasiswa mampu merancang karakteristik dan kebutuhan sumber daya dari aplikasi multi-platform, lalu merancang strategi manajemen sumber daya sistem (seperti memori, proses, sesuai konteks Sistem Operasi dan capaian CPMK206.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1</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CPMK0901</t>
        </is>
      </c>
      <c r="H39" s="102" t="s">
        <v>512</v>
      </c>
      <c r="I39" s="38" t="inlineStr">
        <is>
          <t xml:space="preserve"/>
        </is>
      </c>
      <c r="J39" s="223" t="inlineStr">
        <is>
          <t xml:space="preserve">Mahasiswa mampu menganalisis dan menganalisis cara kerja sistem komputer beserta komponen utamanya sesuai konteks Sistem Operasi dan capaian CPMK901.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CPMK0502</t>
        </is>
      </c>
      <c r="H40" s="108" t="s">
        <v>416</v>
      </c>
      <c r="I40" s="38" t="inlineStr">
        <is>
          <t xml:space="preserve"/>
        </is>
      </c>
      <c r="J40" s="223" t="inlineStr">
        <is>
          <t xml:space="preserve">Mahasiswa mampu menganalisis mengidentifikasi, menganalisis, dan menerapkan prinsip serta teknik keamanan untuk menangani isu-isu kerentanan pada sistem operasi, jaringan, dan lingkungan cloud sesuai konteks Sistem Operasi dan capaian CPMK502.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CPMK0502</t>
        </is>
      </c>
      <c r="H41" s="108"/>
      <c r="I41" s="38" t="inlineStr">
        <is>
          <t xml:space="preserve"/>
        </is>
      </c>
      <c r="J41" s="223" t="inlineStr">
        <is>
          <t xml:space="preserve">Mahasiswa mampu menganalisis analisis isu keamanan sistem operasi, jaringan, dan cloud sesuai konteks Sistem Operasi dan capaian CPMK502.</t>
        </is>
      </c>
      <c r="K41" s="217" t="inlineStr">
        <is>
          <t xml:space="preserve">Demonstrasi &amp; Tutorial Terpandu</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2">
      <c r="D42" s="102" t="inlineStr">
        <is>
          <t xml:space="preserve"/>
        </is>
      </c>
      <c r="E42" s="169"/>
      <c r="F42" s="169"/>
      <c r="G42" s="159" t="inlineStr">
        <is>
          <t xml:space="preserve">CPMK0502</t>
        </is>
      </c>
      <c r="H42" s="108"/>
      <c r="I42" s="38" t="inlineStr">
        <is>
          <t xml:space="preserve"/>
        </is>
      </c>
      <c r="J42" s="223" t="inlineStr">
        <is>
          <t xml:space="preserve">Mahasiswa mampu menganalisis analisis isu keamanan sistem operasi, jaringan, dan cloud sesuai konteks Sistem Operasi dan capaian CPMK502.</t>
        </is>
      </c>
      <c r="K42" s="217" t="inlineStr">
        <is>
          <t xml:space="preserve">Pembelajaran Kolaboratif (Collaborative Learning/CL)</t>
        </is>
      </c>
      <c r="L42" s="223" t="inlineStr">
        <is>
          <t xml:space="preserve">Kuliah interaktif, praktikum/lab, penugasan terstruktur, proyek, belajar mandiri</t>
        </is>
      </c>
      <c r="M42" s="225" t="inlineStr">
        <is>
          <t xml:space="preserve">tugas praktikum, studi kasus, proyek/produk, demonstrasi, dan tes individu</t>
        </is>
      </c>
      <c r="N42" s="223" t="inlineStr">
        <is>
          <t xml:space="preserve">ketepatan konfigurasi, keamanan, keandalan layanan, analisis risiko, pengujian konektivitas/performa, dan dokumentasi teknis</t>
        </is>
      </c>
      <c r="O42" s="224" t="inlineStr">
        <is>
          <t xml:space="preserve">proses, thread, memori, sistem berkas, I/O, virtualisasi, keamanan OS, layanan sistem, dan manajemen sumber daya</t>
        </is>
      </c>
      <c r="P42" s="233"/>
      <c r="S42" s="38"/>
      <c r="T42" s="38"/>
      <c r="U42" s="38"/>
      <c r="V42" s="38"/>
      <c r="W42" s="38"/>
      <c r="X42" s="38"/>
      <c r="Y42" s="38"/>
      <c r="Z42" s="38"/>
      <c r="AA42" s="38"/>
      <c r="AB42" s="38"/>
      <c r="AC42" s="38"/>
      <c r="AD42" s="38"/>
      <c r="AE42" s="38"/>
      <c r="AF42" s="38"/>
      <c r="AG42"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CPMK0205</t>
        </is>
      </c>
      <c r="H43" s="158" t="s">
        <v>849</v>
      </c>
      <c r="I43" s="40" t="inlineStr">
        <is>
          <t xml:space="preserve">SCPMK0205-05001</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CPMK0211</t>
        </is>
      </c>
      <c r="H44" s="137" t="s">
        <v>387</v>
      </c>
      <c r="I44" s="40" t="inlineStr">
        <is>
          <t xml:space="preserve">SCPMK0211-05001</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CPMK0802</t>
        </is>
      </c>
      <c r="H45" s="42" t="s">
        <v>495</v>
      </c>
      <c r="I45" s="40" t="inlineStr">
        <is>
          <t xml:space="preserve">SCPMK0802-05001</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CPMK0802</t>
        </is>
      </c>
      <c r="I46" s="40" t="inlineStr">
        <is>
          <t xml:space="preserve">SCPMK0802-05002</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CPMK0802</t>
        </is>
      </c>
      <c r="I47" s="40" t="inlineStr">
        <is>
          <t xml:space="preserve">SCPMK0802-05003</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CPMK0802</t>
        </is>
      </c>
      <c r="I48" s="40" t="inlineStr">
        <is>
          <t xml:space="preserve">SCPMK0802-05004</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Kanban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CPMK0802</t>
        </is>
      </c>
      <c r="I49" s="40" t="inlineStr">
        <is>
          <t xml:space="preserve">SCPMK0802-05005</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CPMK0802</t>
        </is>
      </c>
      <c r="I50" s="40" t="inlineStr">
        <is>
          <t xml:space="preserve">SCPMK0802-05006</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PL</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CPMK0802</t>
        </is>
      </c>
      <c r="H51" s="137"/>
      <c r="I51" s="40" t="inlineStr">
        <is>
          <t xml:space="preserve"/>
        </is>
      </c>
      <c r="J51" s="216" t="inlineStr">
        <is>
          <t xml:space="preserve">Mahasiswa mampu menganalisis dan menerapkan rekayasa perangkat lunak, UI/UX, dan SQA dalam siklus hidup proyek sesuai konteks Rekayasa Perangkat Lunak dan capaian CPMK802.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CPMK0602</t>
        </is>
      </c>
      <c r="H52" s="127" t="s">
        <v>889</v>
      </c>
      <c r="I52" s="40" t="inlineStr">
        <is>
          <t xml:space="preserve">SCPMK0602-05001</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CPMK0607</t>
        </is>
      </c>
      <c r="H53" s="127" t="s">
        <v>894</v>
      </c>
      <c r="I53" s="40" t="inlineStr">
        <is>
          <t xml:space="preserve">SCPMK0607-05001</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CPMK0203</t>
        </is>
      </c>
      <c r="H54" s="158" t="s">
        <v>363</v>
      </c>
      <c r="I54" s="40" t="inlineStr">
        <is>
          <t xml:space="preserve">SCPMK0203-01501</t>
        </is>
      </c>
      <c r="J54" s="216" t="inlineStr">
        <is>
          <t xml:space="preserve">Mahasiswa 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CPMK0203</t>
        </is>
      </c>
      <c r="H57" s="158" t="s">
        <v>363</v>
      </c>
      <c r="I57" s="40" t="inlineStr">
        <is>
          <t xml:space="preserve">SCPMK0203-01601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CPMK0701</t>
        </is>
      </c>
      <c r="H58" s="158" t="s">
        <v>463</v>
      </c>
      <c r="I58" s="40" t="inlineStr">
        <is>
          <t xml:space="preserve">SCPMK0701-01601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CPMK0207</t>
        </is>
      </c>
      <c r="H60" s="137" t="s">
        <v>376</v>
      </c>
      <c r="I60" s="40" t="inlineStr">
        <is>
          <t xml:space="preserve">SCPMK0207-01701</t>
        </is>
      </c>
      <c r="J60" s="216" t="inlineStr">
        <is>
          <t xml:space="preserve">Mahasiswa 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CPMK0903</t>
        </is>
      </c>
      <c r="H61" s="137" t="s">
        <v>942</v>
      </c>
      <c r="I61" s="40" t="inlineStr">
        <is>
          <t xml:space="preserve">SCPMK0903-01701</t>
        </is>
      </c>
      <c r="J61" s="216" t="inlineStr">
        <is>
          <t xml:space="preserve">Mahasiswa 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CPMK0703</t>
        </is>
      </c>
      <c r="H64" s="102" t="s">
        <v>470</v>
      </c>
      <c r="I64" s="40" t="inlineStr">
        <is>
          <t xml:space="preserve">SCPMK0703-01801</t>
        </is>
      </c>
      <c r="J64" s="238" t="inlineStr">
        <is>
          <t xml:space="preserve">Mahasiswa 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CPMK0708</t>
        </is>
      </c>
      <c r="H65" s="102" t="s">
        <v>487</v>
      </c>
      <c r="I65" s="40" t="inlineStr">
        <is>
          <t xml:space="preserve">SCPMK0708-01801</t>
        </is>
      </c>
      <c r="J65" s="216" t="inlineStr">
        <is>
          <t xml:space="preserve">Mahasiswa 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CPMK0903</t>
        </is>
      </c>
      <c r="H66" s="102" t="s">
        <v>942</v>
      </c>
      <c r="I66" s="40" t="inlineStr">
        <is>
          <t xml:space="preserve">SCPMK0903-01801</t>
        </is>
      </c>
      <c r="J66" s="216" t="inlineStr">
        <is>
          <t xml:space="preserve">Mahasiswa 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CPMK0903</t>
        </is>
      </c>
      <c r="H67" s="158"/>
      <c r="I67" s="38" t="inlineStr">
        <is>
          <t xml:space="preserve"/>
        </is>
      </c>
      <c r="J67" s="223" t="inlineStr">
        <is>
          <t xml:space="preserve">Mahasiswa mampu mengimplementasikan memahami fase pelaksanaan proyek dan penerapan knowledge area dalam pengembangan perangkat lunak sesuai dengan PMBOK (Project Management Body of Knowledge) sesuai konteks Manajemen Proyek dan capaian CPMK903.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1</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CPMK0302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
        </is>
      </c>
      <c r="J68" s="223" t="inlineStr">
        <is>
          <t xml:space="preserve">Mahasiswa mampu menyusun dan mengomunikasikan mengelola tim dan proyek secara efektif melalui perencanaan, koordinasi, komunikasi, dan presentasi hasil proyek dengan menerapkan prinsip-prinsip manajemen proyek sesuai konteks Manajemen Proyek dan capaian CPMK302.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CPMK0402</t>
        </is>
      </c>
      <c r="H70" s="158" t="str">
        <f>'CPL-CPMK'!D23</f>
        <v>Mampu merencanakan dan mengorganisasi dokumentasi proyek teknologi informasi secara sistematis dalam bentuk laporan teknis yang memenuhi kaidah ilmiah.</v>
      </c>
      <c r="I70" s="38" t="inlineStr">
        <is>
          <t xml:space="preserve"/>
        </is>
      </c>
      <c r="J70" s="223" t="inlineStr">
        <is>
          <t xml:space="preserve">Mahasiswa mampu menyusun dan mengomunikasikan merencanakan dan mengorganisasi dokumentasi proyek teknologi informasi secara sistematis dalam bentuk laporan teknis yang memenuhi kaidah ilmiah sesuai konteks Manajemen Proyek dan capaian CPMK402.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CPMK0801</t>
        </is>
      </c>
      <c r="H71" s="171" t="s">
        <v>489</v>
      </c>
      <c r="I71" s="38" t="inlineStr">
        <is>
          <t xml:space="preserve"/>
        </is>
      </c>
      <c r="J71" s="223" t="inlineStr">
        <is>
          <t xml:space="preserve">Mahasiswa mampu mengimplementasikan dan mempresentasikan rencana proyek teknologi informasi yang komprehensif, mencakup estimasi, penjadwalan, alokasi sumber daya, dan manajemen risiko untuk sesuai konteks Manajemen Proyek dan capaian CPMK801.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CPMK0803</t>
        </is>
      </c>
      <c r="H72" s="171" t="s">
        <v>501</v>
      </c>
      <c r="I72" s="38" t="inlineStr">
        <is>
          <t xml:space="preserve"/>
        </is>
      </c>
      <c r="J72" s="223" t="inlineStr">
        <is>
          <t xml:space="preserve">Mahasiswa mampu menganalisis dan menerapkan melaksanakan, memonitor, dan mengendalikan jalannya proyek menggunakan alat bantu (tools) manajemen, serta mengelola dinamika tim untuk mencapai tujuan proyek sesuai konteks Manajemen Proyek dan capaian CPMK803.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CPMK0203</t>
        </is>
      </c>
      <c r="H73" s="161" t="s">
        <v>595</v>
      </c>
      <c r="I73" s="38" t="inlineStr">
        <is>
          <t xml:space="preserve"/>
        </is>
      </c>
      <c r="J73" s="223" t="inlineStr">
        <is>
          <t xml:space="preserve">Mahasiswa mampu merancang mengidentifikasi dan menganalisis kebutuhan, serta menerapkan konsep perancangan perangkat lunak menggunakan UML secara tepat berdasarkan prosedur baku, dan sesuai konteks Sistem Informasi Manajemen dan capaian CPMK203.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CPMK1001</t>
        </is>
      </c>
      <c r="H74" s="162" t="s">
        <v>539</v>
      </c>
      <c r="I74" s="170" t="inlineStr">
        <is>
          <t xml:space="preserve"/>
        </is>
      </c>
      <c r="J74" s="223" t="inlineStr">
        <is>
          <t xml:space="preserve">Mahasiswa 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CPMK0102</t>
        </is>
      </c>
      <c r="H75" s="162" t="s">
        <v>351</v>
      </c>
      <c r="I75" s="38" t="inlineStr">
        <is>
          <t xml:space="preserve"/>
        </is>
      </c>
      <c r="J75" s="223" t="inlineStr">
        <is>
          <t xml:space="preserve">Mahasiswa mampu menginternalisasi nilai ketakwaan kepada Tuhan YME, Pancasila, kewarganegaraan, dan menunjukkan pembelajaran sepanjang hayat melalui disiplin diri, tanggung jawab sesuai konteks Kewarganegaraan dan capaian CPMK102.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1</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s">
        <v>166</v>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CPMK0603</t>
        </is>
      </c>
      <c r="H76" s="172" t="s">
        <v>596</v>
      </c>
      <c r="I76" s="38" t="inlineStr">
        <is>
          <t xml:space="preserve"/>
        </is>
      </c>
      <c r="J76" s="216" t="inlineStr">
        <is>
          <t xml:space="preserve">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1</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CPMK0704</t>
        </is>
      </c>
      <c r="H77" s="102" t="s">
        <v>473</v>
      </c>
      <c r="I77" s="38" t="inlineStr">
        <is>
          <t xml:space="preserve"/>
        </is>
      </c>
      <c r="J77" s="223" t="inlineStr">
        <is>
          <t xml:space="preserve">Mahasiswa mampu mengimplementasikan kebutuhan pemecahan masalah dan mengembangkan program menggunakan berbagai bahasa dan paradigma pemrograman secara tepat guna sesuai konteks Desain &amp; Pemrograman Web dan capaian CPMK704.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CPMK0203</t>
        </is>
      </c>
      <c r="H78" s="161" t="s">
        <v>595</v>
      </c>
      <c r="I78" s="40" t="inlineStr">
        <is>
          <t xml:space="preserve">SCPMK0203-02301</t>
        </is>
      </c>
      <c r="J78" s="216" t="inlineStr">
        <is>
          <t xml:space="preserve">Mahasiswa 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CPMK0701</t>
        </is>
      </c>
      <c r="H79" s="102" t="s">
        <v>463</v>
      </c>
      <c r="I79" s="40" t="inlineStr">
        <is>
          <t xml:space="preserve">SCPMK0701-01603</t>
        </is>
      </c>
      <c r="J79" s="216" t="inlineStr">
        <is>
          <t xml:space="preserve">Mahasiswa 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CPMK1001</t>
        </is>
      </c>
      <c r="H80" s="162" t="s">
        <v>539</v>
      </c>
      <c r="I80" s="40" t="inlineStr">
        <is>
          <t xml:space="preserve">SCPMK1001-01604</t>
        </is>
      </c>
      <c r="J80" s="216" t="inlineStr">
        <is>
          <t xml:space="preserve">Mahasiswa 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CPMK0902</t>
        </is>
      </c>
      <c r="H81" s="102" t="s">
        <v>519</v>
      </c>
      <c r="I81" s="38" t="inlineStr">
        <is>
          <t xml:space="preserve"/>
        </is>
      </c>
      <c r="J81" s="216" t="inlineStr">
        <is>
          <t xml:space="preserve">Mahasiswa 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CPMK1007</t>
        </is>
      </c>
      <c r="H82" s="173" t="s">
        <v>558</v>
      </c>
      <c r="I82" s="170" t="inlineStr">
        <is>
          <t xml:space="preserve"/>
        </is>
      </c>
      <c r="J82" s="216" t="inlineStr">
        <is>
          <t xml:space="preserve">Mahasiswa 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CPMK0211</t>
        </is>
      </c>
      <c r="H83" s="172" t="s">
        <v>601</v>
      </c>
      <c r="I83" s="38" t="inlineStr">
        <is>
          <t xml:space="preserve"/>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CPMK0704</t>
        </is>
      </c>
      <c r="H84" s="102" t="s">
        <v>473</v>
      </c>
      <c r="I84" s="38" t="inlineStr">
        <is>
          <t xml:space="preserve"/>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CPMK0606</t>
        </is>
      </c>
      <c r="H85" s="176" t="s">
        <v>603</v>
      </c>
      <c r="I85" s="38" t="inlineStr">
        <is>
          <t xml:space="preserve"/>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CPMK0607</t>
        </is>
      </c>
      <c r="H86" s="121" t="s">
        <v>604</v>
      </c>
      <c r="I86" s="38" t="inlineStr">
        <is>
          <t xml:space="preserve"/>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CPMK0211</t>
        </is>
      </c>
      <c r="H87" s="172" t="s">
        <v>601</v>
      </c>
      <c r="I87" s="38" t="inlineStr">
        <is>
          <t xml:space="preserve"/>
        </is>
      </c>
      <c r="J87" s="223" t="inlineStr">
        <is>
          <t xml:space="preserve">Mahasiswa mampu mengimplementasikan menguasai Konsep OOP, Class dan Object, Enkapsulasi, Inheritance, Abstraksi, Polimorfisme, GUI, database (JDBC), dan Java API sesuai konteks Praktikum Pemrograman Berbasis Objek dan capaian CPMK211.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1</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CPMK0704</t>
        </is>
      </c>
      <c r="H88" s="102" t="s">
        <v>473</v>
      </c>
      <c r="I88" s="38" t="inlineStr">
        <is>
          <t xml:space="preserve"/>
        </is>
      </c>
      <c r="J88" s="223" t="inlineStr">
        <is>
          <t xml:space="preserve">Mahasiswa mampu mengimplementasikan kebutuhan pemecahan masalah dan mengembangkan program menggunakan berbagai bahasa dan paradigma pemrograman secara tepat guna sesuai konteks Praktikum Pemrograman Berbasis Objek dan capaian CPMK704.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CPMK0607</t>
        </is>
      </c>
      <c r="H89" s="121" t="s">
        <v>604</v>
      </c>
      <c r="I89" s="38" t="inlineStr">
        <is>
          <t xml:space="preserve"/>
        </is>
      </c>
      <c r="J89" s="223" t="inlineStr">
        <is>
          <t xml:space="preserve">Mahasiswa mampu mengimplementasikan kebutuhan organisasi untuk merancang serta mengimplementasikan solusi sistem informasi terintegrasi yang kompleks sesuai konteks Praktikum Pemrograman Berbasis Objek dan capaian CPMK607.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CPMK0303</t>
        </is>
      </c>
      <c r="H90" s="102" t="s">
        <v>397</v>
      </c>
      <c r="I90" s="40" t="inlineStr">
        <is>
          <t xml:space="preserve">SCPMK0303-02701</t>
        </is>
      </c>
      <c r="J90" s="216" t="inlineStr">
        <is>
          <t xml:space="preserve">Mahasiswa 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CPMK0303</t>
        </is>
      </c>
      <c r="H91" s="102"/>
      <c r="I91" s="40" t="inlineStr">
        <is>
          <t xml:space="preserve">SCPMK0303-02702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CPMK0706</t>
        </is>
      </c>
      <c r="H92" s="102" t="s">
        <v>480</v>
      </c>
      <c r="I92" s="40" t="inlineStr">
        <is>
          <t xml:space="preserve">SCPMK0706-02801</t>
        </is>
      </c>
      <c r="J92" s="216" t="inlineStr">
        <is>
          <t xml:space="preserve">Mahasiswa 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CPMK1005</t>
        </is>
      </c>
      <c r="H93" s="173" t="s">
        <v>552</v>
      </c>
      <c r="I93" s="170" t="inlineStr">
        <is>
          <t xml:space="preserve">SCPMK1005-02802</t>
        </is>
      </c>
      <c r="J93" s="216" t="inlineStr">
        <is>
          <t xml:space="preserve">Mahasiswa 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CPMK0208</t>
        </is>
      </c>
      <c r="H94" s="178" t="s">
        <v>606</v>
      </c>
      <c r="I94" s="153" t="inlineStr">
        <is>
          <t xml:space="preserve">SCPMK0208-029001</t>
        </is>
      </c>
      <c r="J94" s="238" t="inlineStr">
        <is>
          <t xml:space="preserve">Mahasiswa 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1</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CPMK0208</t>
        </is>
      </c>
      <c r="I95" s="153" t="inlineStr">
        <is>
          <t xml:space="preserve">SCPMK0208-029002</t>
        </is>
      </c>
      <c r="J95" s="238" t="inlineStr">
        <is>
          <t xml:space="preserve">Mahasiswa 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CPMK0211</t>
        </is>
      </c>
      <c r="H96" s="158" t="s">
        <v>1056</v>
      </c>
      <c r="I96" s="153" t="inlineStr">
        <is>
          <t xml:space="preserve">SCPMK0211-029001</t>
        </is>
      </c>
      <c r="J96" s="238" t="inlineStr">
        <is>
          <t xml:space="preserve">Mahasiswa 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CPMK0602</t>
        </is>
      </c>
      <c r="H97" s="180" t="s">
        <v>608</v>
      </c>
      <c r="I97" s="179" t="inlineStr">
        <is>
          <t xml:space="preserve">SCPMK0602-029001</t>
        </is>
      </c>
      <c r="J97" s="238" t="inlineStr">
        <is>
          <t xml:space="preserve">Mahasiswa 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CPMK0607</t>
        </is>
      </c>
      <c r="H100" s="121" t="s">
        <v>1061</v>
      </c>
      <c r="I100" s="120" t="inlineStr">
        <is>
          <t xml:space="preserve">SCPMK0607-029001</t>
        </is>
      </c>
      <c r="J100" s="238" t="inlineStr">
        <is>
          <t xml:space="preserve">Mahasiswa 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CPMK0609</t>
        </is>
      </c>
      <c r="H101" s="121" t="s">
        <v>1064</v>
      </c>
      <c r="I101" s="120" t="inlineStr">
        <is>
          <t xml:space="preserve">SCPMK0609-029001</t>
        </is>
      </c>
      <c r="J101" s="238" t="inlineStr">
        <is>
          <t xml:space="preserve">Mahasiswa 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2" ht="85.5" customHeight="1">
      <c r="A102" s="221" t="s">
        <v>1067</v>
      </c>
      <c r="B102" s="153" t="s">
        <v>181</v>
      </c>
      <c r="C102" s="154" t="s">
        <v>182</v>
      </c>
      <c r="D102" s="161" t="inlineStr">
        <is>
          <t xml:space="preserve"/>
        </is>
      </c>
      <c r="E102" s="155"/>
      <c r="F102" s="155"/>
      <c r="G102" s="222" t="inlineStr">
        <is>
          <t xml:space="preserve">CPMK0307</t>
        </is>
      </c>
      <c r="H102" s="102" t="s">
        <v>1069</v>
      </c>
      <c r="I102" s="38" t="inlineStr">
        <is>
          <t xml:space="preserve"/>
        </is>
      </c>
      <c r="J102" s="223" t="inlineStr">
        <is>
          <t xml:space="preserve">Mahasiswa mampu menyusun dan mengomunikasikan berkomunikasi secara lisan dan menulis karya ilmiah dalam Bahasa Indonesia yang baik dan benar sesuai kaidah EYD, menggunakan bahasa baku dan struktur yang sesuai konteks Bahasa Indonesia dan capaian CPMK307.</t>
        </is>
      </c>
      <c r="K102" s="224" t="inlineStr">
        <is>
          <t xml:space="preserve">Case-Based Learning, diskusi terarah, dan refleksi terstruktur</t>
        </is>
      </c>
      <c r="L102" s="223" t="inlineStr">
        <is>
          <t xml:space="preserve">Kuliah interaktif, diskusi kasus, penugasan terstruktur, presentasi, belajar mandiri</t>
        </is>
      </c>
      <c r="M102" s="225" t="inlineStr">
        <is>
          <t xml:space="preserve">studi kasus, esai/refleksi, presentasi, portofolio, dan tes lisan/tulis</t>
        </is>
      </c>
      <c r="N102" s="223" t="inlineStr">
        <is>
          <t xml:space="preserve">ketepatan bahasa, struktur pesan, kelancaran komunikasi, relevansi konteks profesional, dan kualitas portofolio</t>
        </is>
      </c>
      <c r="O102" s="224" t="inlineStr">
        <is>
          <t xml:space="preserve">1</t>
        </is>
      </c>
      <c r="P102" s="233"/>
      <c r="Q102" s="230" t="s">
        <v>1070</v>
      </c>
      <c r="R102" s="230" t="s">
        <v>1071</v>
      </c>
      <c r="S102" s="38"/>
      <c r="T102" s="38"/>
      <c r="U102" s="38"/>
      <c r="V102" s="38"/>
      <c r="W102" s="38"/>
      <c r="X102" s="38"/>
      <c r="Y102" s="38"/>
      <c r="Z102" s="38"/>
      <c r="AA102" s="38"/>
      <c r="AB102" s="38"/>
      <c r="AC102" s="38"/>
      <c r="AD102" s="38"/>
      <c r="AE102" s="38"/>
      <c r="AF102" s="38"/>
      <c r="AG102" s="38"/>
    </row>
    <row r="103" ht="85.5" customHeight="1">
      <c r="D103" s="161" t="inlineStr">
        <is>
          <t xml:space="preserve"/>
        </is>
      </c>
      <c r="E103" s="155"/>
      <c r="F103" s="155"/>
      <c r="G103" s="222" t="inlineStr">
        <is>
          <t xml:space="preserve">CPMK0308</t>
        </is>
      </c>
      <c r="H103" s="102" t="s">
        <v>1073</v>
      </c>
      <c r="I103" s="38" t="inlineStr">
        <is>
          <t xml:space="preserve"/>
        </is>
      </c>
      <c r="J103" s="223" t="inlineStr">
        <is>
          <t xml:space="preserve">Mahasiswa mampu menyusun dan mengomunikasikan mempresentasikan ide dan hasil kerja secara efektif serta melakukan komunikasi interpersonal dan public speaking yang etis dan profesional menggunakan Bahasa sesuai konteks Bahasa Indonesia dan capaian CPMK308.</t>
        </is>
      </c>
      <c r="K103" s="224" t="inlineStr">
        <is>
          <t xml:space="preserve">Case-Based Learning, diskusi terarah, dan refleksi terstruktur</t>
        </is>
      </c>
      <c r="L103" s="223" t="inlineStr">
        <is>
          <t xml:space="preserve">Kuliah interaktif, diskusi kasus, penugasan terstruktur, presentasi, belajar mandiri</t>
        </is>
      </c>
      <c r="M103" s="225" t="inlineStr">
        <is>
          <t xml:space="preserve">studi kasus, esai/refleksi, presentasi, portofolio, dan tes lisan/tulis</t>
        </is>
      </c>
      <c r="N103" s="223" t="inlineStr">
        <is>
          <t xml:space="preserve">ketepatan bahasa, struktur pesan, kelancaran komunikasi, relevansi konteks profesional, dan kualitas portofolio</t>
        </is>
      </c>
      <c r="O103" s="224" t="inlineStr">
        <is>
          <t xml:space="preserve">bahasa Indonesia ilmiah, paragraf akademik, kutipan, daftar pustaka, laporan teknis, artikel, dan presentasi ilmiah</t>
        </is>
      </c>
      <c r="P103" s="233"/>
      <c r="S103" s="38"/>
      <c r="T103" s="38"/>
      <c r="U103" s="38"/>
      <c r="V103" s="38"/>
      <c r="W103" s="38"/>
      <c r="X103" s="38"/>
      <c r="Y103" s="38"/>
      <c r="Z103" s="38"/>
      <c r="AA103" s="38"/>
      <c r="AB103" s="38"/>
      <c r="AC103" s="38"/>
      <c r="AD103" s="38"/>
      <c r="AE103" s="38"/>
      <c r="AF103" s="38"/>
      <c r="AG103"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CPMK0706</t>
        </is>
      </c>
      <c r="H104" s="102" t="s">
        <v>480</v>
      </c>
      <c r="I104" s="40" t="inlineStr">
        <is>
          <t xml:space="preserve">SCPMK0706-03101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CPMK0706</t>
        </is>
      </c>
      <c r="I105" s="253" t="inlineStr">
        <is>
          <t xml:space="preserve">SCPMK0706-03101</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CPMK0706</t>
        </is>
      </c>
      <c r="I106" s="40" t="inlineStr">
        <is>
          <t xml:space="preserve">SCPMK0706-03101</t>
        </is>
      </c>
      <c r="J106" s="216" t="inlineStr">
        <is>
          <t xml:space="preserve">Mahasiswa mampu menganalisis q sesuai konteks Kecerdasan Artifisial dan capaian CPMK706.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CPMK1005</t>
        </is>
      </c>
      <c r="H107" s="173" t="s">
        <v>552</v>
      </c>
      <c r="I107" s="42" t="inlineStr">
        <is>
          <t xml:space="preserve">SCPMK1005-03102</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CPMK0901</t>
        </is>
      </c>
      <c r="H108" s="102" t="s">
        <v>512</v>
      </c>
      <c r="I108" s="38" t="inlineStr">
        <is>
          <t xml:space="preserve"/>
        </is>
      </c>
      <c r="J108" s="216" t="inlineStr">
        <is>
          <t xml:space="preserve">Mahasiswa mampu menganalisis dan menganalisis cara kerja sistem komputer beserta komponen utamanya sesuai konteks Jaringan Komputer dan capaian CPMK901.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CPMK0504</t>
        </is>
      </c>
      <c r="H109" s="108" t="s">
        <v>426</v>
      </c>
      <c r="I109" s="38" t="inlineStr">
        <is>
          <t xml:space="preserve"/>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CPMK0901</t>
        </is>
      </c>
      <c r="H110" s="102" t="s">
        <v>512</v>
      </c>
      <c r="I110" s="38" t="inlineStr">
        <is>
          <t xml:space="preserve"/>
        </is>
      </c>
      <c r="J110" s="223" t="inlineStr">
        <is>
          <t xml:space="preserve">Mahasiswa mampu mengimplementasikan dan menganalisis cara kerja sistem komputer beserta komponen utamanya sesuai konteks Praktikum Jaringan Komputer dan capaian CPMK901.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CPMK0504</t>
        </is>
      </c>
      <c r="H111" s="108" t="s">
        <v>426</v>
      </c>
      <c r="I111" s="38" t="inlineStr">
        <is>
          <t xml:space="preserve"/>
        </is>
      </c>
      <c r="J111" s="223" t="inlineStr">
        <is>
          <t xml:space="preserve">Mahasiswa mampu mengimplementasikan membangun dan mengelola infrastruktur jaringan komputer dengan memilih arsitektur, protokol, dan teknik konfigurasi yang sesuai kebutuhan sistem sesuai konteks Praktikum Jaringan Komputer dan capaian CPMK504.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CPMK1006</t>
        </is>
      </c>
      <c r="H112" s="8" t="s">
        <v>554</v>
      </c>
      <c r="I112" s="170" t="inlineStr">
        <is>
          <t xml:space="preserve"/>
        </is>
      </c>
      <c r="J112" s="223" t="inlineStr">
        <is>
          <t xml:space="preserve">Mahasiswa mampu mengevaluasi menggunakan metode pengembangan aplikasi berbasis website sebagai sebuah solusi pemecahan masalah sesuai konteks Pemrograman Web Lanjut dan capaian CPMK10.6.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1</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CPMK0603</t>
        </is>
      </c>
      <c r="H113" s="6" t="s">
        <v>596</v>
      </c>
      <c r="I113" s="170" t="inlineStr">
        <is>
          <t xml:space="preserve"/>
        </is>
      </c>
      <c r="J113" s="223" t="inlineStr">
        <is>
          <t xml:space="preserve">Mahasiswa mampu mengimplementasikan dan melakukan deployment aplikasi perangkat lunak pada platform web, mobile, atau framework secara fungsional sesuai konteks Pemrograman Web Lanjut dan capaian CPMK603.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CPMK0902</t>
        </is>
      </c>
      <c r="H114" s="102" t="s">
        <v>519</v>
      </c>
      <c r="I114" s="40" t="inlineStr">
        <is>
          <t xml:space="preserve">SCPMK0902-00101</t>
        </is>
      </c>
      <c r="J114" s="223" t="inlineStr">
        <is>
          <t xml:space="preserve">Mahasiswa mampu menganalisis menguasai prinsip matematika, ilmu alam dan struktur diskrit serta menerapkan pendekatan komputasional sebagai dasar analisis terhadap permasalahan sesuai konteks Statistik Komputasi dan capaian CPMK902.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CPMK0707</t>
        </is>
      </c>
      <c r="H115" s="189" t="s">
        <v>484</v>
      </c>
      <c r="I115" s="38" t="inlineStr">
        <is>
          <t xml:space="preserve"/>
        </is>
      </c>
      <c r="J115" s="223" t="inlineStr">
        <is>
          <t xml:space="preserve">Mahasiswa mampu merancang memodelkan, mensimulasikan, dan menganalisis permasalahan menggunakan metode statistika komputasi dan pendekatan numerik sesuai konteks Statistik Komputasi dan capaian CPMK707.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CPMK0301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SCPMK0301-00101</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CPMK0301</t>
        </is>
      </c>
      <c r="H117" s="192"/>
      <c r="I117" s="40" t="inlineStr">
        <is>
          <t xml:space="preserve">SCPMK0301-00102</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CPMK0602</t>
        </is>
      </c>
      <c r="H119" s="195" t="s">
        <v>608</v>
      </c>
      <c r="I119" s="40" t="inlineStr">
        <is>
          <t xml:space="preserve">SCPMK0602-00101</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CPMK0602</t>
        </is>
      </c>
      <c r="H120" s="197"/>
      <c r="I120" s="40" t="inlineStr">
        <is>
          <t xml:space="preserve">SCPMK0602-00102</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CPMK0802</t>
        </is>
      </c>
      <c r="H121" s="173" t="s">
        <v>495</v>
      </c>
      <c r="I121" s="40" t="inlineStr">
        <is>
          <t xml:space="preserve">SCPMK0802-00101</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CPMK0802</t>
        </is>
      </c>
      <c r="H122" s="173"/>
      <c r="I122" s="40" t="inlineStr">
        <is>
          <t xml:space="preserve">SCPMK0802-00102</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CPMK0803</t>
        </is>
      </c>
      <c r="H123" s="113" t="s">
        <v>501</v>
      </c>
      <c r="I123" s="40" t="inlineStr">
        <is>
          <t xml:space="preserve">SCPMK0803-00101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CPMK0803</t>
        </is>
      </c>
      <c r="H124" s="197"/>
      <c r="I124" s="40" t="inlineStr">
        <is>
          <t xml:space="preserve">SCPMK0803-00102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CPMK1008</t>
        </is>
      </c>
      <c r="H125" s="182" t="s">
        <v>560</v>
      </c>
      <c r="I125" s="170" t="inlineStr">
        <is>
          <t xml:space="preserve">SCPMK1008-00101</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CPMK1008</t>
        </is>
      </c>
      <c r="H126" s="121"/>
      <c r="I126" s="170" t="inlineStr">
        <is>
          <t xml:space="preserve">SCPMK1008-00102</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CPMK0607</t>
        </is>
      </c>
      <c r="H127" s="121" t="s">
        <v>604</v>
      </c>
      <c r="I127" s="170" t="inlineStr">
        <is>
          <t xml:space="preserve">SCPMK0607-00101</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CPMK0101</t>
        </is>
      </c>
      <c r="H128" s="190" t="s">
        <v>343</v>
      </c>
      <c r="I128" s="38" t="inlineStr">
        <is>
          <t xml:space="preserve"/>
        </is>
      </c>
      <c r="J128" s="223" t="inlineStr">
        <is>
          <t xml:space="preserve">Mahasiswa mampu menunjukkan profesionalisme melalui penerapan etika profesi TI, keselamatan kerja, kewirausahaan bertanggung jawab, rekayasa perangkat lunak ramah lingkungan, dan sesuai konteks Kewirausahaan Berbasis Teknologi dan capaian CPMK101.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CPMK0102</t>
        </is>
      </c>
      <c r="H129" s="200" t="s">
        <v>351</v>
      </c>
      <c r="I129" s="38" t="inlineStr">
        <is>
          <t xml:space="preserve"/>
        </is>
      </c>
      <c r="J129" s="223" t="inlineStr">
        <is>
          <t xml:space="preserve">Mahasiswa mampu menginternalisasi nilai ketakwaan kepada Tuhan YME, Pancasila, kewarganegaraan, dan menunjukkan pembelajaran sepanjang hayat melalui disiplin diri, tanggung jawab sesuai konteks Kewirausahaan Berbasis Teknologi dan capaian CPMK102.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0">
      <c r="D130" s="161" t="inlineStr">
        <is>
          <t xml:space="preserve"/>
        </is>
      </c>
      <c r="E130" s="155"/>
      <c r="F130" s="155"/>
      <c r="G130" s="222" t="inlineStr">
        <is>
          <t xml:space="preserve">CPMK0311</t>
        </is>
      </c>
      <c r="H130" s="190" t="s">
        <v>618</v>
      </c>
      <c r="I130" s="38" t="inlineStr">
        <is>
          <t xml:space="preserve"/>
        </is>
      </c>
      <c r="J130" s="223" t="inlineStr">
        <is>
          <t xml:space="preserve">Mahasiswa mampu merancang mengidentifikasi peluang bisnis berbasis teknologi dan menyusun business model canvas, serta bekerja dalam tim untuk merancang dan mengembangkan konsep startup sesuai konteks Kewirausahaan Berbasis Teknologi dan capaian CPMK311.</t>
        </is>
      </c>
      <c r="K130" s="217" t="inlineStr">
        <is>
          <t xml:space="preserve">Pembelajaran Berbasis Proyek (Project Based Learning/PjBL)</t>
        </is>
      </c>
      <c r="L130" s="223" t="inlineStr">
        <is>
          <t xml:space="preserve">Kuliah interaktif, diskusi kasus, penugasan terstruktur, presentasi, belajar mandiri</t>
        </is>
      </c>
      <c r="M130" s="225" t="inlineStr">
        <is>
          <t xml:space="preserve">Unjuk Kerja (Presentasi), Observasi (Praktik/ Tugas)</t>
        </is>
      </c>
      <c r="N130" s="219" t="inlineStr">
        <is>
          <t xml:space="preserve">ketepatan konsep, kedalaman analisis, relevansi solusi, kualitas artefak/tulisan, dan komunikasi hasil</t>
        </is>
      </c>
      <c r="O130" s="218" t="inlineStr">
        <is>
          <t xml:space="preserve">ideasi produk, validasi pasar, model bisnis, value proposition, prototipe, pitching, dan rencana usaha teknologi</t>
        </is>
      </c>
      <c r="P130" s="233"/>
      <c r="Q130" s="233"/>
      <c r="R130" s="233"/>
      <c r="S130" s="38"/>
      <c r="T130" s="38"/>
      <c r="U130" s="38"/>
      <c r="V130" s="38"/>
      <c r="W130" s="38"/>
      <c r="X130" s="38"/>
      <c r="Y130" s="38"/>
      <c r="Z130" s="38"/>
      <c r="AA130" s="38"/>
      <c r="AB130" s="38"/>
      <c r="AC130" s="38"/>
      <c r="AD130" s="38"/>
      <c r="AE130" s="38"/>
      <c r="AF130" s="38"/>
      <c r="AG130" s="38"/>
    </row>
    <row r="131">
      <c r="D131" s="102" t="inlineStr">
        <is>
          <t xml:space="preserve"/>
        </is>
      </c>
      <c r="E131" s="101"/>
      <c r="F131" s="101"/>
      <c r="G131" s="222" t="inlineStr">
        <is>
          <t xml:space="preserve">CPMK0312</t>
        </is>
      </c>
      <c r="H131" s="190" t="s">
        <v>620</v>
      </c>
      <c r="I131" s="38" t="inlineStr">
        <is>
          <t xml:space="preserve"/>
        </is>
      </c>
      <c r="J131" s="223" t="inlineStr">
        <is>
          <t xml:space="preserve">Mahasiswa mampu menyusun dan mengomunikasikan mempresentasikan business pitch secara persuasif serta berkomunikasi dan bernegosiasi secara efektif dengan berbagai pihak dalam konteks bisnis teknologi sesuai konteks Kewirausahaan Berbasis Teknologi dan capaian CPMK312.</t>
        </is>
      </c>
      <c r="K131" s="217" t="inlineStr">
        <is>
          <t xml:space="preserve">Pembelajaran Berbasis Proyek (Project Based Learning/PjBL)</t>
        </is>
      </c>
      <c r="L131" s="223" t="inlineStr">
        <is>
          <t xml:space="preserve">Kuliah interaktif, diskusi kasus, penugasan terstruktur, presentasi, belajar mandiri</t>
        </is>
      </c>
      <c r="M131" s="225" t="inlineStr">
        <is>
          <t xml:space="preserve">Unjuk Kerja (Presentasi)</t>
        </is>
      </c>
      <c r="N131" s="219" t="inlineStr">
        <is>
          <t xml:space="preserve">ketepatan konsep, kedalaman analisis, relevansi solusi, kualitas artefak/tulisan, dan komunikasi hasil</t>
        </is>
      </c>
      <c r="O131" s="218" t="inlineStr">
        <is>
          <t xml:space="preserve">ideasi produk, validasi pasar, model bisnis, value proposition, prototipe, pitching, dan rencana usaha teknologi</t>
        </is>
      </c>
      <c r="P131" s="233"/>
      <c r="Q131" s="233"/>
      <c r="R131" s="233"/>
      <c r="S131" s="38"/>
      <c r="T131" s="38"/>
      <c r="U131" s="38"/>
      <c r="V131" s="38"/>
      <c r="W131" s="38"/>
      <c r="X131" s="38"/>
      <c r="Y131" s="38"/>
      <c r="Z131" s="38"/>
      <c r="AA131" s="38"/>
      <c r="AB131" s="38"/>
      <c r="AC131" s="38"/>
      <c r="AD131" s="38"/>
      <c r="AE131" s="38"/>
      <c r="AF131" s="38"/>
      <c r="AG131"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CPMK0403</t>
        </is>
      </c>
      <c r="H132" s="102" t="s">
        <v>621</v>
      </c>
      <c r="I132" s="40" t="inlineStr">
        <is>
          <t xml:space="preserve">SCPMK0403-03801</t>
        </is>
      </c>
      <c r="J132" s="223" t="inlineStr">
        <is>
          <t xml:space="preserve">Mahasiswa mampu menggali permasalahan di masyarakat dan lingkungan, menggali kebutuhan, berfikir kritis dan inovatif dalam mencari solusi dan ide skripsi dengan memperhatikan sesuai konteks Metodologi Penelitian dan capaian CPMK403.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CPMK1009</t>
        </is>
      </c>
      <c r="H133" s="173" t="s">
        <v>564</v>
      </c>
      <c r="I133" s="40" t="inlineStr">
        <is>
          <t xml:space="preserve">SCPMK1009-03802</t>
        </is>
      </c>
      <c r="J133" s="223" t="inlineStr">
        <is>
          <t xml:space="preserve">Mahasiswa 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CPMK1006</t>
        </is>
      </c>
      <c r="H134" s="8" t="s">
        <v>554</v>
      </c>
      <c r="I134" s="170" t="inlineStr">
        <is>
          <t xml:space="preserve"/>
        </is>
      </c>
      <c r="J134" s="223" t="inlineStr">
        <is>
          <t xml:space="preserve">Mahasiswa mampu mengevaluasi konsep pemrograman pada perangkat mobile sesuai konteks Pemrograman Mobile dan capaian CPMK10.6.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CPMK0603</t>
        </is>
      </c>
      <c r="H135" s="6" t="s">
        <v>596</v>
      </c>
      <c r="I135" s="170" t="inlineStr">
        <is>
          <t xml:space="preserve"/>
        </is>
      </c>
      <c r="J135" s="223" t="inlineStr">
        <is>
          <t xml:space="preserve">Mahasiswa mampu mengimplementasikan dan melakukan deployment aplikasi perangkat lunak pada platform web, mobile, atau framework secara fungsional sesuai konteks Pemrograman Mobile dan capaian CPMK603.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CPMK0706</t>
        </is>
      </c>
      <c r="H136" s="102" t="s">
        <v>480</v>
      </c>
      <c r="I136" s="38" t="inlineStr">
        <is>
          <t xml:space="preserve"/>
        </is>
      </c>
      <c r="J136" s="223" t="inlineStr">
        <is>
          <t xml:space="preserve">Mahasiswa mampu mengevaluasi memahami konsep dasar pembelajaran mesin dan konsep data sesuai konteks Pembelajaran Mesin dan capaian CPMK706.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1</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CPMK1005</t>
        </is>
      </c>
      <c r="H137" s="173" t="s">
        <v>552</v>
      </c>
      <c r="I137" s="170" t="inlineStr">
        <is>
          <t xml:space="preserve"/>
        </is>
      </c>
      <c r="J137" s="223" t="inlineStr">
        <is>
          <t xml:space="preserve">Mahasiswa 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CPMK0705</t>
        </is>
      </c>
      <c r="H138" s="102" t="s">
        <v>476</v>
      </c>
      <c r="I138" s="38" t="inlineStr">
        <is>
          <t xml:space="preserve"/>
        </is>
      </c>
      <c r="J138" s="223" t="inlineStr">
        <is>
          <t xml:space="preserve">Mahasiswa mampu mengimplementasikan dan mengimplementasikan teknik pengolahan citra dan visualisasi data secara efektif untuk mengeksplorasi dan merepresentasikan pola informasi sesuai konteks Business Intelligence dan capaian CPMK705.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1</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CPMK1004</t>
        </is>
      </c>
      <c r="H139" s="201" t="s">
        <v>547</v>
      </c>
      <c r="I139" s="170" t="inlineStr">
        <is>
          <t xml:space="preserve"/>
        </is>
      </c>
      <c r="J139" s="223" t="inlineStr">
        <is>
          <t xml:space="preserve">Mahasiswa 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CPMK0508</t>
        </is>
      </c>
      <c r="H140" s="108" t="s">
        <v>432</v>
      </c>
      <c r="I140" s="38" t="inlineStr">
        <is>
          <t xml:space="preserve"/>
        </is>
      </c>
      <c r="J140" s="223" t="inlineStr">
        <is>
          <t xml:space="preserve">Mahasiswa mampu mengevaluasi mengenal konsep dasar algoritma serta mampu menganalisis permasalahan sederhana ke dalam bentuk algoritma sesuai konteks Penjaminan Mutu Perangkat Lunak dan capaian CPMK508.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1</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CPMK0605</t>
        </is>
      </c>
      <c r="H141" s="176" t="s">
        <v>609</v>
      </c>
      <c r="I141" s="38" t="inlineStr">
        <is>
          <t xml:space="preserve"/>
        </is>
      </c>
      <c r="J141" s="223" t="inlineStr">
        <is>
          <t xml:space="preserve">Mahasiswa mampu mengevaluasi prinsip dasar pengembangan dan memelihara kualitas kode program agar tetap bersih, efisien, dan berkelanjutan sesuai konteks Penjaminan Mutu Perangkat Lunak dan capaian CPMK605.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CPMK0608</t>
        </is>
      </c>
      <c r="H142" s="176" t="s">
        <v>624</v>
      </c>
      <c r="I142" s="38" t="inlineStr">
        <is>
          <t xml:space="preserve"/>
        </is>
      </c>
      <c r="J142" s="223" t="inlineStr">
        <is>
          <t xml:space="preserve">Mahasiswa mampu mengevaluasi merencanakan strategi pengujian serta menjamin mutu perangkat lunak melalui teknik verifikasi dan validasi yang terukur sesuai konteks Penjaminan Mutu Perangkat Lunak dan capaian CPMK608.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CPMK0606</t>
        </is>
      </c>
      <c r="H143" s="176" t="s">
        <v>603</v>
      </c>
      <c r="I143" s="38" t="inlineStr">
        <is>
          <t xml:space="preserve"/>
        </is>
      </c>
      <c r="J143" s="223" t="inlineStr">
        <is>
          <t xml:space="preserve">Mahasiswa mampu mengevaluasi mengelola proses deployment dan menyusun rencana memelihara perangkat lunak sesuai dengan metodologi siklus hidup pengembangan (SDLC) sesuai konteks Penjaminan Mutu Perangkat Lunak dan capaian CPMK606.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CPMK0802</t>
        </is>
      </c>
      <c r="H144" s="113" t="s">
        <v>495</v>
      </c>
      <c r="I144" s="38" t="inlineStr">
        <is>
          <t xml:space="preserve"/>
        </is>
      </c>
      <c r="J144" s="223" t="inlineStr">
        <is>
          <t xml:space="preserve">Mahasiswa mampu mengevaluasi mengelola proses rekayasa perangkat lunak dan desain antarmuka (UI/UX) dalam siklus hidup proyek, termasuk penerapan metodologi pengembangan dan prinsip penjaminan sesuai konteks Penjaminan Mutu Perangkat Lunak dan capaian CPMK802.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CPMK0705</t>
        </is>
      </c>
      <c r="H145" s="102" t="s">
        <v>476</v>
      </c>
      <c r="I145" s="40" t="inlineStr">
        <is>
          <t xml:space="preserve">SCPMK0705-04301</t>
        </is>
      </c>
      <c r="J145" s="216" t="inlineStr">
        <is>
          <t xml:space="preserve">Mahasiswa 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CPMK0706</t>
        </is>
      </c>
      <c r="H146" s="102" t="s">
        <v>480</v>
      </c>
      <c r="I146" s="40" t="inlineStr">
        <is>
          <t xml:space="preserve">SCPMK0706-04301</t>
        </is>
      </c>
      <c r="J146" s="216" t="inlineStr">
        <is>
          <t xml:space="preserve">Mahasiswa 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CPMK1004</t>
        </is>
      </c>
      <c r="H147" s="201" t="s">
        <v>547</v>
      </c>
      <c r="I147" s="40" t="inlineStr">
        <is>
          <t xml:space="preserve">SCPMK1004-04301</t>
        </is>
      </c>
      <c r="J147" s="216" t="inlineStr">
        <is>
          <t xml:space="preserve">Mahasiswa 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CPMK1005</t>
        </is>
      </c>
      <c r="H148" s="173" t="s">
        <v>552</v>
      </c>
      <c r="I148" s="40" t="inlineStr">
        <is>
          <t xml:space="preserve">SCPMK1005-04301</t>
        </is>
      </c>
      <c r="J148" s="216" t="inlineStr">
        <is>
          <t xml:space="preserve">Mahasiswa 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CPMK0501</t>
        </is>
      </c>
      <c r="H149" s="108" t="s">
        <v>413</v>
      </c>
      <c r="I149" s="38" t="inlineStr">
        <is>
          <t xml:space="preserve"/>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CPMK0502</t>
        </is>
      </c>
      <c r="H150" s="108" t="s">
        <v>416</v>
      </c>
      <c r="I150" s="38" t="inlineStr">
        <is>
          <t xml:space="preserve"/>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CPMK0504</t>
        </is>
      </c>
      <c r="H151" s="108" t="s">
        <v>426</v>
      </c>
      <c r="I151" s="38" t="inlineStr">
        <is>
          <t xml:space="preserve"/>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CPMK0505</t>
        </is>
      </c>
      <c r="H152" s="108" t="s">
        <v>430</v>
      </c>
      <c r="I152" s="38" t="inlineStr">
        <is>
          <t xml:space="preserve"/>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CPMK1002</t>
        </is>
      </c>
      <c r="H153" s="117" t="s">
        <v>543</v>
      </c>
      <c r="I153" s="170" t="inlineStr">
        <is>
          <t xml:space="preserve"/>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CPMK1003</t>
        </is>
      </c>
      <c r="H154" s="172" t="s">
        <v>629</v>
      </c>
      <c r="I154" s="40" t="inlineStr">
        <is>
          <t xml:space="preserve"/>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CPMK0101</t>
        </is>
      </c>
      <c r="H155" s="190" t="s">
        <v>343</v>
      </c>
      <c r="I155" s="40" t="inlineStr">
        <is>
          <t xml:space="preserve">SCPMK0101-00101</t>
        </is>
      </c>
      <c r="J155" s="223" t="inlineStr">
        <is>
          <t xml:space="preserve">Mahasiswa mampu menunjukkan profesionalisme melalui penerapan etika profesi TI, keselamatan kerja, kewirausahaan bertanggung jawab, rekayasa perangkat lunak ramah lingkungan, dan sesuai konteks Komunikasi Dan Etika Profesi dan capaian CPMK101.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CPMK0102</t>
        </is>
      </c>
      <c r="H156" s="200" t="s">
        <v>351</v>
      </c>
      <c r="I156" s="40" t="inlineStr">
        <is>
          <t xml:space="preserve">SCPMK0102-00101</t>
        </is>
      </c>
      <c r="J156" s="223" t="inlineStr">
        <is>
          <t xml:space="preserve">Mahasiswa mampu menginternalisasi nilai ketakwaan kepada Tuhan YME, Pancasila, kewarganegaraan, dan menunjukkan pembelajaran sepanjang hayat melalui disiplin diri, tanggung jawab sesuai konteks Komunikasi Dan Etika Profesi dan capaian CPMK102.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7">
      <c r="D157" s="161" t="inlineStr">
        <is>
          <t xml:space="preserve"/>
        </is>
      </c>
      <c r="E157" s="155"/>
      <c r="F157" s="155"/>
      <c r="G157" s="222" t="inlineStr">
        <is>
          <t xml:space="preserve">CPMK0313</t>
        </is>
      </c>
      <c r="H157" s="190" t="s">
        <v>631</v>
      </c>
      <c r="I157" s="40" t="inlineStr">
        <is>
          <t xml:space="preserve">SCPMK0313-00101</t>
        </is>
      </c>
      <c r="J157" s="223" t="inlineStr">
        <is>
          <t xml:space="preserve">Mahasiswa mampu menyusun dan mengomunikasikan berkomunikasi secara efektif dalam lingkungan kerja profesional TI dengan menerapkan prinsip komunikasi yang baik, menyusun dokumen profesional yang jelas dan etis, sesuai konteks Komunikasi Dan Etika Profesi dan capaian CPMK313.</t>
        </is>
      </c>
      <c r="K157" s="224" t="inlineStr">
        <is>
          <t xml:space="preserve">Case-Based Learning, diskusi terarah, dan refleksi terstruktur</t>
        </is>
      </c>
      <c r="L157" s="223" t="inlineStr">
        <is>
          <t xml:space="preserve">Kuliah interaktif, diskusi kasus, penugasan terstruktur, presentasi, belajar mandiri</t>
        </is>
      </c>
      <c r="M157" s="225" t="inlineStr">
        <is>
          <t xml:space="preserve">studi kasus, esai/refleksi, presentasi, portofolio, dan tes lisan/tulis</t>
        </is>
      </c>
      <c r="N157" s="223" t="inlineStr">
        <is>
          <t xml:space="preserve">ketepatan konsep, kedalaman analisis kasus, argumentasi berbasis norma/etika, refleksi sikap, dan komunikasi</t>
        </is>
      </c>
      <c r="O157" s="224" t="inlineStr">
        <is>
          <t xml:space="preserve">komunikasi profesional, etika profesi TI, hukum TI, tanggung jawab sosial, konflik kepentingan, dan studi kasus profesi</t>
        </is>
      </c>
      <c r="P157" s="233"/>
      <c r="Q157" s="233"/>
      <c r="R157" s="233"/>
      <c r="S157" s="38"/>
      <c r="T157" s="38"/>
      <c r="U157" s="38"/>
      <c r="V157" s="38"/>
      <c r="W157" s="38"/>
      <c r="X157" s="38"/>
      <c r="Y157" s="38"/>
      <c r="Z157" s="38"/>
      <c r="AA157" s="38"/>
      <c r="AB157" s="38"/>
      <c r="AC157" s="38"/>
      <c r="AD157" s="38"/>
      <c r="AE157" s="38"/>
      <c r="AF157" s="38"/>
      <c r="AG157" s="38"/>
    </row>
    <row r="158">
      <c r="D158" s="161" t="inlineStr">
        <is>
          <t xml:space="preserve"/>
        </is>
      </c>
      <c r="E158" s="155"/>
      <c r="F158" s="155"/>
      <c r="G158" s="222" t="inlineStr">
        <is>
          <t xml:space="preserve">CPMK0314</t>
        </is>
      </c>
      <c r="H158" s="190" t="s">
        <v>633</v>
      </c>
      <c r="I158" s="40" t="inlineStr">
        <is>
          <t xml:space="preserve">SCPMK0314-00101</t>
        </is>
      </c>
      <c r="J158" s="223" t="inlineStr">
        <is>
          <t xml:space="preserve">Mahasiswa mampu menyusun dan mengomunikasikan bekerja sama dalam tim dengan menerapkan etika dan kode etik profesi TI serta mengelola konflik melalui komunikasi yang asertif dan profesional sesuai konteks Komunikasi Dan Etika Profesi dan capaian CPMK314.</t>
        </is>
      </c>
      <c r="K158" s="224" t="inlineStr">
        <is>
          <t xml:space="preserve">Case-Based Learning, diskusi terarah, dan refleksi terstruktur</t>
        </is>
      </c>
      <c r="L158" s="223" t="inlineStr">
        <is>
          <t xml:space="preserve">Kuliah interaktif, diskusi kasus, penugasan terstruktur, presentasi, belajar mandiri</t>
        </is>
      </c>
      <c r="M158" s="225" t="inlineStr">
        <is>
          <t xml:space="preserve">studi kasus, esai/refleksi, presentasi, portofolio, dan tes lisan/tulis</t>
        </is>
      </c>
      <c r="N158" s="223" t="inlineStr">
        <is>
          <t xml:space="preserve">ketepatan konsep, kedalaman analisis kasus, argumentasi berbasis norma/etika, refleksi sikap, dan komunikasi</t>
        </is>
      </c>
      <c r="O158" s="224" t="inlineStr">
        <is>
          <t xml:space="preserve">komunikasi profesional, etika profesi TI, hukum TI, tanggung jawab sosial, konflik kepentingan, dan studi kasus profesi</t>
        </is>
      </c>
      <c r="P158" s="233"/>
      <c r="Q158" s="233"/>
      <c r="R158" s="233"/>
      <c r="S158" s="38"/>
      <c r="T158" s="38"/>
      <c r="U158" s="38"/>
      <c r="V158" s="38"/>
      <c r="W158" s="38"/>
      <c r="X158" s="38"/>
      <c r="Y158" s="38"/>
      <c r="Z158" s="38"/>
      <c r="AA158" s="38"/>
      <c r="AB158" s="38"/>
      <c r="AC158" s="38"/>
      <c r="AD158" s="38"/>
      <c r="AE158" s="38"/>
      <c r="AF158" s="38"/>
      <c r="AG158"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CPMK0102</t>
        </is>
      </c>
      <c r="H159" s="200" t="s">
        <v>351</v>
      </c>
      <c r="I159" s="40" t="inlineStr">
        <is>
          <t xml:space="preserve">SCPMK0102-04601</t>
        </is>
      </c>
      <c r="J159" s="216" t="inlineStr">
        <is>
          <t xml:space="preserve">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0">
      <c r="D160" s="161" t="inlineStr">
        <is>
          <t xml:space="preserve"/>
        </is>
      </c>
      <c r="E160" s="155"/>
      <c r="F160" s="155"/>
      <c r="G160" s="222" t="inlineStr">
        <is>
          <t xml:space="preserve">CPMK0315</t>
        </is>
      </c>
      <c r="H160" s="190" t="s">
        <v>635</v>
      </c>
      <c r="I160" s="40" t="inlineStr">
        <is>
          <t xml:space="preserve">SCPMK0315-04602</t>
        </is>
      </c>
      <c r="J160" s="216" t="inlineStr">
        <is>
          <t xml:space="preserve">Mahasiswa mampu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is>
      </c>
      <c r="K160" s="217" t="inlineStr">
        <is>
          <t xml:space="preserve">Pembelajaran Berbasis Proyek (Project Based Learning/PjBL)</t>
        </is>
      </c>
      <c r="L160" s="216" t="inlineStr">
        <is>
          <t xml:space="preserve">Career Development Project: menyusun dokumen lengkap pengembangan karir yang terdiri dari: hasil self-assessment, rencana karir jangka pendek &amp; panjang, CV profesional, portofolio, profil LinkedIn aktif</t>
        </is>
      </c>
      <c r="M160" s="225" t="inlineStr">
        <is>
          <t xml:space="preserve">Observasi (Praktik/ Tugas), Quiz, Tes Tulis (UTS), Tes Tulis (UAS)</t>
        </is>
      </c>
      <c r="N160" s="216" t="inlineStr">
        <is>
          <t xml:space="preserve">Ketepatan dan kedalaman self-assessment, kejelasan serta keterukuran rencana karir jangka pendek dan panjang, kualitas dan profesionalisme CV, kelengkapan serta relevansi portofolio, serta konsistensi dan keaktifan profil LinkedIn sebagai personal branding profesional.</t>
        </is>
      </c>
      <c r="O160" s="216" t="inlineStr">
        <is>
          <t xml:space="preserve">- Konsep dan teknik self-assessment karir (minat, bakat, kompetensi, nilai, dan tujuan karir)
- Penyusunan rencana pengembangan karir jangka pendek dan jangka panjang yang terukur dan realistis
- Personal branding profesional: penyusunan CV, portofolio, dan optimalisasi profil LinkedIn</t>
        </is>
      </c>
      <c r="P160" s="233"/>
      <c r="Q160" s="233"/>
      <c r="R160" s="233"/>
      <c r="S160" s="38"/>
      <c r="T160" s="38"/>
      <c r="U160" s="38"/>
      <c r="V160" s="38"/>
      <c r="W160" s="38"/>
      <c r="X160" s="38"/>
      <c r="Y160" s="38"/>
      <c r="Z160" s="38"/>
      <c r="AA160" s="38"/>
      <c r="AB160" s="38"/>
      <c r="AC160" s="38"/>
      <c r="AD160" s="38"/>
      <c r="AE160" s="38"/>
      <c r="AF160" s="38"/>
      <c r="AG160" s="38"/>
    </row>
    <row r="161">
      <c r="D161" s="161" t="inlineStr">
        <is>
          <t xml:space="preserve"/>
        </is>
      </c>
      <c r="E161" s="155"/>
      <c r="F161" s="155"/>
      <c r="G161" s="222" t="inlineStr">
        <is>
          <t xml:space="preserve">CPMK0316</t>
        </is>
      </c>
      <c r="H161" s="190" t="s">
        <v>637</v>
      </c>
      <c r="I161" s="40" t="inlineStr">
        <is>
          <t xml:space="preserve">SCPMK0316-04603</t>
        </is>
      </c>
      <c r="J161" s="216" t="inlineStr">
        <is>
          <t xml:space="preserve">Mahasiswa 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is>
      </c>
      <c r="K161" s="217" t="inlineStr">
        <is>
          <t xml:space="preserve">Bermain Peran dan Simulasi (Role-Play And Simulation)</t>
        </is>
      </c>
      <c r="L161" s="216" t="inlineStr">
        <is>
          <t xml:space="preserve">Simulasi (role play) wawancara kerja dan networking, didukung presentasi dan penilaian sejawat.</t>
        </is>
      </c>
      <c r="M161" s="225" t="inlineStr">
        <is>
          <t xml:space="preserve">Unjuk Kerja (Presentasi), Quiz, Observasi (Praktik/ Tugas), Tes Tulis (UTS), Tes Tulis (UAS)</t>
        </is>
      </c>
      <c r="N161" s="216" t="inlineStr">
        <is>
          <t xml:space="preserve">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is>
      </c>
      <c r="O161" s="216" t="inlineStr">
        <is>
          <t xml:space="preserve">Prinsip komunikasi profesional dalam wawancara kerja dan networking
Teknik wawancara kerja efektif: menyampaikan ide, menjawab pertanyaan, dan membangun relasi
Presentasi diri dan pencapaian profesional: komunikasi verbal, nonverbal, dan etika karir</t>
        </is>
      </c>
      <c r="P161" s="233"/>
      <c r="Q161" s="233"/>
      <c r="R161" s="233"/>
      <c r="S161" s="38"/>
      <c r="T161" s="38"/>
      <c r="U161" s="38"/>
      <c r="V161" s="38"/>
      <c r="W161" s="38"/>
      <c r="X161" s="38"/>
      <c r="Y161" s="38"/>
      <c r="Z161" s="38"/>
      <c r="AA161" s="38"/>
      <c r="AB161" s="38"/>
      <c r="AC161" s="38"/>
      <c r="AD161" s="38"/>
      <c r="AE161" s="38"/>
      <c r="AF161" s="38"/>
      <c r="AG161"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CPMK0603</t>
        </is>
      </c>
      <c r="H162" s="172" t="s">
        <v>596</v>
      </c>
      <c r="I162" s="40" t="inlineStr">
        <is>
          <t xml:space="preserve">SCPMK0603-00104</t>
        </is>
      </c>
      <c r="J162" s="216" t="inlineStr">
        <is>
          <t xml:space="preserve">Mahasiswa 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CPMK0201</t>
        </is>
      </c>
      <c r="H163" s="102" t="s">
        <v>638</v>
      </c>
      <c r="I163" s="38" t="inlineStr">
        <is>
          <t xml:space="preserve"/>
        </is>
      </c>
      <c r="J163" s="223" t="inlineStr">
        <is>
          <t xml:space="preserve">Mahasiswa mampu merancang dan mendokumentasikan rencana manajemen proyek pengembangan aplikasi multi-platform dengan menerapkan metodologi pengembangan perangkat lunak yang tepat sesuai konteks Proyek Teknologi Terintegrasi dan capaian CPMK201.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CPMK0205</t>
        </is>
      </c>
      <c r="H164" s="172" t="s">
        <v>640</v>
      </c>
      <c r="I164" s="38" t="inlineStr">
        <is>
          <t xml:space="preserve"/>
        </is>
      </c>
      <c r="J164" s="223" t="inlineStr">
        <is>
          <t xml:space="preserve">Mahasiswa mampu merancang prinsip dan pola desain perangkat lunak untuk membuat blueprint arsitektural dan komponen solusi aplikasi multi-platform yang modular, dapat dipelihara sesuai konteks Proyek Teknologi Terintegrasi dan capaian CPMK205.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CPMK0211</t>
        </is>
      </c>
      <c r="H165" s="172" t="s">
        <v>601</v>
      </c>
      <c r="I165" s="38" t="inlineStr">
        <is>
          <t xml:space="preserve"/>
        </is>
      </c>
      <c r="J165" s="223" t="inlineStr">
        <is>
          <t xml:space="preserve">Mahasiswa mampu mengimplementasikan metodologi analisis dan desain sistem secara terstruktur untuk mentransformasi kebutuhan stakeholder menjadi spesifikasi teknis yang komprehensif bagi sesuai konteks Proyek Teknologi Terintegrasi dan capaian CPMK211.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
        </is>
      </c>
      <c r="E166" s="156"/>
      <c r="F166" s="156"/>
      <c r="G166" s="222" t="inlineStr">
        <is>
          <t xml:space="preserve">CPMK0317</t>
        </is>
      </c>
      <c r="H166" s="102" t="s">
        <v>642</v>
      </c>
      <c r="I166" s="38" t="inlineStr">
        <is>
          <t xml:space="preserve"/>
        </is>
      </c>
      <c r="J166" s="223" t="inlineStr">
        <is>
          <t xml:space="preserve">Mahasiswa mampu menganalisis dan menerapkan memimpin dan mengelola tim dalam proyek teknologi terintegrasi yang kompleks dengan menggabungkan berbagai teknologi untuk menyelesaikan permasalahan nyata serta sesuai konteks Proyek Teknologi Terintegrasi dan capaian CPMK317.</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
        </is>
      </c>
      <c r="E167" s="156"/>
      <c r="F167" s="156"/>
      <c r="G167" s="222" t="inlineStr">
        <is>
          <t xml:space="preserve">CPMK0318</t>
        </is>
      </c>
      <c r="H167" s="102" t="s">
        <v>644</v>
      </c>
      <c r="I167" s="38" t="inlineStr">
        <is>
          <t xml:space="preserve"/>
        </is>
      </c>
      <c r="J167" s="223" t="inlineStr">
        <is>
          <t xml:space="preserve">Mahasiswa mampu menyusun dan mengomunikasikan mempresentasikan solusi teknologi terintegrasi kepada client dan stakeholder serta mendokumentasikan dan mengomunikasikan proses dan hasil proyek secara komprehensif sesuai konteks Proyek Teknologi Terintegrasi dan capaian CPMK318.</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CPMK0602</t>
        </is>
      </c>
      <c r="H168" s="203" t="s">
        <v>608</v>
      </c>
      <c r="I168" s="38" t="inlineStr">
        <is>
          <t xml:space="preserve"/>
        </is>
      </c>
      <c r="J168" s="223" t="inlineStr">
        <is>
          <t xml:space="preserve">Mahasiswa mampu merancang arsitektur dan komponen perangkat lunak secara sistematis menggunakan pola desain yang sesuai dengan kebutuhan stakeholder sesuai konteks Proyek Teknologi Terintegrasi dan capaian CPMK602.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CPMK0801</t>
        </is>
      </c>
      <c r="H169" s="113" t="s">
        <v>489</v>
      </c>
      <c r="I169" s="38" t="inlineStr">
        <is>
          <t xml:space="preserve"/>
        </is>
      </c>
      <c r="J169" s="223" t="inlineStr">
        <is>
          <t xml:space="preserve">Mahasiswa mampu mengimplementasikan dan mempresentasikan rencana proyek teknologi informasi yang komprehensif, mencakup estimasi, penjadwalan, alokasi sumber daya, dan manajemen risiko untuk sesuai konteks Proyek Teknologi Terintegrasi dan capaian CPMK801.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CPMK0802</t>
        </is>
      </c>
      <c r="H170" s="113" t="s">
        <v>495</v>
      </c>
      <c r="I170" s="38" t="inlineStr">
        <is>
          <t xml:space="preserve"/>
        </is>
      </c>
      <c r="J170" s="223" t="inlineStr">
        <is>
          <t xml:space="preserve">Mahasiswa mampu mengevaluasi mengelola proses rekayasa perangkat lunak dan desain antarmuka (UI/UX) dalam siklus hidup proyek, termasuk penerapan metodologi pengembangan dan prinsip penjaminan sesuai konteks Proyek Teknologi Terintegrasi dan capaian CPMK802.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CPMK0803</t>
        </is>
      </c>
      <c r="H171" s="113" t="s">
        <v>501</v>
      </c>
      <c r="I171" s="38" t="inlineStr">
        <is>
          <t xml:space="preserve"/>
        </is>
      </c>
      <c r="J171" s="223" t="inlineStr">
        <is>
          <t xml:space="preserve">Mahasiswa mampu menganalisis dan menerapkan melaksanakan, memonitor, dan mengendalikan jalannya proyek menggunakan alat bantu (tools) manajemen, serta mengelola dinamika tim untuk mencapai tujuan proyek sesuai konteks Proyek Teknologi Terintegrasi dan capaian CPMK803.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CPMK0804</t>
        </is>
      </c>
      <c r="H172" s="113" t="s">
        <v>505</v>
      </c>
      <c r="I172" s="38" t="inlineStr">
        <is>
          <t xml:space="preserve"/>
        </is>
      </c>
      <c r="J172" s="223" t="inlineStr">
        <is>
          <t xml:space="preserve">Mahasiswa mampu menganalisis dan menerapkan mendemonstrasikan pengelolaan proyek secara utuh dalam konteks proyek penelitian mandiri atau lingkungan kerja industri, dengan menerapkan seluruh prinsip sesuai konteks Proyek Teknologi Terintegrasi dan capaian CPMK804.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CPMK0607</t>
        </is>
      </c>
      <c r="H173" s="121" t="s">
        <v>604</v>
      </c>
      <c r="I173" s="38" t="inlineStr">
        <is>
          <t xml:space="preserve"/>
        </is>
      </c>
      <c r="J173" s="223" t="inlineStr">
        <is>
          <t xml:space="preserve">Mahasiswa mampu mengimplementasikan kebutuhan organisasi untuk merancang serta mengimplementasikan solusi sistem informasi terintegrasi yang kompleks sesuai konteks Proyek Teknologi Terintegrasi dan capaian CPMK607.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CPMK0204</t>
        </is>
      </c>
      <c r="H174" s="161" t="s">
        <v>646</v>
      </c>
      <c r="I174" s="38" t="inlineStr">
        <is>
          <t xml:space="preserve"/>
        </is>
      </c>
      <c r="J174" s="223" t="inlineStr">
        <is>
          <t xml:space="preserve">Mahasiswa mampu merancang Microcontroller Unit (Arduino dan NodeMCU) • Mahasiswa dapat menerapkan kendali jarak jauh (remote control) hardware dengan Socket TCP/IP • Mahasiswa sesuai konteks Internet Of Things dan capaian CPMK204.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CPMK0206</t>
        </is>
      </c>
      <c r="H175" s="161" t="s">
        <v>647</v>
      </c>
      <c r="I175" s="38" t="inlineStr">
        <is>
          <t xml:space="preserve"/>
        </is>
      </c>
      <c r="J175" s="223" t="inlineStr">
        <is>
          <t xml:space="preserve">Mahasiswa mampu merancang karakteristik dan kebutuhan sumber daya dari aplikasi multi-platform, lalu merancang strategi manajemen sumber daya sistem (seperti memori, proses, sesuai konteks Internet Of Things dan capaian CPMK206.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CPMK0503</t>
        </is>
      </c>
      <c r="H176" s="108" t="s">
        <v>422</v>
      </c>
      <c r="I176" s="38" t="inlineStr">
        <is>
          <t xml:space="preserve"/>
        </is>
      </c>
      <c r="J176" s="223" t="inlineStr">
        <is>
          <t xml:space="preserve">Mahasiswa mampu merancang dan mengonfigurasi solusi komputasi paralel dan terdistribusi yang mendukung kebutuhan pemrosesan IoT, Big Data, dan layanan berbasis cloud sesuai konteks Internet Of Things dan capaian CPMK503.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CPMK0904</t>
        </is>
      </c>
      <c r="H178" s="158" t="s">
        <v>530</v>
      </c>
      <c r="I178" s="40" t="inlineStr">
        <is>
          <t xml:space="preserve">SCPMK0904-05001</t>
        </is>
      </c>
      <c r="J178" s="223" t="inlineStr">
        <is>
          <t xml:space="preserve">Mahasiswa mampu menguraikan prinsip kerja sistem paralel–terdistribusi yang dimanfaatkan untuk pemrosesan data skala besar sesuai konteks Big Data dan capaian CPMK904.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CPMK0904</t>
        </is>
      </c>
      <c r="I179" s="40" t="inlineStr">
        <is>
          <t xml:space="preserve">SCPMK0904-05002</t>
        </is>
      </c>
      <c r="J179" s="223" t="inlineStr">
        <is>
          <t xml:space="preserve">Mahasiswa mampu menganalisis dan menerapkan sistem paralel-terdistribusi untuk pemrosesan data skala besar sesuai konteks Big Data dan capaian CPMK904.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CPMK0702</t>
        </is>
      </c>
      <c r="H180" s="158" t="s">
        <v>1276</v>
      </c>
      <c r="I180" s="40" t="inlineStr">
        <is>
          <t xml:space="preserve">SCPMK0702-05001</t>
        </is>
      </c>
      <c r="J180" s="223" t="inlineStr">
        <is>
          <t xml:space="preserve">Mahasiswa mampu mengimplementasikan dan mengimplementasikan pemrosesan data berskala besar menggunakan arsitektur komputasi paralel dan terdistribusi untuk mengoptimalkan kinerja analisis sesuai konteks Big Data dan capaian CPMK702.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CPMK0702</t>
        </is>
      </c>
      <c r="I181" s="40" t="inlineStr">
        <is>
          <t xml:space="preserve">SCPMK0702-05002</t>
        </is>
      </c>
      <c r="J181" s="223" t="inlineStr">
        <is>
          <t xml:space="preserve">Mahasiswa mampu merancang pemrosesan data skala besar dengan arsitektur paralel-terdistribusi sesuai konteks Big Data dan capaian CPMK702.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CPMK0503</t>
        </is>
      </c>
      <c r="H182" s="156" t="s">
        <v>653</v>
      </c>
      <c r="I182" s="40" t="inlineStr">
        <is>
          <t xml:space="preserve">SCPMK0503-05001</t>
        </is>
      </c>
      <c r="J182" s="223" t="inlineStr">
        <is>
          <t xml:space="preserve">Mahasiswa mampu merancang dan mengonfigurasi infrastruktur solusi komputasi paralel dan terdistribusi yang mendukung kebutuhan pemrosesan IoT, Big Data, dan layanan berbasis cloud sesuai konteks Big Data dan capaian CPMK503.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CPMK0503</t>
        </is>
      </c>
      <c r="I183" s="40" t="inlineStr">
        <is>
          <t xml:space="preserve">SCPMK0503-05002</t>
        </is>
      </c>
      <c r="J183" s="223" t="inlineStr">
        <is>
          <t xml:space="preserve">Mahasiswa mampu menganalisis dan menerapkan solusi komputasi paralel-terdistribusi untuk IoT, big data, dan cloud sesuai konteks Big Data dan capaian CPMK503.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CPMK0905</t>
        </is>
      </c>
      <c r="H184" s="281" t="s">
        <v>535</v>
      </c>
      <c r="I184" s="281" t="inlineStr">
        <is>
          <t xml:space="preserve">SCPMK0905-01</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CPMK0502</t>
        </is>
      </c>
      <c r="H185" s="288" t="s">
        <v>416</v>
      </c>
      <c r="I185" s="281" t="inlineStr">
        <is>
          <t xml:space="preserve">SCPMK0502-01</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CPMK0502</t>
        </is>
      </c>
      <c r="H186" s="290"/>
      <c r="I186" s="281" t="inlineStr">
        <is>
          <t xml:space="preserve">SCPMK0502-02</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CPMK0502</t>
        </is>
      </c>
      <c r="H187" s="288"/>
      <c r="I187" s="281" t="inlineStr">
        <is>
          <t xml:space="preserve">SCPMK0502-03</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CPMK0509</t>
        </is>
      </c>
      <c r="H188" s="288" t="s">
        <v>434</v>
      </c>
      <c r="I188" s="281" t="inlineStr">
        <is>
          <t xml:space="preserve">SCPMK0509-01</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CPMK0509</t>
        </is>
      </c>
      <c r="H189" s="288"/>
      <c r="I189" s="281" t="inlineStr">
        <is>
          <t xml:space="preserve">SCPMK0509-02</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CPMK1003</t>
        </is>
      </c>
      <c r="H190" s="291" t="s">
        <v>1310</v>
      </c>
      <c r="I190" s="281" t="inlineStr">
        <is>
          <t xml:space="preserve">SCPMK1003-05103</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CPMK0101</t>
        </is>
      </c>
      <c r="H191" s="102" t="s">
        <v>343</v>
      </c>
      <c r="I191" s="38" t="inlineStr">
        <is>
          <t xml:space="preserve"/>
        </is>
      </c>
      <c r="J191" s="223" t="inlineStr">
        <is>
          <t xml:space="preserve">Mahasiswa mampu menunjukkan profesionalisme melalui penerapan etika profesi TI, keselamatan kerja, kewirausahaan bertanggung jawab, rekayasa perangkat lunak ramah lingkungan, dan sesuai konteks Komputasi Hijau dan capaian CPMK101.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CPMK0509</t>
        </is>
      </c>
      <c r="H192" s="108" t="s">
        <v>434</v>
      </c>
      <c r="I192" s="38" t="inlineStr">
        <is>
          <t xml:space="preserve"/>
        </is>
      </c>
      <c r="J192" s="223" t="inlineStr">
        <is>
          <t xml:space="preserve">Mahasiswa mampu merancang dan mengelola layanan komputasi virtual secara efisien dengan mempertimbangkan kebutuhan performa, skalabilitas, dan keberlanjutan energi sesuai konteks Komputasi Hijau dan capaian CPMK509.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s">
        <v>226</v>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CPMK0102</t>
        </is>
      </c>
      <c r="H193" s="161" t="s">
        <v>351</v>
      </c>
      <c r="I193" s="38" t="inlineStr">
        <is>
          <t xml:space="preserve"/>
        </is>
      </c>
      <c r="J193" s="223" t="inlineStr">
        <is>
          <t xml:space="preserve">Mahasiswa mampu menginternalisasi nilai ketakwaan kepada Tuhan YME, Pancasila, kewarganegaraan, dan menunjukkan pembelajaran sepanjang hayat melalui disiplin diri, tanggung jawab sesuai konteks Magang dan capaian CPMK102.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4">
      <c r="D194" s="102" t="inlineStr">
        <is>
          <t xml:space="preserve">(CPL03)
Memiliki kemampuan (pengelolaan) manajerial tim dan kerja sama (team work), manajemen diri, mampu berkomunikasi baik lisan maupun tertulis dengan baik dan mampu melakukan presentasi.</t>
        </is>
      </c>
      <c r="G194" s="222" t="inlineStr">
        <is>
          <t xml:space="preserve">CPMK0319</t>
        </is>
      </c>
      <c r="H194" s="102" t="s">
        <v>659</v>
      </c>
      <c r="I194" s="38" t="inlineStr">
        <is>
          <t xml:space="preserve"/>
        </is>
      </c>
      <c r="J194" s="223" t="inlineStr">
        <is>
          <t xml:space="preserve">Mahasiswa mampu menyusun dan mengomunikasikan beradaptasi dan bekerja sama dalam tim kerja profesional di industri, mengelola waktu, tugas, dan tanggung jawab secara mandiri, serta berkomunikasi secara sesuai konteks Magang dan capaian CPMK319.</t>
        </is>
      </c>
      <c r="K194" s="224" t="inlineStr">
        <is>
          <t xml:space="preserve">Project-Based Learning berbasis masalah nyata</t>
        </is>
      </c>
      <c r="L194" s="223" t="inlineStr">
        <is>
          <t xml:space="preserve">Project studio, bimbingan, kerja lapangan/mandiri, presentasi, pelaporan</t>
        </is>
      </c>
      <c r="M194" s="225" t="inlineStr">
        <is>
          <t xml:space="preserve">proposal, logbook, produk/artefak, laporan, presentasi, dan penilaian kinerja</t>
        </is>
      </c>
      <c r="N194" s="223" t="inlineStr">
        <is>
          <t xml:space="preserve">kejelasan masalah, ketepatan metode, kualitas artefak, ketercapaian outcome, manajemen kerja, laporan, dan presentasi</t>
        </is>
      </c>
      <c r="O194" s="224" t="inlineStr">
        <is>
          <t xml:space="preserve">adaptasi industri, tugas profesional, komunikasi kerja, dokumentasi kegiatan, penyelesaian masalah, dan refleksi pembelajaran</t>
        </is>
      </c>
      <c r="P194" s="233"/>
      <c r="Q194" s="233"/>
      <c r="R194" s="233"/>
      <c r="S194" s="38"/>
      <c r="T194" s="38"/>
      <c r="U194" s="38"/>
      <c r="V194" s="38"/>
      <c r="W194" s="38"/>
      <c r="X194" s="38"/>
      <c r="Y194" s="38"/>
      <c r="Z194" s="38"/>
      <c r="AA194" s="38"/>
      <c r="AB194" s="38"/>
      <c r="AC194" s="38"/>
      <c r="AD194" s="38"/>
      <c r="AE194" s="38"/>
      <c r="AF194" s="38"/>
      <c r="AG194" s="38"/>
    </row>
    <row r="195">
      <c r="D195" s="152" t="inlineStr">
        <is>
          <t xml:space="preserve"/>
        </is>
      </c>
      <c r="G195" s="222" t="inlineStr">
        <is>
          <t xml:space="preserve">CPMK0320</t>
        </is>
      </c>
      <c r="H195" s="102" t="s">
        <v>661</v>
      </c>
      <c r="I195" s="38" t="inlineStr">
        <is>
          <t xml:space="preserve"/>
        </is>
      </c>
      <c r="J195" s="223" t="inlineStr">
        <is>
          <t xml:space="preserve">Mahasiswa mampu menyusun dan mengomunikasikan mempresentasikan hasil kerja dan progress kepada supervisor secara jelas dan terstruktur serta menulis laporan magang yang sistematis dan reflektif mengenai sesuai konteks Magang dan capaian CPMK320.</t>
        </is>
      </c>
      <c r="K195" s="224" t="inlineStr">
        <is>
          <t xml:space="preserve">Project-Based Learning berbasis masalah nyata</t>
        </is>
      </c>
      <c r="L195" s="223" t="inlineStr">
        <is>
          <t xml:space="preserve">Project studio, bimbingan, kerja lapangan/mandiri, presentasi, pelaporan</t>
        </is>
      </c>
      <c r="M195" s="225" t="inlineStr">
        <is>
          <t xml:space="preserve">proposal, logbook, produk/artefak, laporan, presentasi, dan penilaian kinerja</t>
        </is>
      </c>
      <c r="N195" s="223" t="inlineStr">
        <is>
          <t xml:space="preserve">kejelasan masalah, ketepatan metode, kualitas artefak, ketercapaian outcome, manajemen kerja, laporan, dan presentasi</t>
        </is>
      </c>
      <c r="O195" s="224" t="inlineStr">
        <is>
          <t xml:space="preserve">adaptasi industri, tugas profesional, komunikasi kerja, dokumentasi kegiatan, penyelesaian masalah, dan refleksi pembelajaran</t>
        </is>
      </c>
      <c r="P195" s="233"/>
      <c r="Q195" s="233"/>
      <c r="R195" s="233"/>
      <c r="S195" s="38"/>
      <c r="T195" s="38"/>
      <c r="U195" s="38"/>
      <c r="V195" s="38"/>
      <c r="W195" s="38"/>
      <c r="X195" s="38"/>
      <c r="Y195" s="38"/>
      <c r="Z195" s="38"/>
      <c r="AA195" s="38"/>
      <c r="AB195" s="38"/>
      <c r="AC195" s="38"/>
      <c r="AD195" s="38"/>
      <c r="AE195" s="38"/>
      <c r="AF195" s="38"/>
      <c r="AG195"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CPMK0607</t>
        </is>
      </c>
      <c r="H196" s="121" t="s">
        <v>604</v>
      </c>
      <c r="I196" s="38" t="inlineStr">
        <is>
          <t xml:space="preserve"/>
        </is>
      </c>
      <c r="J196" s="223" t="inlineStr">
        <is>
          <t xml:space="preserve">Mahasiswa mampu mengimplementasikan kebutuhan organisasi untuk merancang serta mengimplementasikan solusi sistem informasi terintegrasi yang kompleks sesuai konteks Magang dan capaian CPMK607.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CPMK0804</t>
        </is>
      </c>
      <c r="H197" s="113" t="s">
        <v>505</v>
      </c>
      <c r="I197" s="38" t="inlineStr">
        <is>
          <t xml:space="preserve"/>
        </is>
      </c>
      <c r="J197" s="223" t="inlineStr">
        <is>
          <t xml:space="preserve">Mahasiswa mampu menganalisis dan menerapkan mendemonstrasikan pengelolaan proyek secara utuh dalam konteks proyek penelitian mandiri atau lingkungan kerja industri, dengan menerapkan seluruh prinsip sesuai konteks Magang dan capaian CPMK804.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s">
        <v>228</v>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CPMK0101</t>
        </is>
      </c>
      <c r="H198" s="102" t="s">
        <v>343</v>
      </c>
      <c r="I198" s="38" t="inlineStr">
        <is>
          <t xml:space="preserve"/>
        </is>
      </c>
      <c r="J198" s="223" t="inlineStr">
        <is>
          <t xml:space="preserve">Mahasiswa mampu menunjukkan profesionalisme melalui penerapan etika profesi TI, keselamatan kerja, kewirausahaan bertanggung jawab, rekayasa perangkat lunak ramah lingkungan, dan sesuai konteks Skripsi dan capaian CPMK101.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CPMK0211</t>
        </is>
      </c>
      <c r="H199" s="102" t="s">
        <v>387</v>
      </c>
      <c r="I199" s="38" t="inlineStr">
        <is>
          <t xml:space="preserve"/>
        </is>
      </c>
      <c r="J199" s="223" t="inlineStr">
        <is>
          <t xml:space="preserve">Mahasiswa mampu mengimplementasikan metodologi analisis dan desain sistem secara terstruktur untuk mentransformasi kebutuhan stakeholder menjadi spesifikasi teknis yang komprehensif bagi sesuai konteks Skripsi dan capaian CPMK211.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CPMK0404</t>
        </is>
      </c>
      <c r="H200" s="102" t="s">
        <v>662</v>
      </c>
      <c r="I200" s="38" t="inlineStr">
        <is>
          <t xml:space="preserve"/>
        </is>
      </c>
      <c r="J200" s="223" t="inlineStr">
        <is>
          <t xml:space="preserve">Mahasiswa mampu menyusun dan mengomunikasikan melaksanakan penelitian sesuai metode ilmiah dan menyusun deskripsi saintifik hasil penelitian dalam bentuk skripsi, laporan tugas akhir, atau artikel ilmiah yang sesuai konteks Skripsi dan capaian CPMK404.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c r="F201" s="155"/>
      <c r="G201" s="222" t="inlineStr">
        <is>
          <t xml:space="preserve">CPMK0321</t>
        </is>
      </c>
      <c r="H201" s="102" t="s">
        <v>665</v>
      </c>
      <c r="I201" s="38" t="inlineStr">
        <is>
          <t xml:space="preserve"/>
        </is>
      </c>
      <c r="J201" s="223" t="inlineStr">
        <is>
          <t xml:space="preserve">Mahasiswa mampu menyusun dan mengomunikasikan mengelola diri secara mandiri dalam merencanakan, melaksanakan, dan menyelesaikan penelitian tugas akhir, berkomunikasi serta berkolaborasi dengan dosen pembimbing sesuai konteks Skripsi dan capaian CPMK321.</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
        </is>
      </c>
      <c r="E202" s="155"/>
      <c r="F202" s="155"/>
      <c r="G202" s="222" t="inlineStr">
        <is>
          <t xml:space="preserve">CPMK0322</t>
        </is>
      </c>
      <c r="H202" s="102" t="s">
        <v>667</v>
      </c>
      <c r="I202" s="38" t="inlineStr">
        <is>
          <t xml:space="preserve"/>
        </is>
      </c>
      <c r="J202" s="223" t="inlineStr">
        <is>
          <t xml:space="preserve">Mahasiswa mampu menyusun dan mengomunikasikan mempresentasikan hasil penelitian dalam sidang dengan argumentasi yang kuat dan sistematis serta merespons pertanyaan dan kritik dalam forum ilmiah secara sesuai konteks Skripsi dan capaian CPMK322.</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CPMK0804</t>
        </is>
      </c>
      <c r="H203" s="113" t="s">
        <v>505</v>
      </c>
      <c r="I203" s="38" t="inlineStr">
        <is>
          <t xml:space="preserve"/>
        </is>
      </c>
      <c r="J203" s="223" t="inlineStr">
        <is>
          <t xml:space="preserve">Mahasiswa mampu menganalisis dan menerapkan mendemonstrasikan pengelolaan proyek secara utuh dalam konteks proyek penelitian mandiri atau lingkungan kerja industri, dengan menerapkan seluruh prinsip sesuai konteks Skripsi dan capaian CPMK804.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CPMK1008</t>
        </is>
      </c>
      <c r="H204" s="173" t="s">
        <v>560</v>
      </c>
      <c r="I204" s="170" t="inlineStr">
        <is>
          <t xml:space="preserve"/>
        </is>
      </c>
      <c r="J204" s="223" t="inlineStr">
        <is>
          <t xml:space="preserve">Mahasiswa 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CPMK1009</t>
        </is>
      </c>
      <c r="H205" s="173" t="s">
        <v>564</v>
      </c>
      <c r="I205" s="40" t="inlineStr">
        <is>
          <t xml:space="preserve"/>
        </is>
      </c>
      <c r="J205" s="223" t="inlineStr">
        <is>
          <t xml:space="preserve">Mahasiswa 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CPMK0607</t>
        </is>
      </c>
      <c r="H206" s="121" t="s">
        <v>604</v>
      </c>
      <c r="I206" s="170" t="inlineStr">
        <is>
          <t xml:space="preserve"/>
        </is>
      </c>
      <c r="J206" s="223" t="inlineStr">
        <is>
          <t xml:space="preserve">Mahasiswa mampu mengimplementasikan kebutuhan organisasi untuk merancang serta mengimplementasikan solusi sistem informasi terintegrasi yang kompleks sesuai konteks Skripsi dan capaian CPMK607.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s">
        <v>230</v>
      </c>
      <c r="C207" s="154" t="s">
        <v>231</v>
      </c>
      <c r="D207" s="102" t="inlineStr">
        <is>
          <t xml:space="preserve">(CPL03)
Memiliki kemampuan (pengelolaan) manajerial tim dan kerja sama (team work), manajemen diri, mampu berkomunikasi baik lisan maupun tertulis dengan baik dan mampu melakukan presentasi.</t>
        </is>
      </c>
      <c r="E207" s="101" t="s">
        <v>669</v>
      </c>
      <c r="F207" s="101" t="s">
        <v>90</v>
      </c>
      <c r="G207" s="222" t="inlineStr">
        <is>
          <t xml:space="preserve">CPMK0303</t>
        </is>
      </c>
      <c r="H207" s="102" t="s">
        <v>1318</v>
      </c>
      <c r="I207" s="110" t="inlineStr">
        <is>
          <t xml:space="preserve">SCPMK0303-05501</t>
        </is>
      </c>
      <c r="J207" s="293" t="inlineStr">
        <is>
          <t xml:space="preserve">Mahasiswa 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CPMK0303</t>
        </is>
      </c>
      <c r="H208" s="213"/>
      <c r="I208" s="40" t="inlineStr">
        <is>
          <t xml:space="preserve">SCPMK0303-05502</t>
        </is>
      </c>
      <c r="J208" s="216" t="inlineStr">
        <is>
          <t xml:space="preserve">Mahasiswa 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